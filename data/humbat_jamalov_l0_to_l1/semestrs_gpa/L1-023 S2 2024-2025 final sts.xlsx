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gulara.abdunova\Downloads\"/>
    </mc:Choice>
  </mc:AlternateContent>
  <xr:revisionPtr revIDLastSave="0" documentId="8_{3760E238-7D1E-4C23-ACE9-FDA752403F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S" sheetId="1" r:id="rId1"/>
    <sheet name="CE" sheetId="2" r:id="rId2"/>
    <sheet name="GE" sheetId="3" r:id="rId3"/>
    <sheet name="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5VMUtT+pt/vIn4UbJZhRbSNQ3nfScDuf6bxFxE/6FQ="/>
    </ext>
  </extLst>
</workbook>
</file>

<file path=xl/calcChain.xml><?xml version="1.0" encoding="utf-8"?>
<calcChain xmlns="http://schemas.openxmlformats.org/spreadsheetml/2006/main">
  <c r="AP37" i="4" l="1"/>
  <c r="AK37" i="4"/>
  <c r="AL37" i="4" s="1"/>
  <c r="AD37" i="4"/>
  <c r="Y37" i="4"/>
  <c r="AE37" i="4" s="1"/>
  <c r="U37" i="4"/>
  <c r="R37" i="4"/>
  <c r="V37" i="4" s="1"/>
  <c r="L37" i="4"/>
  <c r="AP36" i="4"/>
  <c r="AK36" i="4"/>
  <c r="AL36" i="4" s="1"/>
  <c r="AD36" i="4"/>
  <c r="Y36" i="4"/>
  <c r="AE36" i="4" s="1"/>
  <c r="U36" i="4"/>
  <c r="R36" i="4"/>
  <c r="V36" i="4" s="1"/>
  <c r="L36" i="4"/>
  <c r="AP35" i="4"/>
  <c r="AK35" i="4"/>
  <c r="AL35" i="4" s="1"/>
  <c r="AD35" i="4"/>
  <c r="Y35" i="4"/>
  <c r="AE35" i="4" s="1"/>
  <c r="U35" i="4"/>
  <c r="R35" i="4"/>
  <c r="V35" i="4" s="1"/>
  <c r="L35" i="4"/>
  <c r="AP34" i="4"/>
  <c r="AK34" i="4"/>
  <c r="AL34" i="4" s="1"/>
  <c r="AD34" i="4"/>
  <c r="Y34" i="4"/>
  <c r="AE34" i="4" s="1"/>
  <c r="U34" i="4"/>
  <c r="R34" i="4"/>
  <c r="V34" i="4" s="1"/>
  <c r="L34" i="4"/>
  <c r="AP33" i="4"/>
  <c r="AK33" i="4"/>
  <c r="AL33" i="4" s="1"/>
  <c r="AD33" i="4"/>
  <c r="Y33" i="4"/>
  <c r="U33" i="4"/>
  <c r="R33" i="4"/>
  <c r="L33" i="4"/>
  <c r="AP32" i="4"/>
  <c r="AK32" i="4"/>
  <c r="AL32" i="4" s="1"/>
  <c r="AD32" i="4"/>
  <c r="Y32" i="4"/>
  <c r="AE32" i="4" s="1"/>
  <c r="U32" i="4"/>
  <c r="R32" i="4"/>
  <c r="V32" i="4" s="1"/>
  <c r="L32" i="4"/>
  <c r="AP31" i="4"/>
  <c r="AK31" i="4"/>
  <c r="AL31" i="4" s="1"/>
  <c r="AD31" i="4"/>
  <c r="Y31" i="4"/>
  <c r="AE31" i="4" s="1"/>
  <c r="U31" i="4"/>
  <c r="R31" i="4"/>
  <c r="V31" i="4" s="1"/>
  <c r="L31" i="4"/>
  <c r="AP30" i="4"/>
  <c r="AK30" i="4"/>
  <c r="AL30" i="4" s="1"/>
  <c r="AD30" i="4"/>
  <c r="Y30" i="4"/>
  <c r="AE30" i="4" s="1"/>
  <c r="U30" i="4"/>
  <c r="R30" i="4"/>
  <c r="V30" i="4" s="1"/>
  <c r="L30" i="4"/>
  <c r="AP29" i="4"/>
  <c r="AL29" i="4"/>
  <c r="AK29" i="4"/>
  <c r="AE29" i="4"/>
  <c r="AD29" i="4"/>
  <c r="Y29" i="4"/>
  <c r="U29" i="4"/>
  <c r="R29" i="4"/>
  <c r="V29" i="4" s="1"/>
  <c r="L29" i="4"/>
  <c r="AP28" i="4"/>
  <c r="AK28" i="4"/>
  <c r="AL28" i="4" s="1"/>
  <c r="AD28" i="4"/>
  <c r="Y28" i="4"/>
  <c r="AE28" i="4" s="1"/>
  <c r="U28" i="4"/>
  <c r="R28" i="4"/>
  <c r="V28" i="4" s="1"/>
  <c r="L28" i="4"/>
  <c r="AP27" i="4"/>
  <c r="AK27" i="4"/>
  <c r="AL27" i="4" s="1"/>
  <c r="AD27" i="4"/>
  <c r="Y27" i="4"/>
  <c r="AE27" i="4" s="1"/>
  <c r="U27" i="4"/>
  <c r="R27" i="4"/>
  <c r="V27" i="4" s="1"/>
  <c r="L27" i="4"/>
  <c r="AP26" i="4"/>
  <c r="AK26" i="4"/>
  <c r="AL26" i="4" s="1"/>
  <c r="AD26" i="4"/>
  <c r="Y26" i="4"/>
  <c r="U26" i="4"/>
  <c r="V26" i="4" s="1"/>
  <c r="R26" i="4"/>
  <c r="L26" i="4"/>
  <c r="AP25" i="4"/>
  <c r="AK25" i="4"/>
  <c r="AL25" i="4" s="1"/>
  <c r="AD25" i="4"/>
  <c r="Y25" i="4"/>
  <c r="AE25" i="4" s="1"/>
  <c r="U25" i="4"/>
  <c r="R25" i="4"/>
  <c r="L25" i="4"/>
  <c r="AP24" i="4"/>
  <c r="AK24" i="4"/>
  <c r="AL24" i="4" s="1"/>
  <c r="AD24" i="4"/>
  <c r="Y24" i="4"/>
  <c r="AE24" i="4" s="1"/>
  <c r="U24" i="4"/>
  <c r="R24" i="4"/>
  <c r="V24" i="4" s="1"/>
  <c r="L24" i="4"/>
  <c r="AP23" i="4"/>
  <c r="AK23" i="4"/>
  <c r="AL23" i="4" s="1"/>
  <c r="AD23" i="4"/>
  <c r="Y23" i="4"/>
  <c r="AE23" i="4" s="1"/>
  <c r="U23" i="4"/>
  <c r="R23" i="4"/>
  <c r="V23" i="4" s="1"/>
  <c r="E23" i="4" s="1"/>
  <c r="G23" i="4" s="1"/>
  <c r="L23" i="4"/>
  <c r="AP22" i="4"/>
  <c r="AK22" i="4"/>
  <c r="AL22" i="4" s="1"/>
  <c r="AD22" i="4"/>
  <c r="Y22" i="4"/>
  <c r="AE22" i="4" s="1"/>
  <c r="U22" i="4"/>
  <c r="R22" i="4"/>
  <c r="V22" i="4" s="1"/>
  <c r="L22" i="4"/>
  <c r="AP21" i="4"/>
  <c r="AK21" i="4"/>
  <c r="AL21" i="4" s="1"/>
  <c r="AD21" i="4"/>
  <c r="AE21" i="4" s="1"/>
  <c r="Y21" i="4"/>
  <c r="U21" i="4"/>
  <c r="R21" i="4"/>
  <c r="V21" i="4" s="1"/>
  <c r="L21" i="4"/>
  <c r="AP20" i="4"/>
  <c r="AK20" i="4"/>
  <c r="AL20" i="4" s="1"/>
  <c r="AD20" i="4"/>
  <c r="Y20" i="4"/>
  <c r="AE20" i="4" s="1"/>
  <c r="U20" i="4"/>
  <c r="R20" i="4"/>
  <c r="V20" i="4" s="1"/>
  <c r="L20" i="4"/>
  <c r="AP19" i="4"/>
  <c r="AL19" i="4"/>
  <c r="AK19" i="4"/>
  <c r="AD19" i="4"/>
  <c r="Y19" i="4"/>
  <c r="AE19" i="4" s="1"/>
  <c r="U19" i="4"/>
  <c r="R19" i="4"/>
  <c r="L19" i="4"/>
  <c r="AP18" i="4"/>
  <c r="AK18" i="4"/>
  <c r="AL18" i="4" s="1"/>
  <c r="AD18" i="4"/>
  <c r="Y18" i="4"/>
  <c r="AE18" i="4" s="1"/>
  <c r="U18" i="4"/>
  <c r="R18" i="4"/>
  <c r="V18" i="4" s="1"/>
  <c r="L18" i="4"/>
  <c r="AP17" i="4"/>
  <c r="AK17" i="4"/>
  <c r="AL17" i="4" s="1"/>
  <c r="AD17" i="4"/>
  <c r="Y17" i="4"/>
  <c r="AE17" i="4" s="1"/>
  <c r="U17" i="4"/>
  <c r="R17" i="4"/>
  <c r="V17" i="4" s="1"/>
  <c r="L17" i="4"/>
  <c r="E17" i="4"/>
  <c r="G17" i="4" s="1"/>
  <c r="AP16" i="4"/>
  <c r="AK16" i="4"/>
  <c r="AL16" i="4" s="1"/>
  <c r="AD16" i="4"/>
  <c r="Y16" i="4"/>
  <c r="V16" i="4"/>
  <c r="U16" i="4"/>
  <c r="R16" i="4"/>
  <c r="L16" i="4"/>
  <c r="AP15" i="4"/>
  <c r="AK15" i="4"/>
  <c r="AL15" i="4" s="1"/>
  <c r="AD15" i="4"/>
  <c r="Y15" i="4"/>
  <c r="AE15" i="4" s="1"/>
  <c r="U15" i="4"/>
  <c r="R15" i="4"/>
  <c r="V15" i="4" s="1"/>
  <c r="L15" i="4"/>
  <c r="AP14" i="4"/>
  <c r="AL14" i="4"/>
  <c r="AK14" i="4"/>
  <c r="AD14" i="4"/>
  <c r="Y14" i="4"/>
  <c r="AE14" i="4" s="1"/>
  <c r="U14" i="4"/>
  <c r="R14" i="4"/>
  <c r="V14" i="4" s="1"/>
  <c r="L14" i="4"/>
  <c r="AP13" i="4"/>
  <c r="AK13" i="4"/>
  <c r="AL13" i="4" s="1"/>
  <c r="AE13" i="4"/>
  <c r="AD13" i="4"/>
  <c r="Y13" i="4"/>
  <c r="U13" i="4"/>
  <c r="R13" i="4"/>
  <c r="V13" i="4" s="1"/>
  <c r="L13" i="4"/>
  <c r="G12" i="4"/>
  <c r="AP11" i="4"/>
  <c r="AK11" i="4"/>
  <c r="AL11" i="4" s="1"/>
  <c r="AD11" i="4"/>
  <c r="Y11" i="4"/>
  <c r="AE11" i="4" s="1"/>
  <c r="U11" i="4"/>
  <c r="R11" i="4"/>
  <c r="V11" i="4" s="1"/>
  <c r="L11" i="4"/>
  <c r="AP10" i="4"/>
  <c r="AK10" i="4"/>
  <c r="AL10" i="4" s="1"/>
  <c r="AD10" i="4"/>
  <c r="Y10" i="4"/>
  <c r="U10" i="4"/>
  <c r="R10" i="4"/>
  <c r="L10" i="4"/>
  <c r="G9" i="4"/>
  <c r="AL8" i="4"/>
  <c r="AD8" i="4"/>
  <c r="Y8" i="4"/>
  <c r="AE8" i="4" s="1"/>
  <c r="R8" i="4"/>
  <c r="V8" i="4" s="1"/>
  <c r="L8" i="4"/>
  <c r="E8" i="4" s="1"/>
  <c r="G8" i="4" s="1"/>
  <c r="H8" i="4"/>
  <c r="AP7" i="4"/>
  <c r="AK7" i="4"/>
  <c r="AL7" i="4" s="1"/>
  <c r="AD7" i="4"/>
  <c r="AA7" i="4"/>
  <c r="AF7" i="4" s="1"/>
  <c r="Y7" i="4"/>
  <c r="AE7" i="4" s="1"/>
  <c r="R7" i="4"/>
  <c r="V7" i="4" s="1"/>
  <c r="N7" i="4"/>
  <c r="L7" i="4"/>
  <c r="AP6" i="4"/>
  <c r="AK6" i="4"/>
  <c r="AL6" i="4" s="1"/>
  <c r="AD6" i="4"/>
  <c r="Y6" i="4"/>
  <c r="R6" i="4"/>
  <c r="V6" i="4" s="1"/>
  <c r="L6" i="4"/>
  <c r="AU39" i="3"/>
  <c r="AM39" i="3"/>
  <c r="AP39" i="3" s="1"/>
  <c r="AD39" i="3"/>
  <c r="Y39" i="3"/>
  <c r="AG39" i="3" s="1"/>
  <c r="U39" i="3"/>
  <c r="R39" i="3"/>
  <c r="V39" i="3" s="1"/>
  <c r="L39" i="3"/>
  <c r="AU38" i="3"/>
  <c r="AM38" i="3"/>
  <c r="AP38" i="3" s="1"/>
  <c r="AD38" i="3"/>
  <c r="Y38" i="3"/>
  <c r="AG38" i="3" s="1"/>
  <c r="U38" i="3"/>
  <c r="R38" i="3"/>
  <c r="V38" i="3" s="1"/>
  <c r="L38" i="3"/>
  <c r="AU37" i="3"/>
  <c r="AM37" i="3"/>
  <c r="AP37" i="3" s="1"/>
  <c r="AD37" i="3"/>
  <c r="Y37" i="3"/>
  <c r="AG37" i="3" s="1"/>
  <c r="U37" i="3"/>
  <c r="R37" i="3"/>
  <c r="L37" i="3"/>
  <c r="AU36" i="3"/>
  <c r="AM36" i="3"/>
  <c r="AP36" i="3" s="1"/>
  <c r="AD36" i="3"/>
  <c r="Y36" i="3"/>
  <c r="AG36" i="3" s="1"/>
  <c r="U36" i="3"/>
  <c r="R36" i="3"/>
  <c r="V36" i="3" s="1"/>
  <c r="L36" i="3"/>
  <c r="AU35" i="3"/>
  <c r="AP35" i="3"/>
  <c r="AM35" i="3"/>
  <c r="AD35" i="3"/>
  <c r="Y35" i="3"/>
  <c r="U35" i="3"/>
  <c r="R35" i="3"/>
  <c r="V35" i="3" s="1"/>
  <c r="L35" i="3"/>
  <c r="AU34" i="3"/>
  <c r="AM34" i="3"/>
  <c r="AP34" i="3" s="1"/>
  <c r="AD34" i="3"/>
  <c r="Y34" i="3"/>
  <c r="AG34" i="3" s="1"/>
  <c r="U34" i="3"/>
  <c r="R34" i="3"/>
  <c r="V34" i="3" s="1"/>
  <c r="L34" i="3"/>
  <c r="AU33" i="3"/>
  <c r="AM33" i="3"/>
  <c r="AP33" i="3" s="1"/>
  <c r="E33" i="3" s="1"/>
  <c r="G33" i="3" s="1"/>
  <c r="AD33" i="3"/>
  <c r="Y33" i="3"/>
  <c r="AG33" i="3" s="1"/>
  <c r="U33" i="3"/>
  <c r="R33" i="3"/>
  <c r="V33" i="3" s="1"/>
  <c r="L33" i="3"/>
  <c r="AU32" i="3"/>
  <c r="AM32" i="3"/>
  <c r="AP32" i="3" s="1"/>
  <c r="AD32" i="3"/>
  <c r="Y32" i="3"/>
  <c r="AG32" i="3" s="1"/>
  <c r="U32" i="3"/>
  <c r="R32" i="3"/>
  <c r="L32" i="3"/>
  <c r="AU31" i="3"/>
  <c r="AM31" i="3"/>
  <c r="AP31" i="3" s="1"/>
  <c r="AD31" i="3"/>
  <c r="Y31" i="3"/>
  <c r="AG31" i="3" s="1"/>
  <c r="U31" i="3"/>
  <c r="R31" i="3"/>
  <c r="V31" i="3" s="1"/>
  <c r="L31" i="3"/>
  <c r="AU30" i="3"/>
  <c r="AM30" i="3"/>
  <c r="AP30" i="3" s="1"/>
  <c r="AD30" i="3"/>
  <c r="Y30" i="3"/>
  <c r="AG30" i="3" s="1"/>
  <c r="U30" i="3"/>
  <c r="R30" i="3"/>
  <c r="V30" i="3" s="1"/>
  <c r="L30" i="3"/>
  <c r="AU29" i="3"/>
  <c r="AM29" i="3"/>
  <c r="AP29" i="3" s="1"/>
  <c r="AD29" i="3"/>
  <c r="Y29" i="3"/>
  <c r="AG29" i="3" s="1"/>
  <c r="U29" i="3"/>
  <c r="R29" i="3"/>
  <c r="V29" i="3" s="1"/>
  <c r="L29" i="3"/>
  <c r="AU28" i="3"/>
  <c r="AM28" i="3"/>
  <c r="AP28" i="3" s="1"/>
  <c r="AD28" i="3"/>
  <c r="Y28" i="3"/>
  <c r="U28" i="3"/>
  <c r="R28" i="3"/>
  <c r="V28" i="3" s="1"/>
  <c r="L28" i="3"/>
  <c r="AU27" i="3"/>
  <c r="AM27" i="3"/>
  <c r="AP27" i="3" s="1"/>
  <c r="AD27" i="3"/>
  <c r="Y27" i="3"/>
  <c r="AG27" i="3" s="1"/>
  <c r="U27" i="3"/>
  <c r="R27" i="3"/>
  <c r="V27" i="3" s="1"/>
  <c r="L27" i="3"/>
  <c r="AU26" i="3"/>
  <c r="AM26" i="3"/>
  <c r="AP26" i="3" s="1"/>
  <c r="AD26" i="3"/>
  <c r="Y26" i="3"/>
  <c r="AG26" i="3" s="1"/>
  <c r="U26" i="3"/>
  <c r="R26" i="3"/>
  <c r="V26" i="3" s="1"/>
  <c r="L26" i="3"/>
  <c r="AU25" i="3"/>
  <c r="AM25" i="3"/>
  <c r="AP25" i="3" s="1"/>
  <c r="AD25" i="3"/>
  <c r="Y25" i="3"/>
  <c r="AG25" i="3" s="1"/>
  <c r="U25" i="3"/>
  <c r="R25" i="3"/>
  <c r="L25" i="3"/>
  <c r="AU24" i="3"/>
  <c r="AM24" i="3"/>
  <c r="AP24" i="3" s="1"/>
  <c r="AD24" i="3"/>
  <c r="Y24" i="3"/>
  <c r="AG24" i="3" s="1"/>
  <c r="U24" i="3"/>
  <c r="R24" i="3"/>
  <c r="V24" i="3" s="1"/>
  <c r="L24" i="3"/>
  <c r="AU23" i="3"/>
  <c r="AM23" i="3"/>
  <c r="AP23" i="3" s="1"/>
  <c r="AD23" i="3"/>
  <c r="AG23" i="3" s="1"/>
  <c r="Y23" i="3"/>
  <c r="U23" i="3"/>
  <c r="R23" i="3"/>
  <c r="L23" i="3"/>
  <c r="AU22" i="3"/>
  <c r="AM22" i="3"/>
  <c r="AP22" i="3" s="1"/>
  <c r="AD22" i="3"/>
  <c r="Y22" i="3"/>
  <c r="AG22" i="3" s="1"/>
  <c r="U22" i="3"/>
  <c r="R22" i="3"/>
  <c r="V22" i="3" s="1"/>
  <c r="L22" i="3"/>
  <c r="AU21" i="3"/>
  <c r="AM21" i="3"/>
  <c r="AP21" i="3" s="1"/>
  <c r="AD21" i="3"/>
  <c r="Y21" i="3"/>
  <c r="AG21" i="3" s="1"/>
  <c r="U21" i="3"/>
  <c r="R21" i="3"/>
  <c r="V21" i="3" s="1"/>
  <c r="L21" i="3"/>
  <c r="AU20" i="3"/>
  <c r="AM20" i="3"/>
  <c r="AP20" i="3" s="1"/>
  <c r="AD20" i="3"/>
  <c r="Y20" i="3"/>
  <c r="AG20" i="3" s="1"/>
  <c r="U20" i="3"/>
  <c r="R20" i="3"/>
  <c r="V20" i="3" s="1"/>
  <c r="L20" i="3"/>
  <c r="G19" i="3"/>
  <c r="AU18" i="3"/>
  <c r="AD18" i="3"/>
  <c r="Y18" i="3"/>
  <c r="AG18" i="3" s="1"/>
  <c r="E18" i="3" s="1"/>
  <c r="G18" i="3" s="1"/>
  <c r="AU17" i="3"/>
  <c r="AM17" i="3"/>
  <c r="AP17" i="3" s="1"/>
  <c r="AD17" i="3"/>
  <c r="Y17" i="3"/>
  <c r="AG17" i="3" s="1"/>
  <c r="U17" i="3"/>
  <c r="R17" i="3"/>
  <c r="L17" i="3"/>
  <c r="AU16" i="3"/>
  <c r="AM16" i="3"/>
  <c r="AP16" i="3" s="1"/>
  <c r="AD16" i="3"/>
  <c r="Y16" i="3"/>
  <c r="AG16" i="3" s="1"/>
  <c r="U16" i="3"/>
  <c r="R16" i="3"/>
  <c r="V16" i="3" s="1"/>
  <c r="L16" i="3"/>
  <c r="AU15" i="3"/>
  <c r="AM15" i="3"/>
  <c r="AP15" i="3" s="1"/>
  <c r="AD15" i="3"/>
  <c r="Y15" i="3"/>
  <c r="AG15" i="3" s="1"/>
  <c r="U15" i="3"/>
  <c r="R15" i="3"/>
  <c r="V15" i="3" s="1"/>
  <c r="L15" i="3"/>
  <c r="AU14" i="3"/>
  <c r="AM14" i="3"/>
  <c r="AP14" i="3" s="1"/>
  <c r="AD14" i="3"/>
  <c r="Y14" i="3"/>
  <c r="AG14" i="3" s="1"/>
  <c r="U14" i="3"/>
  <c r="R14" i="3"/>
  <c r="V14" i="3" s="1"/>
  <c r="L14" i="3"/>
  <c r="AU13" i="3"/>
  <c r="AD13" i="3"/>
  <c r="Y13" i="3"/>
  <c r="AG13" i="3" s="1"/>
  <c r="R13" i="3"/>
  <c r="V13" i="3" s="1"/>
  <c r="L13" i="3"/>
  <c r="E13" i="3" s="1"/>
  <c r="AU12" i="3"/>
  <c r="AM12" i="3"/>
  <c r="AP12" i="3" s="1"/>
  <c r="AD12" i="3"/>
  <c r="Y12" i="3"/>
  <c r="AG12" i="3" s="1"/>
  <c r="U12" i="3"/>
  <c r="R12" i="3"/>
  <c r="V12" i="3" s="1"/>
  <c r="L12" i="3"/>
  <c r="H11" i="3"/>
  <c r="G11" i="3"/>
  <c r="AU10" i="3"/>
  <c r="AF10" i="3"/>
  <c r="AH10" i="3" s="1"/>
  <c r="F10" i="3" s="1"/>
  <c r="H10" i="3" s="1"/>
  <c r="AD10" i="3"/>
  <c r="AA10" i="3"/>
  <c r="Y10" i="3"/>
  <c r="R10" i="3"/>
  <c r="V10" i="3" s="1"/>
  <c r="AF9" i="3"/>
  <c r="AD9" i="3"/>
  <c r="Y9" i="3"/>
  <c r="V9" i="3"/>
  <c r="R9" i="3"/>
  <c r="L9" i="3"/>
  <c r="AU8" i="3"/>
  <c r="AO8" i="3"/>
  <c r="AQ8" i="3" s="1"/>
  <c r="AM8" i="3"/>
  <c r="AP8" i="3" s="1"/>
  <c r="AD8" i="3"/>
  <c r="AG8" i="3" s="1"/>
  <c r="U8" i="3"/>
  <c r="R8" i="3"/>
  <c r="V8" i="3" s="1"/>
  <c r="N8" i="3"/>
  <c r="L8" i="3"/>
  <c r="E8" i="3"/>
  <c r="G8" i="3" s="1"/>
  <c r="AM7" i="3"/>
  <c r="AP7" i="3" s="1"/>
  <c r="AF7" i="3"/>
  <c r="AD7" i="3"/>
  <c r="AA7" i="3"/>
  <c r="Y7" i="3"/>
  <c r="R7" i="3"/>
  <c r="V7" i="3" s="1"/>
  <c r="L7" i="3"/>
  <c r="AU6" i="3"/>
  <c r="AM6" i="3"/>
  <c r="AP6" i="3" s="1"/>
  <c r="Y6" i="3"/>
  <c r="AG6" i="3" s="1"/>
  <c r="R6" i="3"/>
  <c r="V6" i="3" s="1"/>
  <c r="AU56" i="2"/>
  <c r="AO56" i="2"/>
  <c r="AL56" i="2"/>
  <c r="AQ56" i="2" s="1"/>
  <c r="AG56" i="2"/>
  <c r="AB56" i="2"/>
  <c r="Y56" i="2"/>
  <c r="AH56" i="2" s="1"/>
  <c r="U56" i="2"/>
  <c r="R56" i="2"/>
  <c r="V56" i="2" s="1"/>
  <c r="L56" i="2"/>
  <c r="AU55" i="2"/>
  <c r="AO55" i="2"/>
  <c r="AL55" i="2"/>
  <c r="AQ55" i="2" s="1"/>
  <c r="AG55" i="2"/>
  <c r="AB55" i="2"/>
  <c r="Y55" i="2"/>
  <c r="AH55" i="2" s="1"/>
  <c r="U55" i="2"/>
  <c r="V55" i="2" s="1"/>
  <c r="R55" i="2"/>
  <c r="L55" i="2"/>
  <c r="AU54" i="2"/>
  <c r="AO54" i="2"/>
  <c r="AL54" i="2"/>
  <c r="AQ54" i="2" s="1"/>
  <c r="AG54" i="2"/>
  <c r="AB54" i="2"/>
  <c r="Y54" i="2"/>
  <c r="AH54" i="2" s="1"/>
  <c r="U54" i="2"/>
  <c r="R54" i="2"/>
  <c r="L54" i="2"/>
  <c r="AU53" i="2"/>
  <c r="AO53" i="2"/>
  <c r="AL53" i="2"/>
  <c r="AG53" i="2"/>
  <c r="AB53" i="2"/>
  <c r="Y53" i="2"/>
  <c r="AH53" i="2" s="1"/>
  <c r="U53" i="2"/>
  <c r="R53" i="2"/>
  <c r="V53" i="2" s="1"/>
  <c r="L53" i="2"/>
  <c r="AU52" i="2"/>
  <c r="AO52" i="2"/>
  <c r="AL52" i="2"/>
  <c r="AQ52" i="2" s="1"/>
  <c r="AG52" i="2"/>
  <c r="AB52" i="2"/>
  <c r="Y52" i="2"/>
  <c r="AH52" i="2" s="1"/>
  <c r="U52" i="2"/>
  <c r="V52" i="2" s="1"/>
  <c r="R52" i="2"/>
  <c r="L52" i="2"/>
  <c r="AU51" i="2"/>
  <c r="AO51" i="2"/>
  <c r="AL51" i="2"/>
  <c r="AQ51" i="2" s="1"/>
  <c r="AG51" i="2"/>
  <c r="AB51" i="2"/>
  <c r="Y51" i="2"/>
  <c r="AH51" i="2" s="1"/>
  <c r="U51" i="2"/>
  <c r="R51" i="2"/>
  <c r="V51" i="2" s="1"/>
  <c r="L51" i="2"/>
  <c r="AU50" i="2"/>
  <c r="AO50" i="2"/>
  <c r="AL50" i="2"/>
  <c r="AQ50" i="2" s="1"/>
  <c r="AG50" i="2"/>
  <c r="AB50" i="2"/>
  <c r="Y50" i="2"/>
  <c r="AH50" i="2" s="1"/>
  <c r="U50" i="2"/>
  <c r="R50" i="2"/>
  <c r="L50" i="2"/>
  <c r="AU49" i="2"/>
  <c r="AO49" i="2"/>
  <c r="AL49" i="2"/>
  <c r="AQ49" i="2" s="1"/>
  <c r="AG49" i="2"/>
  <c r="AB49" i="2"/>
  <c r="Y49" i="2"/>
  <c r="AH49" i="2" s="1"/>
  <c r="U49" i="2"/>
  <c r="R49" i="2"/>
  <c r="V49" i="2" s="1"/>
  <c r="L49" i="2"/>
  <c r="AU48" i="2"/>
  <c r="AO48" i="2"/>
  <c r="AL48" i="2"/>
  <c r="AQ48" i="2" s="1"/>
  <c r="AG48" i="2"/>
  <c r="AB48" i="2"/>
  <c r="Y48" i="2"/>
  <c r="AH48" i="2" s="1"/>
  <c r="U48" i="2"/>
  <c r="V48" i="2" s="1"/>
  <c r="R48" i="2"/>
  <c r="L48" i="2"/>
  <c r="AU47" i="2"/>
  <c r="AO47" i="2"/>
  <c r="AL47" i="2"/>
  <c r="AQ47" i="2" s="1"/>
  <c r="AG47" i="2"/>
  <c r="AB47" i="2"/>
  <c r="Y47" i="2"/>
  <c r="AH47" i="2" s="1"/>
  <c r="U47" i="2"/>
  <c r="R47" i="2"/>
  <c r="V47" i="2" s="1"/>
  <c r="L47" i="2"/>
  <c r="AU46" i="2"/>
  <c r="AO46" i="2"/>
  <c r="AL46" i="2"/>
  <c r="AQ46" i="2" s="1"/>
  <c r="AG46" i="2"/>
  <c r="AB46" i="2"/>
  <c r="Y46" i="2"/>
  <c r="U46" i="2"/>
  <c r="R46" i="2"/>
  <c r="V46" i="2" s="1"/>
  <c r="L46" i="2"/>
  <c r="AU45" i="2"/>
  <c r="AO45" i="2"/>
  <c r="AL45" i="2"/>
  <c r="AQ45" i="2" s="1"/>
  <c r="AG45" i="2"/>
  <c r="AB45" i="2"/>
  <c r="Y45" i="2"/>
  <c r="AH45" i="2" s="1"/>
  <c r="U45" i="2"/>
  <c r="R45" i="2"/>
  <c r="V45" i="2" s="1"/>
  <c r="L45" i="2"/>
  <c r="AU44" i="2"/>
  <c r="AO44" i="2"/>
  <c r="AL44" i="2"/>
  <c r="AG44" i="2"/>
  <c r="AB44" i="2"/>
  <c r="Y44" i="2"/>
  <c r="AH44" i="2" s="1"/>
  <c r="U44" i="2"/>
  <c r="R44" i="2"/>
  <c r="L44" i="2"/>
  <c r="AU43" i="2"/>
  <c r="AO43" i="2"/>
  <c r="AL43" i="2"/>
  <c r="AQ43" i="2" s="1"/>
  <c r="AG43" i="2"/>
  <c r="AB43" i="2"/>
  <c r="Y43" i="2"/>
  <c r="U43" i="2"/>
  <c r="R43" i="2"/>
  <c r="V43" i="2" s="1"/>
  <c r="L43" i="2"/>
  <c r="AU42" i="2"/>
  <c r="AO42" i="2"/>
  <c r="AL42" i="2"/>
  <c r="AQ42" i="2" s="1"/>
  <c r="AG42" i="2"/>
  <c r="AB42" i="2"/>
  <c r="Y42" i="2"/>
  <c r="U42" i="2"/>
  <c r="R42" i="2"/>
  <c r="L42" i="2"/>
  <c r="AU41" i="2"/>
  <c r="AO41" i="2"/>
  <c r="AL41" i="2"/>
  <c r="AQ41" i="2" s="1"/>
  <c r="AG41" i="2"/>
  <c r="AB41" i="2"/>
  <c r="Y41" i="2"/>
  <c r="AH41" i="2" s="1"/>
  <c r="U41" i="2"/>
  <c r="R41" i="2"/>
  <c r="V41" i="2" s="1"/>
  <c r="L41" i="2"/>
  <c r="AU40" i="2"/>
  <c r="AO40" i="2"/>
  <c r="AL40" i="2"/>
  <c r="AG40" i="2"/>
  <c r="AB40" i="2"/>
  <c r="Y40" i="2"/>
  <c r="AH40" i="2" s="1"/>
  <c r="U40" i="2"/>
  <c r="R40" i="2"/>
  <c r="V40" i="2" s="1"/>
  <c r="L40" i="2"/>
  <c r="AU39" i="2"/>
  <c r="AO39" i="2"/>
  <c r="AL39" i="2"/>
  <c r="AQ39" i="2" s="1"/>
  <c r="AG39" i="2"/>
  <c r="AB39" i="2"/>
  <c r="Y39" i="2"/>
  <c r="AH39" i="2" s="1"/>
  <c r="U39" i="2"/>
  <c r="R39" i="2"/>
  <c r="V39" i="2" s="1"/>
  <c r="L39" i="2"/>
  <c r="AU38" i="2"/>
  <c r="AO38" i="2"/>
  <c r="AL38" i="2"/>
  <c r="AQ38" i="2" s="1"/>
  <c r="AG38" i="2"/>
  <c r="AB38" i="2"/>
  <c r="Y38" i="2"/>
  <c r="AH38" i="2" s="1"/>
  <c r="U38" i="2"/>
  <c r="R38" i="2"/>
  <c r="L38" i="2"/>
  <c r="AU37" i="2"/>
  <c r="AO37" i="2"/>
  <c r="AL37" i="2"/>
  <c r="AG37" i="2"/>
  <c r="AB37" i="2"/>
  <c r="Y37" i="2"/>
  <c r="AH37" i="2" s="1"/>
  <c r="U37" i="2"/>
  <c r="R37" i="2"/>
  <c r="V37" i="2" s="1"/>
  <c r="L37" i="2"/>
  <c r="AU36" i="2"/>
  <c r="AQ36" i="2"/>
  <c r="AO36" i="2"/>
  <c r="AL36" i="2"/>
  <c r="AG36" i="2"/>
  <c r="AB36" i="2"/>
  <c r="Y36" i="2"/>
  <c r="AH36" i="2" s="1"/>
  <c r="U36" i="2"/>
  <c r="R36" i="2"/>
  <c r="V36" i="2" s="1"/>
  <c r="L36" i="2"/>
  <c r="AU35" i="2"/>
  <c r="AO35" i="2"/>
  <c r="AL35" i="2"/>
  <c r="AQ35" i="2" s="1"/>
  <c r="AG35" i="2"/>
  <c r="AB35" i="2"/>
  <c r="Y35" i="2"/>
  <c r="AH35" i="2" s="1"/>
  <c r="U35" i="2"/>
  <c r="V35" i="2" s="1"/>
  <c r="R35" i="2"/>
  <c r="L35" i="2"/>
  <c r="AO34" i="2"/>
  <c r="AL34" i="2"/>
  <c r="AQ34" i="2" s="1"/>
  <c r="AG34" i="2"/>
  <c r="AB34" i="2"/>
  <c r="Y34" i="2"/>
  <c r="AH34" i="2" s="1"/>
  <c r="U34" i="2"/>
  <c r="R34" i="2"/>
  <c r="V34" i="2" s="1"/>
  <c r="L34" i="2"/>
  <c r="AU33" i="2"/>
  <c r="AO33" i="2"/>
  <c r="AL33" i="2"/>
  <c r="AQ33" i="2" s="1"/>
  <c r="AG33" i="2"/>
  <c r="AB33" i="2"/>
  <c r="Y33" i="2"/>
  <c r="AH33" i="2" s="1"/>
  <c r="U33" i="2"/>
  <c r="R33" i="2"/>
  <c r="L33" i="2"/>
  <c r="AU32" i="2"/>
  <c r="AO32" i="2"/>
  <c r="AL32" i="2"/>
  <c r="AQ32" i="2" s="1"/>
  <c r="AG32" i="2"/>
  <c r="AB32" i="2"/>
  <c r="AH32" i="2" s="1"/>
  <c r="Y32" i="2"/>
  <c r="U32" i="2"/>
  <c r="R32" i="2"/>
  <c r="L32" i="2"/>
  <c r="AU31" i="2"/>
  <c r="AO31" i="2"/>
  <c r="AL31" i="2"/>
  <c r="AG31" i="2"/>
  <c r="AB31" i="2"/>
  <c r="Y31" i="2"/>
  <c r="AH31" i="2" s="1"/>
  <c r="U31" i="2"/>
  <c r="R31" i="2"/>
  <c r="L31" i="2"/>
  <c r="AU30" i="2"/>
  <c r="AO30" i="2"/>
  <c r="AL30" i="2"/>
  <c r="AQ30" i="2" s="1"/>
  <c r="AG30" i="2"/>
  <c r="AB30" i="2"/>
  <c r="Y30" i="2"/>
  <c r="AH30" i="2" s="1"/>
  <c r="U30" i="2"/>
  <c r="R30" i="2"/>
  <c r="V30" i="2" s="1"/>
  <c r="L30" i="2"/>
  <c r="AU29" i="2"/>
  <c r="AO29" i="2"/>
  <c r="AL29" i="2"/>
  <c r="AQ29" i="2" s="1"/>
  <c r="AG29" i="2"/>
  <c r="AB29" i="2"/>
  <c r="Y29" i="2"/>
  <c r="AH29" i="2" s="1"/>
  <c r="U29" i="2"/>
  <c r="R29" i="2"/>
  <c r="L29" i="2"/>
  <c r="AU28" i="2"/>
  <c r="AO28" i="2"/>
  <c r="AL28" i="2"/>
  <c r="AQ28" i="2" s="1"/>
  <c r="AH28" i="2"/>
  <c r="AG28" i="2"/>
  <c r="AB28" i="2"/>
  <c r="Y28" i="2"/>
  <c r="U28" i="2"/>
  <c r="R28" i="2"/>
  <c r="V28" i="2" s="1"/>
  <c r="L28" i="2"/>
  <c r="AU27" i="2"/>
  <c r="AO27" i="2"/>
  <c r="AL27" i="2"/>
  <c r="AQ27" i="2" s="1"/>
  <c r="AG27" i="2"/>
  <c r="AB27" i="2"/>
  <c r="Y27" i="2"/>
  <c r="AH27" i="2" s="1"/>
  <c r="U27" i="2"/>
  <c r="R27" i="2"/>
  <c r="L27" i="2"/>
  <c r="AU26" i="2"/>
  <c r="AO26" i="2"/>
  <c r="AL26" i="2"/>
  <c r="AQ26" i="2" s="1"/>
  <c r="AG26" i="2"/>
  <c r="AB26" i="2"/>
  <c r="Y26" i="2"/>
  <c r="AH26" i="2" s="1"/>
  <c r="U26" i="2"/>
  <c r="R26" i="2"/>
  <c r="L26" i="2"/>
  <c r="AU25" i="2"/>
  <c r="AQ25" i="2"/>
  <c r="AO25" i="2"/>
  <c r="AL25" i="2"/>
  <c r="AG25" i="2"/>
  <c r="AB25" i="2"/>
  <c r="Y25" i="2"/>
  <c r="AH25" i="2" s="1"/>
  <c r="U25" i="2"/>
  <c r="R25" i="2"/>
  <c r="V25" i="2" s="1"/>
  <c r="L25" i="2"/>
  <c r="AU24" i="2"/>
  <c r="AO24" i="2"/>
  <c r="AL24" i="2"/>
  <c r="AQ24" i="2" s="1"/>
  <c r="AG24" i="2"/>
  <c r="AB24" i="2"/>
  <c r="Y24" i="2"/>
  <c r="AH24" i="2" s="1"/>
  <c r="U24" i="2"/>
  <c r="R24" i="2"/>
  <c r="L24" i="2"/>
  <c r="AU23" i="2"/>
  <c r="AO23" i="2"/>
  <c r="AL23" i="2"/>
  <c r="AQ23" i="2" s="1"/>
  <c r="AG23" i="2"/>
  <c r="AB23" i="2"/>
  <c r="Y23" i="2"/>
  <c r="AH23" i="2" s="1"/>
  <c r="U23" i="2"/>
  <c r="R23" i="2"/>
  <c r="V23" i="2" s="1"/>
  <c r="L23" i="2"/>
  <c r="AU22" i="2"/>
  <c r="AO22" i="2"/>
  <c r="AL22" i="2"/>
  <c r="AQ22" i="2" s="1"/>
  <c r="AG22" i="2"/>
  <c r="AB22" i="2"/>
  <c r="Y22" i="2"/>
  <c r="AH22" i="2" s="1"/>
  <c r="U22" i="2"/>
  <c r="R22" i="2"/>
  <c r="L22" i="2"/>
  <c r="G21" i="2"/>
  <c r="AU20" i="2"/>
  <c r="AO20" i="2"/>
  <c r="AL20" i="2"/>
  <c r="AG20" i="2"/>
  <c r="AB20" i="2"/>
  <c r="Y20" i="2"/>
  <c r="AH20" i="2" s="1"/>
  <c r="U20" i="2"/>
  <c r="R20" i="2"/>
  <c r="V20" i="2" s="1"/>
  <c r="L20" i="2"/>
  <c r="AU19" i="2"/>
  <c r="AO19" i="2"/>
  <c r="AQ19" i="2" s="1"/>
  <c r="AL19" i="2"/>
  <c r="AG19" i="2"/>
  <c r="AB19" i="2"/>
  <c r="Y19" i="2"/>
  <c r="AH19" i="2" s="1"/>
  <c r="U19" i="2"/>
  <c r="V19" i="2" s="1"/>
  <c r="R19" i="2"/>
  <c r="L19" i="2"/>
  <c r="AU18" i="2"/>
  <c r="AO18" i="2"/>
  <c r="AL18" i="2"/>
  <c r="AQ18" i="2" s="1"/>
  <c r="AG18" i="2"/>
  <c r="AB18" i="2"/>
  <c r="Y18" i="2"/>
  <c r="AH18" i="2" s="1"/>
  <c r="U18" i="2"/>
  <c r="R18" i="2"/>
  <c r="V18" i="2" s="1"/>
  <c r="L18" i="2"/>
  <c r="G17" i="2"/>
  <c r="G16" i="2"/>
  <c r="G15" i="2"/>
  <c r="AU14" i="2"/>
  <c r="AO14" i="2"/>
  <c r="AL14" i="2"/>
  <c r="AG14" i="2"/>
  <c r="AB14" i="2"/>
  <c r="Y14" i="2"/>
  <c r="U14" i="2"/>
  <c r="R14" i="2"/>
  <c r="V14" i="2" s="1"/>
  <c r="L14" i="2"/>
  <c r="G13" i="2"/>
  <c r="AQ12" i="2"/>
  <c r="AD12" i="2"/>
  <c r="AB12" i="2"/>
  <c r="Y12" i="2"/>
  <c r="R12" i="2"/>
  <c r="V12" i="2" s="1"/>
  <c r="AU11" i="2"/>
  <c r="AO11" i="2"/>
  <c r="AL11" i="2"/>
  <c r="AQ11" i="2" s="1"/>
  <c r="AG11" i="2"/>
  <c r="AB11" i="2"/>
  <c r="Y11" i="2"/>
  <c r="AH11" i="2" s="1"/>
  <c r="E11" i="2" s="1"/>
  <c r="G11" i="2" s="1"/>
  <c r="U11" i="2"/>
  <c r="R11" i="2"/>
  <c r="V11" i="2" s="1"/>
  <c r="L11" i="2"/>
  <c r="AU10" i="2"/>
  <c r="AO10" i="2"/>
  <c r="AL10" i="2"/>
  <c r="AQ10" i="2" s="1"/>
  <c r="AG10" i="2"/>
  <c r="AB10" i="2"/>
  <c r="Y10" i="2"/>
  <c r="U10" i="2"/>
  <c r="R10" i="2"/>
  <c r="V10" i="2" s="1"/>
  <c r="L10" i="2"/>
  <c r="G9" i="2"/>
  <c r="AQ8" i="2"/>
  <c r="AD8" i="2"/>
  <c r="AI8" i="2" s="1"/>
  <c r="F8" i="2" s="1"/>
  <c r="H8" i="2" s="1"/>
  <c r="AB8" i="2"/>
  <c r="AH8" i="2" s="1"/>
  <c r="V8" i="2"/>
  <c r="N8" i="2"/>
  <c r="L8" i="2"/>
  <c r="AU7" i="2"/>
  <c r="AQ7" i="2"/>
  <c r="AB7" i="2"/>
  <c r="Y7" i="2"/>
  <c r="V7" i="2"/>
  <c r="L7" i="2"/>
  <c r="AU6" i="2"/>
  <c r="AO6" i="2"/>
  <c r="AL6" i="2"/>
  <c r="AQ6" i="2" s="1"/>
  <c r="AG6" i="2"/>
  <c r="AB6" i="2"/>
  <c r="Y6" i="2"/>
  <c r="AH6" i="2" s="1"/>
  <c r="U6" i="2"/>
  <c r="V6" i="2" s="1"/>
  <c r="R6" i="2"/>
  <c r="L6" i="2"/>
  <c r="AT65" i="1"/>
  <c r="AO65" i="1"/>
  <c r="AL65" i="1"/>
  <c r="AI65" i="1"/>
  <c r="AF65" i="1"/>
  <c r="AB65" i="1"/>
  <c r="W65" i="1"/>
  <c r="R65" i="1"/>
  <c r="L65" i="1"/>
  <c r="AT64" i="1"/>
  <c r="AO64" i="1"/>
  <c r="AL64" i="1"/>
  <c r="AI64" i="1"/>
  <c r="AF64" i="1"/>
  <c r="AB64" i="1"/>
  <c r="AP64" i="1" s="1"/>
  <c r="W64" i="1"/>
  <c r="R64" i="1"/>
  <c r="L64" i="1"/>
  <c r="AT63" i="1"/>
  <c r="AO63" i="1"/>
  <c r="AL63" i="1"/>
  <c r="AI63" i="1"/>
  <c r="AF63" i="1"/>
  <c r="AB63" i="1"/>
  <c r="W63" i="1"/>
  <c r="X63" i="1" s="1"/>
  <c r="R63" i="1"/>
  <c r="L63" i="1"/>
  <c r="AT62" i="1"/>
  <c r="AO62" i="1"/>
  <c r="AL62" i="1"/>
  <c r="AI62" i="1"/>
  <c r="AF62" i="1"/>
  <c r="AB62" i="1"/>
  <c r="W62" i="1"/>
  <c r="R62" i="1"/>
  <c r="X62" i="1" s="1"/>
  <c r="L62" i="1"/>
  <c r="AT61" i="1"/>
  <c r="AO61" i="1"/>
  <c r="AL61" i="1"/>
  <c r="AI61" i="1"/>
  <c r="AF61" i="1"/>
  <c r="AB61" i="1"/>
  <c r="AP61" i="1" s="1"/>
  <c r="W61" i="1"/>
  <c r="R61" i="1"/>
  <c r="X61" i="1" s="1"/>
  <c r="L61" i="1"/>
  <c r="AT60" i="1"/>
  <c r="AO60" i="1"/>
  <c r="AL60" i="1"/>
  <c r="AI60" i="1"/>
  <c r="AF60" i="1"/>
  <c r="AB60" i="1"/>
  <c r="X60" i="1"/>
  <c r="W60" i="1"/>
  <c r="R60" i="1"/>
  <c r="L60" i="1"/>
  <c r="AT59" i="1"/>
  <c r="AO59" i="1"/>
  <c r="AL59" i="1"/>
  <c r="AI59" i="1"/>
  <c r="AF59" i="1"/>
  <c r="AB59" i="1"/>
  <c r="AP59" i="1" s="1"/>
  <c r="W59" i="1"/>
  <c r="R59" i="1"/>
  <c r="L59" i="1"/>
  <c r="AT58" i="1"/>
  <c r="AO58" i="1"/>
  <c r="AL58" i="1"/>
  <c r="AI58" i="1"/>
  <c r="AF58" i="1"/>
  <c r="AB58" i="1"/>
  <c r="W58" i="1"/>
  <c r="R58" i="1"/>
  <c r="X58" i="1" s="1"/>
  <c r="L58" i="1"/>
  <c r="AT57" i="1"/>
  <c r="AO57" i="1"/>
  <c r="AL57" i="1"/>
  <c r="AI57" i="1"/>
  <c r="AF57" i="1"/>
  <c r="AB57" i="1"/>
  <c r="AP57" i="1" s="1"/>
  <c r="W57" i="1"/>
  <c r="R57" i="1"/>
  <c r="X57" i="1" s="1"/>
  <c r="L57" i="1"/>
  <c r="AT56" i="1"/>
  <c r="AO56" i="1"/>
  <c r="AL56" i="1"/>
  <c r="AI56" i="1"/>
  <c r="AF56" i="1"/>
  <c r="AB56" i="1"/>
  <c r="AP56" i="1" s="1"/>
  <c r="W56" i="1"/>
  <c r="R56" i="1"/>
  <c r="X56" i="1" s="1"/>
  <c r="L56" i="1"/>
  <c r="AT55" i="1"/>
  <c r="AO55" i="1"/>
  <c r="AL55" i="1"/>
  <c r="AI55" i="1"/>
  <c r="AF55" i="1"/>
  <c r="AB55" i="1"/>
  <c r="AP55" i="1" s="1"/>
  <c r="E55" i="1" s="1"/>
  <c r="G55" i="1" s="1"/>
  <c r="W55" i="1"/>
  <c r="R55" i="1"/>
  <c r="X55" i="1" s="1"/>
  <c r="L55" i="1"/>
  <c r="AT54" i="1"/>
  <c r="AO54" i="1"/>
  <c r="AL54" i="1"/>
  <c r="AI54" i="1"/>
  <c r="AF54" i="1"/>
  <c r="AB54" i="1"/>
  <c r="W54" i="1"/>
  <c r="R54" i="1"/>
  <c r="L54" i="1"/>
  <c r="AT53" i="1"/>
  <c r="AO53" i="1"/>
  <c r="AL53" i="1"/>
  <c r="AI53" i="1"/>
  <c r="AF53" i="1"/>
  <c r="AB53" i="1"/>
  <c r="W53" i="1"/>
  <c r="R53" i="1"/>
  <c r="X53" i="1" s="1"/>
  <c r="L53" i="1"/>
  <c r="AT52" i="1"/>
  <c r="AO52" i="1"/>
  <c r="AL52" i="1"/>
  <c r="AI52" i="1"/>
  <c r="AF52" i="1"/>
  <c r="AB52" i="1"/>
  <c r="AP52" i="1" s="1"/>
  <c r="E52" i="1" s="1"/>
  <c r="G52" i="1" s="1"/>
  <c r="W52" i="1"/>
  <c r="R52" i="1"/>
  <c r="X52" i="1" s="1"/>
  <c r="L52" i="1"/>
  <c r="AT51" i="1"/>
  <c r="AO51" i="1"/>
  <c r="AL51" i="1"/>
  <c r="AI51" i="1"/>
  <c r="AF51" i="1"/>
  <c r="AB51" i="1"/>
  <c r="W51" i="1"/>
  <c r="R51" i="1"/>
  <c r="X51" i="1" s="1"/>
  <c r="L51" i="1"/>
  <c r="AT50" i="1"/>
  <c r="AO50" i="1"/>
  <c r="AP50" i="1" s="1"/>
  <c r="AL50" i="1"/>
  <c r="AI50" i="1"/>
  <c r="AF50" i="1"/>
  <c r="AB50" i="1"/>
  <c r="W50" i="1"/>
  <c r="R50" i="1"/>
  <c r="X50" i="1" s="1"/>
  <c r="L50" i="1"/>
  <c r="AT49" i="1"/>
  <c r="AO49" i="1"/>
  <c r="AL49" i="1"/>
  <c r="AI49" i="1"/>
  <c r="AF49" i="1"/>
  <c r="AB49" i="1"/>
  <c r="AP49" i="1" s="1"/>
  <c r="W49" i="1"/>
  <c r="R49" i="1"/>
  <c r="X49" i="1" s="1"/>
  <c r="L49" i="1"/>
  <c r="AT48" i="1"/>
  <c r="AO48" i="1"/>
  <c r="AL48" i="1"/>
  <c r="AI48" i="1"/>
  <c r="AF48" i="1"/>
  <c r="AB48" i="1"/>
  <c r="W48" i="1"/>
  <c r="R48" i="1"/>
  <c r="X48" i="1" s="1"/>
  <c r="L48" i="1"/>
  <c r="AT47" i="1"/>
  <c r="AO47" i="1"/>
  <c r="AL47" i="1"/>
  <c r="AI47" i="1"/>
  <c r="AF47" i="1"/>
  <c r="AB47" i="1"/>
  <c r="W47" i="1"/>
  <c r="R47" i="1"/>
  <c r="X47" i="1" s="1"/>
  <c r="L47" i="1"/>
  <c r="AT46" i="1"/>
  <c r="AO46" i="1"/>
  <c r="AL46" i="1"/>
  <c r="AI46" i="1"/>
  <c r="AF46" i="1"/>
  <c r="AB46" i="1"/>
  <c r="W46" i="1"/>
  <c r="R46" i="1"/>
  <c r="X46" i="1" s="1"/>
  <c r="L46" i="1"/>
  <c r="AT45" i="1"/>
  <c r="AO45" i="1"/>
  <c r="AL45" i="1"/>
  <c r="AI45" i="1"/>
  <c r="AF45" i="1"/>
  <c r="AB45" i="1"/>
  <c r="AP45" i="1" s="1"/>
  <c r="W45" i="1"/>
  <c r="R45" i="1"/>
  <c r="L45" i="1"/>
  <c r="AT44" i="1"/>
  <c r="AO44" i="1"/>
  <c r="AL44" i="1"/>
  <c r="AI44" i="1"/>
  <c r="AF44" i="1"/>
  <c r="AB44" i="1"/>
  <c r="W44" i="1"/>
  <c r="R44" i="1"/>
  <c r="X44" i="1" s="1"/>
  <c r="L44" i="1"/>
  <c r="AT43" i="1"/>
  <c r="AO43" i="1"/>
  <c r="AL43" i="1"/>
  <c r="AI43" i="1"/>
  <c r="AF43" i="1"/>
  <c r="AB43" i="1"/>
  <c r="AP43" i="1" s="1"/>
  <c r="W43" i="1"/>
  <c r="R43" i="1"/>
  <c r="X43" i="1" s="1"/>
  <c r="L43" i="1"/>
  <c r="AT42" i="1"/>
  <c r="AO42" i="1"/>
  <c r="AL42" i="1"/>
  <c r="AI42" i="1"/>
  <c r="AF42" i="1"/>
  <c r="AB42" i="1"/>
  <c r="W42" i="1"/>
  <c r="R42" i="1"/>
  <c r="L42" i="1"/>
  <c r="AT41" i="1"/>
  <c r="AO41" i="1"/>
  <c r="AL41" i="1"/>
  <c r="AI41" i="1"/>
  <c r="AF41" i="1"/>
  <c r="AB41" i="1"/>
  <c r="W41" i="1"/>
  <c r="R41" i="1"/>
  <c r="X41" i="1" s="1"/>
  <c r="L41" i="1"/>
  <c r="AT40" i="1"/>
  <c r="AO40" i="1"/>
  <c r="AL40" i="1"/>
  <c r="AI40" i="1"/>
  <c r="AF40" i="1"/>
  <c r="AB40" i="1"/>
  <c r="W40" i="1"/>
  <c r="R40" i="1"/>
  <c r="X40" i="1" s="1"/>
  <c r="L40" i="1"/>
  <c r="AT39" i="1"/>
  <c r="AO39" i="1"/>
  <c r="AL39" i="1"/>
  <c r="AI39" i="1"/>
  <c r="AF39" i="1"/>
  <c r="AB39" i="1"/>
  <c r="W39" i="1"/>
  <c r="R39" i="1"/>
  <c r="X39" i="1" s="1"/>
  <c r="L39" i="1"/>
  <c r="AT38" i="1"/>
  <c r="AO38" i="1"/>
  <c r="AL38" i="1"/>
  <c r="AI38" i="1"/>
  <c r="AF38" i="1"/>
  <c r="AB38" i="1"/>
  <c r="W38" i="1"/>
  <c r="R38" i="1"/>
  <c r="X38" i="1" s="1"/>
  <c r="L38" i="1"/>
  <c r="AT37" i="1"/>
  <c r="AO37" i="1"/>
  <c r="AL37" i="1"/>
  <c r="AI37" i="1"/>
  <c r="AF37" i="1"/>
  <c r="AB37" i="1"/>
  <c r="AP37" i="1" s="1"/>
  <c r="W37" i="1"/>
  <c r="R37" i="1"/>
  <c r="X37" i="1" s="1"/>
  <c r="L37" i="1"/>
  <c r="AT36" i="1"/>
  <c r="AO36" i="1"/>
  <c r="AL36" i="1"/>
  <c r="AI36" i="1"/>
  <c r="AF36" i="1"/>
  <c r="AB36" i="1"/>
  <c r="AP36" i="1" s="1"/>
  <c r="W36" i="1"/>
  <c r="R36" i="1"/>
  <c r="L36" i="1"/>
  <c r="AT35" i="1"/>
  <c r="AO35" i="1"/>
  <c r="AL35" i="1"/>
  <c r="AI35" i="1"/>
  <c r="AF35" i="1"/>
  <c r="AB35" i="1"/>
  <c r="W35" i="1"/>
  <c r="R35" i="1"/>
  <c r="L35" i="1"/>
  <c r="AT34" i="1"/>
  <c r="AO34" i="1"/>
  <c r="AL34" i="1"/>
  <c r="AI34" i="1"/>
  <c r="AF34" i="1"/>
  <c r="AB34" i="1"/>
  <c r="W34" i="1"/>
  <c r="R34" i="1"/>
  <c r="X34" i="1" s="1"/>
  <c r="L34" i="1"/>
  <c r="AT33" i="1"/>
  <c r="AO33" i="1"/>
  <c r="AL33" i="1"/>
  <c r="AI33" i="1"/>
  <c r="AF33" i="1"/>
  <c r="AB33" i="1"/>
  <c r="AP33" i="1" s="1"/>
  <c r="W33" i="1"/>
  <c r="R33" i="1"/>
  <c r="X33" i="1" s="1"/>
  <c r="L33" i="1"/>
  <c r="AT32" i="1"/>
  <c r="AO32" i="1"/>
  <c r="AL32" i="1"/>
  <c r="AI32" i="1"/>
  <c r="AF32" i="1"/>
  <c r="AB32" i="1"/>
  <c r="W32" i="1"/>
  <c r="R32" i="1"/>
  <c r="X32" i="1" s="1"/>
  <c r="L32" i="1"/>
  <c r="AT31" i="1"/>
  <c r="AO31" i="1"/>
  <c r="AL31" i="1"/>
  <c r="AI31" i="1"/>
  <c r="AF31" i="1"/>
  <c r="AB31" i="1"/>
  <c r="AP31" i="1" s="1"/>
  <c r="W31" i="1"/>
  <c r="R31" i="1"/>
  <c r="L31" i="1"/>
  <c r="AT30" i="1"/>
  <c r="AO30" i="1"/>
  <c r="AL30" i="1"/>
  <c r="AI30" i="1"/>
  <c r="AF30" i="1"/>
  <c r="AB30" i="1"/>
  <c r="W30" i="1"/>
  <c r="R30" i="1"/>
  <c r="L30" i="1"/>
  <c r="AT29" i="1"/>
  <c r="AP29" i="1"/>
  <c r="AO29" i="1"/>
  <c r="AL29" i="1"/>
  <c r="AI29" i="1"/>
  <c r="AF29" i="1"/>
  <c r="AB29" i="1"/>
  <c r="W29" i="1"/>
  <c r="R29" i="1"/>
  <c r="X29" i="1" s="1"/>
  <c r="L29" i="1"/>
  <c r="AT28" i="1"/>
  <c r="AO28" i="1"/>
  <c r="AL28" i="1"/>
  <c r="AI28" i="1"/>
  <c r="AF28" i="1"/>
  <c r="AB28" i="1"/>
  <c r="AP28" i="1" s="1"/>
  <c r="W28" i="1"/>
  <c r="R28" i="1"/>
  <c r="L28" i="1"/>
  <c r="AT27" i="1"/>
  <c r="AO27" i="1"/>
  <c r="AL27" i="1"/>
  <c r="AI27" i="1"/>
  <c r="AF27" i="1"/>
  <c r="AB27" i="1"/>
  <c r="AP27" i="1" s="1"/>
  <c r="W27" i="1"/>
  <c r="R27" i="1"/>
  <c r="X27" i="1" s="1"/>
  <c r="L27" i="1"/>
  <c r="AT26" i="1"/>
  <c r="AO26" i="1"/>
  <c r="AL26" i="1"/>
  <c r="AI26" i="1"/>
  <c r="AF26" i="1"/>
  <c r="AB26" i="1"/>
  <c r="AP26" i="1" s="1"/>
  <c r="W26" i="1"/>
  <c r="R26" i="1"/>
  <c r="X26" i="1" s="1"/>
  <c r="L26" i="1"/>
  <c r="E26" i="1"/>
  <c r="G26" i="1" s="1"/>
  <c r="AT25" i="1"/>
  <c r="AO25" i="1"/>
  <c r="AL25" i="1"/>
  <c r="AI25" i="1"/>
  <c r="AF25" i="1"/>
  <c r="AB25" i="1"/>
  <c r="W25" i="1"/>
  <c r="X25" i="1" s="1"/>
  <c r="R25" i="1"/>
  <c r="L25" i="1"/>
  <c r="AT24" i="1"/>
  <c r="AO24" i="1"/>
  <c r="AL24" i="1"/>
  <c r="AI24" i="1"/>
  <c r="AF24" i="1"/>
  <c r="AB24" i="1"/>
  <c r="AP24" i="1" s="1"/>
  <c r="W24" i="1"/>
  <c r="R24" i="1"/>
  <c r="X24" i="1" s="1"/>
  <c r="E24" i="1" s="1"/>
  <c r="G24" i="1" s="1"/>
  <c r="L24" i="1"/>
  <c r="AT23" i="1"/>
  <c r="AO23" i="1"/>
  <c r="AL23" i="1"/>
  <c r="AI23" i="1"/>
  <c r="AF23" i="1"/>
  <c r="AB23" i="1"/>
  <c r="W23" i="1"/>
  <c r="R23" i="1"/>
  <c r="X23" i="1" s="1"/>
  <c r="L23" i="1"/>
  <c r="AT22" i="1"/>
  <c r="AO22" i="1"/>
  <c r="AL22" i="1"/>
  <c r="AI22" i="1"/>
  <c r="AF22" i="1"/>
  <c r="AB22" i="1"/>
  <c r="W22" i="1"/>
  <c r="R22" i="1"/>
  <c r="X22" i="1" s="1"/>
  <c r="L22" i="1"/>
  <c r="AT21" i="1"/>
  <c r="AO21" i="1"/>
  <c r="AL21" i="1"/>
  <c r="AI21" i="1"/>
  <c r="AF21" i="1"/>
  <c r="AB21" i="1"/>
  <c r="AP21" i="1" s="1"/>
  <c r="W21" i="1"/>
  <c r="R21" i="1"/>
  <c r="X21" i="1" s="1"/>
  <c r="L21" i="1"/>
  <c r="AT20" i="1"/>
  <c r="AO20" i="1"/>
  <c r="AL20" i="1"/>
  <c r="AI20" i="1"/>
  <c r="AF20" i="1"/>
  <c r="AB20" i="1"/>
  <c r="W20" i="1"/>
  <c r="R20" i="1"/>
  <c r="X20" i="1" s="1"/>
  <c r="L20" i="1"/>
  <c r="AT19" i="1"/>
  <c r="AO19" i="1"/>
  <c r="AL19" i="1"/>
  <c r="AI19" i="1"/>
  <c r="AF19" i="1"/>
  <c r="AB19" i="1"/>
  <c r="W19" i="1"/>
  <c r="R19" i="1"/>
  <c r="X19" i="1" s="1"/>
  <c r="L19" i="1"/>
  <c r="AT18" i="1"/>
  <c r="AO18" i="1"/>
  <c r="AL18" i="1"/>
  <c r="AI18" i="1"/>
  <c r="AF18" i="1"/>
  <c r="AB18" i="1"/>
  <c r="AP18" i="1" s="1"/>
  <c r="X18" i="1"/>
  <c r="W18" i="1"/>
  <c r="R18" i="1"/>
  <c r="L18" i="1"/>
  <c r="AT17" i="1"/>
  <c r="AO17" i="1"/>
  <c r="AL17" i="1"/>
  <c r="AI17" i="1"/>
  <c r="AF17" i="1"/>
  <c r="AB17" i="1"/>
  <c r="AP17" i="1" s="1"/>
  <c r="W17" i="1"/>
  <c r="R17" i="1"/>
  <c r="L17" i="1"/>
  <c r="AT16" i="1"/>
  <c r="AO16" i="1"/>
  <c r="AL16" i="1"/>
  <c r="AI16" i="1"/>
  <c r="AF16" i="1"/>
  <c r="AB16" i="1"/>
  <c r="W16" i="1"/>
  <c r="R16" i="1"/>
  <c r="X16" i="1" s="1"/>
  <c r="L16" i="1"/>
  <c r="AT15" i="1"/>
  <c r="AO15" i="1"/>
  <c r="AL15" i="1"/>
  <c r="AI15" i="1"/>
  <c r="AF15" i="1"/>
  <c r="AB15" i="1"/>
  <c r="W15" i="1"/>
  <c r="X15" i="1" s="1"/>
  <c r="R15" i="1"/>
  <c r="L15" i="1"/>
  <c r="AT14" i="1"/>
  <c r="AO14" i="1"/>
  <c r="AL14" i="1"/>
  <c r="AI14" i="1"/>
  <c r="AF14" i="1"/>
  <c r="AB14" i="1"/>
  <c r="W14" i="1"/>
  <c r="R14" i="1"/>
  <c r="X14" i="1" s="1"/>
  <c r="L14" i="1"/>
  <c r="AT13" i="1"/>
  <c r="AO13" i="1"/>
  <c r="AL13" i="1"/>
  <c r="AI13" i="1"/>
  <c r="AF13" i="1"/>
  <c r="AB13" i="1"/>
  <c r="W13" i="1"/>
  <c r="R13" i="1"/>
  <c r="L13" i="1"/>
  <c r="AT12" i="1"/>
  <c r="AO12" i="1"/>
  <c r="AL12" i="1"/>
  <c r="AI12" i="1"/>
  <c r="AF12" i="1"/>
  <c r="AB12" i="1"/>
  <c r="W12" i="1"/>
  <c r="R12" i="1"/>
  <c r="X12" i="1" s="1"/>
  <c r="L12" i="1"/>
  <c r="AT11" i="1"/>
  <c r="AO11" i="1"/>
  <c r="AL11" i="1"/>
  <c r="AI11" i="1"/>
  <c r="AF11" i="1"/>
  <c r="AB11" i="1"/>
  <c r="W11" i="1"/>
  <c r="R11" i="1"/>
  <c r="X11" i="1" s="1"/>
  <c r="L11" i="1"/>
  <c r="AT10" i="1"/>
  <c r="AO10" i="1"/>
  <c r="AL10" i="1"/>
  <c r="AI10" i="1"/>
  <c r="AF10" i="1"/>
  <c r="AB10" i="1"/>
  <c r="AP10" i="1" s="1"/>
  <c r="W10" i="1"/>
  <c r="R10" i="1"/>
  <c r="L10" i="1"/>
  <c r="AT9" i="1"/>
  <c r="AO9" i="1"/>
  <c r="AL9" i="1"/>
  <c r="AI9" i="1"/>
  <c r="AF9" i="1"/>
  <c r="AB9" i="1"/>
  <c r="AP9" i="1" s="1"/>
  <c r="W9" i="1"/>
  <c r="R9" i="1"/>
  <c r="X9" i="1" s="1"/>
  <c r="E9" i="1" s="1"/>
  <c r="H9" i="1" s="1"/>
  <c r="L9" i="1"/>
  <c r="AT8" i="1"/>
  <c r="AO8" i="1"/>
  <c r="AL8" i="1"/>
  <c r="AI8" i="1"/>
  <c r="AF8" i="1"/>
  <c r="AB8" i="1"/>
  <c r="W8" i="1"/>
  <c r="T8" i="1"/>
  <c r="R8" i="1"/>
  <c r="X8" i="1" s="1"/>
  <c r="N8" i="1"/>
  <c r="L8" i="1"/>
  <c r="AT7" i="1"/>
  <c r="AO7" i="1"/>
  <c r="AL7" i="1"/>
  <c r="AI7" i="1"/>
  <c r="AF7" i="1"/>
  <c r="AB7" i="1"/>
  <c r="W7" i="1"/>
  <c r="T7" i="1"/>
  <c r="Y7" i="1" s="1"/>
  <c r="R7" i="1"/>
  <c r="X7" i="1" s="1"/>
  <c r="N7" i="1"/>
  <c r="L7" i="1"/>
  <c r="W6" i="1"/>
  <c r="E6" i="1"/>
  <c r="G6" i="1" s="1"/>
  <c r="E18" i="4" l="1"/>
  <c r="G18" i="4" s="1"/>
  <c r="E7" i="4"/>
  <c r="G7" i="4" s="1"/>
  <c r="E29" i="4"/>
  <c r="G29" i="4" s="1"/>
  <c r="E35" i="4"/>
  <c r="G35" i="4" s="1"/>
  <c r="E31" i="4"/>
  <c r="G31" i="4" s="1"/>
  <c r="F7" i="4"/>
  <c r="H7" i="4" s="1"/>
  <c r="E32" i="4"/>
  <c r="G32" i="4" s="1"/>
  <c r="E11" i="4"/>
  <c r="E36" i="4"/>
  <c r="G36" i="4" s="1"/>
  <c r="V19" i="4"/>
  <c r="E19" i="4" s="1"/>
  <c r="G19" i="4" s="1"/>
  <c r="AE16" i="4"/>
  <c r="E16" i="4" s="1"/>
  <c r="G16" i="4" s="1"/>
  <c r="AE26" i="4"/>
  <c r="E26" i="4" s="1"/>
  <c r="G26" i="4" s="1"/>
  <c r="V33" i="4"/>
  <c r="E14" i="4"/>
  <c r="G14" i="4" s="1"/>
  <c r="E30" i="4"/>
  <c r="G30" i="4" s="1"/>
  <c r="E21" i="4"/>
  <c r="G21" i="4" s="1"/>
  <c r="E37" i="4"/>
  <c r="G37" i="4" s="1"/>
  <c r="V10" i="4"/>
  <c r="E10" i="4" s="1"/>
  <c r="G10" i="4" s="1"/>
  <c r="E24" i="4"/>
  <c r="G24" i="4" s="1"/>
  <c r="AE6" i="4"/>
  <c r="E6" i="4" s="1"/>
  <c r="G6" i="4" s="1"/>
  <c r="AE10" i="4"/>
  <c r="E15" i="3"/>
  <c r="G15" i="3" s="1"/>
  <c r="E24" i="3"/>
  <c r="G24" i="3" s="1"/>
  <c r="E38" i="3"/>
  <c r="G38" i="3" s="1"/>
  <c r="E12" i="3"/>
  <c r="F8" i="3"/>
  <c r="H8" i="3" s="1"/>
  <c r="E21" i="3"/>
  <c r="G21" i="3" s="1"/>
  <c r="V17" i="3"/>
  <c r="E17" i="3" s="1"/>
  <c r="G17" i="3" s="1"/>
  <c r="V25" i="3"/>
  <c r="E25" i="3" s="1"/>
  <c r="G25" i="3" s="1"/>
  <c r="V32" i="3"/>
  <c r="E20" i="3"/>
  <c r="G20" i="3" s="1"/>
  <c r="E27" i="3"/>
  <c r="G27" i="3" s="1"/>
  <c r="E34" i="3"/>
  <c r="G34" i="3" s="1"/>
  <c r="AG7" i="3"/>
  <c r="E14" i="3"/>
  <c r="E31" i="3"/>
  <c r="G31" i="3" s="1"/>
  <c r="AH7" i="3"/>
  <c r="F7" i="3" s="1"/>
  <c r="H7" i="3" s="1"/>
  <c r="E32" i="3"/>
  <c r="G32" i="3" s="1"/>
  <c r="AG10" i="3"/>
  <c r="E10" i="3" s="1"/>
  <c r="G10" i="3" s="1"/>
  <c r="E6" i="3"/>
  <c r="G6" i="3" s="1"/>
  <c r="E26" i="3"/>
  <c r="G26" i="3" s="1"/>
  <c r="V37" i="3"/>
  <c r="E37" i="3" s="1"/>
  <c r="G37" i="3" s="1"/>
  <c r="V24" i="2"/>
  <c r="V27" i="2"/>
  <c r="E27" i="2" s="1"/>
  <c r="G27" i="2" s="1"/>
  <c r="V38" i="2"/>
  <c r="E30" i="2"/>
  <c r="G30" i="2" s="1"/>
  <c r="AQ20" i="2"/>
  <c r="E20" i="2" s="1"/>
  <c r="G20" i="2" s="1"/>
  <c r="E18" i="2"/>
  <c r="G18" i="2" s="1"/>
  <c r="V44" i="2"/>
  <c r="E25" i="2"/>
  <c r="G25" i="2" s="1"/>
  <c r="E36" i="2"/>
  <c r="G36" i="2" s="1"/>
  <c r="V50" i="2"/>
  <c r="E50" i="2" s="1"/>
  <c r="G50" i="2" s="1"/>
  <c r="AH7" i="2"/>
  <c r="E7" i="2" s="1"/>
  <c r="V22" i="2"/>
  <c r="AQ44" i="2"/>
  <c r="E28" i="2"/>
  <c r="G28" i="2" s="1"/>
  <c r="V42" i="2"/>
  <c r="E42" i="2" s="1"/>
  <c r="G42" i="2" s="1"/>
  <c r="AH42" i="2"/>
  <c r="AQ53" i="2"/>
  <c r="E53" i="2" s="1"/>
  <c r="G53" i="2" s="1"/>
  <c r="E6" i="2"/>
  <c r="H6" i="2" s="1"/>
  <c r="AI12" i="2"/>
  <c r="F12" i="2" s="1"/>
  <c r="H12" i="2" s="1"/>
  <c r="V31" i="2"/>
  <c r="V33" i="2"/>
  <c r="E33" i="2" s="1"/>
  <c r="G33" i="2" s="1"/>
  <c r="V54" i="2"/>
  <c r="E54" i="2" s="1"/>
  <c r="G54" i="2" s="1"/>
  <c r="V29" i="2"/>
  <c r="E29" i="2" s="1"/>
  <c r="G29" i="2" s="1"/>
  <c r="V32" i="2"/>
  <c r="E32" i="2" s="1"/>
  <c r="G32" i="2" s="1"/>
  <c r="V26" i="2"/>
  <c r="E26" i="2" s="1"/>
  <c r="AH10" i="2"/>
  <c r="E10" i="2" s="1"/>
  <c r="AH14" i="2"/>
  <c r="E14" i="2" s="1"/>
  <c r="H14" i="2" s="1"/>
  <c r="AQ37" i="2"/>
  <c r="E37" i="2" s="1"/>
  <c r="G37" i="2" s="1"/>
  <c r="AH43" i="2"/>
  <c r="E8" i="2"/>
  <c r="G8" i="2" s="1"/>
  <c r="AQ14" i="2"/>
  <c r="AQ40" i="2"/>
  <c r="AH46" i="2"/>
  <c r="E46" i="2" s="1"/>
  <c r="G46" i="2" s="1"/>
  <c r="E39" i="1"/>
  <c r="G39" i="1" s="1"/>
  <c r="E37" i="1"/>
  <c r="G37" i="1" s="1"/>
  <c r="AP63" i="1"/>
  <c r="AP34" i="1"/>
  <c r="X17" i="1"/>
  <c r="Y8" i="1"/>
  <c r="X64" i="1"/>
  <c r="E64" i="1" s="1"/>
  <c r="G64" i="1" s="1"/>
  <c r="E50" i="1"/>
  <c r="G50" i="1" s="1"/>
  <c r="AP8" i="1"/>
  <c r="F8" i="1" s="1"/>
  <c r="H8" i="1" s="1"/>
  <c r="AP11" i="1"/>
  <c r="AP14" i="1"/>
  <c r="E14" i="1" s="1"/>
  <c r="G14" i="1" s="1"/>
  <c r="AP35" i="1"/>
  <c r="AP44" i="1"/>
  <c r="E44" i="1" s="1"/>
  <c r="G44" i="1" s="1"/>
  <c r="AP47" i="1"/>
  <c r="E47" i="1" s="1"/>
  <c r="G47" i="1" s="1"/>
  <c r="AP38" i="1"/>
  <c r="E38" i="1" s="1"/>
  <c r="G38" i="1" s="1"/>
  <c r="AP41" i="1"/>
  <c r="E41" i="1" s="1"/>
  <c r="G41" i="1" s="1"/>
  <c r="E12" i="1"/>
  <c r="G12" i="1" s="1"/>
  <c r="X65" i="1"/>
  <c r="AP13" i="1"/>
  <c r="AP23" i="1"/>
  <c r="E23" i="1" s="1"/>
  <c r="G23" i="1" s="1"/>
  <c r="X31" i="1"/>
  <c r="E31" i="1" s="1"/>
  <c r="G31" i="1" s="1"/>
  <c r="E17" i="1"/>
  <c r="G17" i="1" s="1"/>
  <c r="X35" i="1"/>
  <c r="E35" i="1" s="1"/>
  <c r="G35" i="1" s="1"/>
  <c r="AP22" i="1"/>
  <c r="E22" i="1" s="1"/>
  <c r="G22" i="1" s="1"/>
  <c r="E27" i="1"/>
  <c r="G27" i="1" s="1"/>
  <c r="E10" i="1"/>
  <c r="G10" i="1" s="1"/>
  <c r="AP65" i="1"/>
  <c r="X28" i="1"/>
  <c r="X59" i="1"/>
  <c r="E59" i="1" s="1"/>
  <c r="G59" i="1" s="1"/>
  <c r="AP40" i="1"/>
  <c r="E40" i="1" s="1"/>
  <c r="G40" i="1" s="1"/>
  <c r="X36" i="1"/>
  <c r="AP12" i="1"/>
  <c r="AP51" i="1"/>
  <c r="AP39" i="1"/>
  <c r="X54" i="1"/>
  <c r="E54" i="1" s="1"/>
  <c r="G54" i="1" s="1"/>
  <c r="X45" i="1"/>
  <c r="E45" i="1" s="1"/>
  <c r="G45" i="1" s="1"/>
  <c r="AP62" i="1"/>
  <c r="AP7" i="1"/>
  <c r="F7" i="1" s="1"/>
  <c r="H7" i="1" s="1"/>
  <c r="X13" i="1"/>
  <c r="E43" i="1"/>
  <c r="G43" i="1" s="1"/>
  <c r="E11" i="1"/>
  <c r="G11" i="1" s="1"/>
  <c r="X30" i="1"/>
  <c r="X10" i="1"/>
  <c r="AP16" i="1"/>
  <c r="E16" i="1" s="1"/>
  <c r="G16" i="1" s="1"/>
  <c r="AP19" i="1"/>
  <c r="E19" i="1" s="1"/>
  <c r="G19" i="1" s="1"/>
  <c r="AP42" i="1"/>
  <c r="AP54" i="1"/>
  <c r="H11" i="4"/>
  <c r="G11" i="4"/>
  <c r="H12" i="3"/>
  <c r="G12" i="3"/>
  <c r="H13" i="3"/>
  <c r="G13" i="3"/>
  <c r="H14" i="3"/>
  <c r="G14" i="3"/>
  <c r="E39" i="3"/>
  <c r="G39" i="3" s="1"/>
  <c r="AP46" i="1"/>
  <c r="E35" i="2"/>
  <c r="G35" i="2" s="1"/>
  <c r="G9" i="1"/>
  <c r="E46" i="1"/>
  <c r="G46" i="1" s="1"/>
  <c r="E56" i="1"/>
  <c r="G56" i="1" s="1"/>
  <c r="E16" i="3"/>
  <c r="E62" i="1"/>
  <c r="G62" i="1" s="1"/>
  <c r="E43" i="2"/>
  <c r="G43" i="2" s="1"/>
  <c r="H11" i="2"/>
  <c r="E23" i="2"/>
  <c r="G23" i="2" s="1"/>
  <c r="E56" i="2"/>
  <c r="G56" i="2" s="1"/>
  <c r="E36" i="3"/>
  <c r="G36" i="3" s="1"/>
  <c r="E22" i="2"/>
  <c r="G22" i="2" s="1"/>
  <c r="E40" i="2"/>
  <c r="G40" i="2" s="1"/>
  <c r="E7" i="3"/>
  <c r="G7" i="3" s="1"/>
  <c r="E20" i="4"/>
  <c r="G20" i="4" s="1"/>
  <c r="E51" i="2"/>
  <c r="G51" i="2" s="1"/>
  <c r="E21" i="1"/>
  <c r="G21" i="1" s="1"/>
  <c r="E49" i="1"/>
  <c r="G49" i="1" s="1"/>
  <c r="X42" i="1"/>
  <c r="E22" i="3"/>
  <c r="E36" i="1"/>
  <c r="G36" i="1" s="1"/>
  <c r="E7" i="1"/>
  <c r="G7" i="1" s="1"/>
  <c r="E34" i="1"/>
  <c r="G34" i="1" s="1"/>
  <c r="AG28" i="3"/>
  <c r="E28" i="3" s="1"/>
  <c r="G28" i="3" s="1"/>
  <c r="AE33" i="4"/>
  <c r="E33" i="4" s="1"/>
  <c r="G33" i="4" s="1"/>
  <c r="E38" i="2"/>
  <c r="G38" i="2" s="1"/>
  <c r="E30" i="3"/>
  <c r="G30" i="3" s="1"/>
  <c r="H7" i="2"/>
  <c r="G7" i="2"/>
  <c r="E19" i="2"/>
  <c r="G19" i="2" s="1"/>
  <c r="AP32" i="1"/>
  <c r="E32" i="1" s="1"/>
  <c r="G32" i="1" s="1"/>
  <c r="E31" i="2"/>
  <c r="G31" i="2" s="1"/>
  <c r="E49" i="2"/>
  <c r="G49" i="2" s="1"/>
  <c r="E44" i="2"/>
  <c r="G44" i="2" s="1"/>
  <c r="E15" i="4"/>
  <c r="G15" i="4" s="1"/>
  <c r="E29" i="1"/>
  <c r="G29" i="1" s="1"/>
  <c r="AP60" i="1"/>
  <c r="E60" i="1" s="1"/>
  <c r="G60" i="1" s="1"/>
  <c r="E63" i="1"/>
  <c r="G63" i="1" s="1"/>
  <c r="E39" i="2"/>
  <c r="G39" i="2" s="1"/>
  <c r="E29" i="3"/>
  <c r="G29" i="3" s="1"/>
  <c r="E34" i="4"/>
  <c r="G34" i="4" s="1"/>
  <c r="E57" i="1"/>
  <c r="G57" i="1" s="1"/>
  <c r="E51" i="1"/>
  <c r="G51" i="1" s="1"/>
  <c r="E8" i="1"/>
  <c r="G8" i="1" s="1"/>
  <c r="E24" i="2"/>
  <c r="G24" i="2" s="1"/>
  <c r="V23" i="3"/>
  <c r="E23" i="3" s="1"/>
  <c r="G23" i="3" s="1"/>
  <c r="AG35" i="3"/>
  <c r="E35" i="3" s="1"/>
  <c r="G35" i="3" s="1"/>
  <c r="E28" i="4"/>
  <c r="G28" i="4" s="1"/>
  <c r="E27" i="4"/>
  <c r="G27" i="4" s="1"/>
  <c r="AP20" i="1"/>
  <c r="E20" i="1" s="1"/>
  <c r="G20" i="1" s="1"/>
  <c r="AP25" i="1"/>
  <c r="E25" i="1" s="1"/>
  <c r="G25" i="1" s="1"/>
  <c r="AQ31" i="2"/>
  <c r="E52" i="2"/>
  <c r="G52" i="2" s="1"/>
  <c r="AP15" i="1"/>
  <c r="E15" i="1" s="1"/>
  <c r="G15" i="1" s="1"/>
  <c r="E33" i="1"/>
  <c r="G33" i="1" s="1"/>
  <c r="AP48" i="1"/>
  <c r="E48" i="1" s="1"/>
  <c r="G48" i="1" s="1"/>
  <c r="E34" i="2"/>
  <c r="G34" i="2" s="1"/>
  <c r="E47" i="2"/>
  <c r="G47" i="2" s="1"/>
  <c r="E13" i="4"/>
  <c r="G13" i="4" s="1"/>
  <c r="E45" i="2"/>
  <c r="G45" i="2" s="1"/>
  <c r="E48" i="2"/>
  <c r="G48" i="2" s="1"/>
  <c r="E41" i="2"/>
  <c r="G41" i="2" s="1"/>
  <c r="E18" i="1"/>
  <c r="G18" i="1" s="1"/>
  <c r="E28" i="1"/>
  <c r="G28" i="1" s="1"/>
  <c r="AP53" i="1"/>
  <c r="E53" i="1" s="1"/>
  <c r="G53" i="1" s="1"/>
  <c r="E22" i="4"/>
  <c r="G22" i="4" s="1"/>
  <c r="E55" i="2"/>
  <c r="G55" i="2" s="1"/>
  <c r="AH9" i="3"/>
  <c r="F9" i="3" s="1"/>
  <c r="H9" i="3" s="1"/>
  <c r="AG9" i="3"/>
  <c r="E9" i="3" s="1"/>
  <c r="G9" i="3" s="1"/>
  <c r="AP30" i="1"/>
  <c r="E30" i="1" s="1"/>
  <c r="G30" i="1" s="1"/>
  <c r="AP58" i="1"/>
  <c r="E58" i="1" s="1"/>
  <c r="G58" i="1" s="1"/>
  <c r="E61" i="1"/>
  <c r="G61" i="1" s="1"/>
  <c r="V25" i="4"/>
  <c r="E25" i="4" s="1"/>
  <c r="G25" i="4" s="1"/>
  <c r="AH12" i="2"/>
  <c r="E12" i="2" s="1"/>
  <c r="G12" i="2" s="1"/>
  <c r="G14" i="2" l="1"/>
  <c r="G6" i="2"/>
  <c r="E13" i="1"/>
  <c r="G13" i="1" s="1"/>
  <c r="E42" i="1"/>
  <c r="G42" i="1" s="1"/>
  <c r="H10" i="1"/>
  <c r="E65" i="1"/>
  <c r="G65" i="1" s="1"/>
  <c r="H16" i="3"/>
  <c r="G16" i="3"/>
  <c r="G10" i="2"/>
  <c r="H10" i="2"/>
  <c r="H22" i="3"/>
  <c r="G22" i="3"/>
  <c r="H26" i="2"/>
  <c r="G2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ID#AAABlEyzW8Q
French-Azerbaijani University UFAZ    (2025-06-02 14:59:48)
substitution</t>
        </r>
      </text>
    </comment>
    <comment ref="S7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ID#AAABlktpAZY
French-Azerbaijani University UFAZ    (2025-06-12 14:59:40)
Waves exam</t>
        </r>
      </text>
    </comment>
    <comment ref="S8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ID#AAABlEyzW8Y
French-Azerbaijani University UFAZ    (2025-06-02 15:04:58)
Oscillations</t>
        </r>
      </text>
    </comment>
    <comment ref="K1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ID#AAABlEyzW78
French-Azerbaijani University UFAZ    (2025-06-02 14:40:59)
substitution</t>
        </r>
      </text>
    </comment>
    <comment ref="AJ13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ID#AAABlpaxJ78
French-Azerbaijani University UFAZ    (2025-06-13 12:27:08)
substitution</t>
        </r>
      </text>
    </comment>
    <comment ref="G16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ID#AAABmLXTtyE
French-Azerbaijani University UFAZ    (2025-06-18 08:47:00)
jury point 0.006</t>
        </r>
      </text>
    </comment>
    <comment ref="AJ29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ID#AAABlEyzW74
French-Azerbaijani University UFAZ    (2025-06-02 14:36:18)
substitution</t>
        </r>
      </text>
    </comment>
    <comment ref="AA39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ID#AAABlx4WipM
French-Azerbaijani University UFAZ    (2025-06-18 07:34:52)
substitution</t>
        </r>
      </text>
    </comment>
    <comment ref="K50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ID#AAABlEyzW70
French-Azerbaijani University UFAZ    (2025-06-02 14:35:29)
substitution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SOfUP57tmAVVLN99kGSX6XigV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8" authorId="0" shapeId="0" xr:uid="{00000000-0006-0000-0100-000004000000}">
      <text>
        <r>
          <rPr>
            <sz val="10"/>
            <color rgb="FF000000"/>
            <rFont val="Arial"/>
            <scheme val="minor"/>
          </rPr>
          <t>======
ID#AAABkOJJBm8
French-Azerbaijani University UFAZ    (2025-05-26 12:59:08)
absence limit</t>
        </r>
      </text>
    </comment>
    <comment ref="H9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ID#AAABmNwfW4U
French-Azerbaijani University UFAZ    (2025-06-19 14:30:34)
9.981+jury point</t>
        </r>
      </text>
    </comment>
    <comment ref="P24" authorId="0" shapeId="0" xr:uid="{00000000-0006-0000-0100-000002000000}">
      <text>
        <r>
          <rPr>
            <sz val="10"/>
            <color rgb="FF000000"/>
            <rFont val="Arial"/>
            <scheme val="minor"/>
          </rPr>
          <t>======
ID#AAABlEyzW8U
French-Azerbaijani University UFAZ    (2025-06-02 15:01:21)
substitution</t>
        </r>
      </text>
    </comment>
    <comment ref="AU34" authorId="0" shapeId="0" xr:uid="{00000000-0006-0000-0100-000003000000}">
      <text>
        <r>
          <rPr>
            <sz val="10"/>
            <color rgb="FF000000"/>
            <rFont val="Arial"/>
            <scheme val="minor"/>
          </rPr>
          <t>======
ID#AAABkO6mITc
French-Azerbaijani University UFAZ    (2025-05-26 13:06:50)
absence limit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ZqCLyweqEk96uQWZjlTv3CxSwG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ID#AAABkOJJBng
French-Azerbaijani University UFAZ    (2025-05-26 13:04:44)
absence limit</t>
        </r>
      </text>
    </comment>
    <comment ref="R6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ID#AAABkOJJBnk
French-Azerbaijani University UFAZ    (2025-05-26 13:05:03)
absence limit</t>
        </r>
      </text>
    </comment>
    <comment ref="Y6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ID#AAABkOJJBno
French-Azerbaijani University UFAZ    (2025-05-26 13:05:21)
absence limit</t>
        </r>
      </text>
    </comment>
    <comment ref="AD6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ID#AAABkOJJBns
French-Azerbaijani University UFAZ    (2025-05-26 13:05:30)
absence limit</t>
        </r>
      </text>
    </comment>
    <comment ref="AI6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ID#AAABkO6mITU
French-Azerbaijani University UFAZ    (2025-05-26 13:06:14)
absence limit</t>
        </r>
      </text>
    </comment>
    <comment ref="AJ6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ID#AAABkO6mITY
French-Azerbaijani University UFAZ    (2025-05-26 13:06:18)
absence limit</t>
        </r>
      </text>
    </comment>
    <comment ref="Y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ID#AAABkOJJBnE
French-Azerbaijani University UFAZ    (2025-05-26 13:00:53)
absence limit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ZU/4A6Xlyd4SYe3x971mV/RNcc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6" authorId="0" shapeId="0" xr:uid="{00000000-0006-0000-0300-000006000000}">
      <text>
        <r>
          <rPr>
            <sz val="10"/>
            <color rgb="FF000000"/>
            <rFont val="Arial"/>
            <scheme val="minor"/>
          </rPr>
          <t>======
ID#AAABkOJJBnI
French-Azerbaijani University UFAZ    (2025-05-26 13:01:36)
absence limit</t>
        </r>
      </text>
    </comment>
    <comment ref="R6" authorId="0" shapeId="0" xr:uid="{00000000-0006-0000-0300-000005000000}">
      <text>
        <r>
          <rPr>
            <sz val="10"/>
            <color rgb="FF000000"/>
            <rFont val="Arial"/>
            <scheme val="minor"/>
          </rPr>
          <t>======
ID#AAABkOJJBnM
French-Azerbaijani University UFAZ    (2025-05-26 13:01:45)
absence limit</t>
        </r>
      </text>
    </comment>
    <comment ref="Y6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ID#AAABkOJJBnQ
French-Azerbaijani University UFAZ    (2025-05-26 13:03:06)
absence limit</t>
        </r>
      </text>
    </comment>
    <comment ref="AD6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ID#AAABkOJJBnU
French-Azerbaijani University UFAZ    (2025-05-26 13:03:11)
absence limit</t>
        </r>
      </text>
    </comment>
    <comment ref="AH6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ID#AAABkOJJBnY
French-Azerbaijani University UFAZ    (2025-05-26 13:03:23)
absence limit</t>
        </r>
      </text>
    </comment>
    <comment ref="AK6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ID#AAABkOJJBnc
French-Azerbaijani University UFAZ    (2025-05-26 13:03:37)
absence limit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UtZ2ic0wVhktr5QOQeIDtoFC4IA=="/>
    </ext>
  </extLst>
</comments>
</file>

<file path=xl/sharedStrings.xml><?xml version="1.0" encoding="utf-8"?>
<sst xmlns="http://schemas.openxmlformats.org/spreadsheetml/2006/main" count="244" uniqueCount="63">
  <si>
    <t>COMPUTER SCIENCE</t>
  </si>
  <si>
    <t>COMMON COURSES</t>
  </si>
  <si>
    <t>Mathematics 2</t>
  </si>
  <si>
    <t>Physics 2</t>
  </si>
  <si>
    <t>Computer science 2</t>
  </si>
  <si>
    <t>Languages 2</t>
  </si>
  <si>
    <t>Oscillators, Waves Optics</t>
  </si>
  <si>
    <t>Physics lab 1</t>
  </si>
  <si>
    <t>Computer architecture</t>
  </si>
  <si>
    <t>Databases</t>
  </si>
  <si>
    <t>Object oriented programming</t>
  </si>
  <si>
    <t>Cryptography</t>
  </si>
  <si>
    <t>Network algorithms</t>
  </si>
  <si>
    <t>French</t>
  </si>
  <si>
    <t>2 (wr)</t>
  </si>
  <si>
    <t>3 (oral)</t>
  </si>
  <si>
    <t>3 (wr)</t>
  </si>
  <si>
    <t>N° étudiant</t>
  </si>
  <si>
    <t>Fall semester average</t>
  </si>
  <si>
    <t>Fall sem avr after retake</t>
  </si>
  <si>
    <t>Spring semester average</t>
  </si>
  <si>
    <t>Spring semester average
after retake</t>
  </si>
  <si>
    <t>Yearly AVG</t>
  </si>
  <si>
    <t>Yearly AVG
after retake</t>
  </si>
  <si>
    <t>CC1 (participation)</t>
  </si>
  <si>
    <t>CC2 (1st w/e)</t>
  </si>
  <si>
    <t>CC3 (2nd w/e)</t>
  </si>
  <si>
    <t>AVR</t>
  </si>
  <si>
    <t>retake</t>
  </si>
  <si>
    <t>AVR
 after retake</t>
  </si>
  <si>
    <t>CC1</t>
  </si>
  <si>
    <t>CC2</t>
  </si>
  <si>
    <t>CC3</t>
  </si>
  <si>
    <t>avr</t>
  </si>
  <si>
    <t xml:space="preserve"> AVR after 
retake</t>
  </si>
  <si>
    <t>AVR
after retake</t>
  </si>
  <si>
    <t xml:space="preserve"> </t>
  </si>
  <si>
    <t>Chemistry 2</t>
  </si>
  <si>
    <t>Chemical engineering 2</t>
  </si>
  <si>
    <t>AOM2</t>
  </si>
  <si>
    <t>TOM 2</t>
  </si>
  <si>
    <t>Chemistry lab 2</t>
  </si>
  <si>
    <t>Heat transfer</t>
  </si>
  <si>
    <t>Process diagram</t>
  </si>
  <si>
    <t>Material science for Chemical Engineering</t>
  </si>
  <si>
    <t>Fall semester AVG</t>
  </si>
  <si>
    <t>Spring semester AVG</t>
  </si>
  <si>
    <t>Spring semester 
AVG after retake</t>
  </si>
  <si>
    <t>AVG
after retake</t>
  </si>
  <si>
    <t>AVG</t>
  </si>
  <si>
    <t>AVR after 
retake</t>
  </si>
  <si>
    <t>GEOPHYSICAL ENGINEERING</t>
  </si>
  <si>
    <t>Geosciences 2</t>
  </si>
  <si>
    <t>Gravimetry and isostasy</t>
  </si>
  <si>
    <t>Plate tectonics</t>
  </si>
  <si>
    <t>Mineralogy&amp;Petrology</t>
  </si>
  <si>
    <t>AVR 
after retake</t>
  </si>
  <si>
    <t>AVR after
retake</t>
  </si>
  <si>
    <t>AVG after 
retake</t>
  </si>
  <si>
    <t>OIL AND GAS ENGINEERING</t>
  </si>
  <si>
    <t>Petroleum geology 2</t>
  </si>
  <si>
    <t>Drilling activities and techniques</t>
  </si>
  <si>
    <t>Minerology&amp;petrology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</si>
</sst>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  <scheme val="minor"/>
    </font>
    <font>
      <b/>
      <i/>
      <sz val="10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2"/>
      <color theme="1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2"/>
      <color rgb="FF000000"/>
      <name val="Arial"/>
    </font>
    <font>
      <sz val="11"/>
      <color rgb="FFFFFFFF"/>
      <name val="Arial"/>
    </font>
    <font>
      <b/>
      <sz val="11"/>
      <color rgb="FF000000"/>
      <name val="Arial"/>
    </font>
    <font>
      <b/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D2F1DA"/>
        <bgColor rgb="FFD2F1DA"/>
      </patternFill>
    </fill>
    <fill>
      <patternFill patternType="solid">
        <fgColor rgb="FFD9F1F3"/>
        <bgColor rgb="FFD9F1F3"/>
      </patternFill>
    </fill>
    <fill>
      <patternFill patternType="solid">
        <fgColor rgb="FFFAD9D6"/>
        <bgColor rgb="FFFAD9D6"/>
      </patternFill>
    </fill>
    <fill>
      <patternFill patternType="solid">
        <fgColor rgb="FFFEE1CC"/>
        <bgColor rgb="FFFEE1CC"/>
      </patternFill>
    </fill>
    <fill>
      <patternFill patternType="solid">
        <fgColor rgb="FFFDE49A"/>
        <bgColor rgb="FFFDE49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B4E4E8"/>
        <bgColor rgb="FFB4E4E8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/>
    <xf numFmtId="0" fontId="1" fillId="4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 vertical="center"/>
    </xf>
    <xf numFmtId="2" fontId="6" fillId="3" borderId="11" xfId="0" applyNumberFormat="1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1" fillId="2" borderId="11" xfId="0" applyFont="1" applyFill="1" applyBorder="1"/>
    <xf numFmtId="0" fontId="7" fillId="2" borderId="11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vertical="center" wrapText="1"/>
    </xf>
    <xf numFmtId="0" fontId="4" fillId="4" borderId="11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right"/>
    </xf>
    <xf numFmtId="0" fontId="9" fillId="0" borderId="11" xfId="0" applyFont="1" applyBorder="1" applyAlignment="1">
      <alignment horizontal="center"/>
    </xf>
    <xf numFmtId="164" fontId="9" fillId="8" borderId="11" xfId="0" applyNumberFormat="1" applyFont="1" applyFill="1" applyBorder="1" applyAlignment="1">
      <alignment horizontal="center" wrapText="1"/>
    </xf>
    <xf numFmtId="164" fontId="11" fillId="8" borderId="11" xfId="0" applyNumberFormat="1" applyFont="1" applyFill="1" applyBorder="1" applyAlignment="1">
      <alignment horizontal="center"/>
    </xf>
    <xf numFmtId="164" fontId="11" fillId="8" borderId="6" xfId="0" applyNumberFormat="1" applyFont="1" applyFill="1" applyBorder="1" applyAlignment="1">
      <alignment horizontal="center"/>
    </xf>
    <xf numFmtId="164" fontId="11" fillId="8" borderId="5" xfId="0" applyNumberFormat="1" applyFont="1" applyFill="1" applyBorder="1" applyAlignment="1">
      <alignment horizontal="center"/>
    </xf>
    <xf numFmtId="164" fontId="11" fillId="0" borderId="11" xfId="0" applyNumberFormat="1" applyFont="1" applyBorder="1" applyAlignment="1">
      <alignment horizontal="center"/>
    </xf>
    <xf numFmtId="164" fontId="11" fillId="8" borderId="11" xfId="0" applyNumberFormat="1" applyFont="1" applyFill="1" applyBorder="1" applyAlignment="1">
      <alignment horizontal="center" wrapText="1"/>
    </xf>
    <xf numFmtId="164" fontId="9" fillId="0" borderId="11" xfId="0" applyNumberFormat="1" applyFont="1" applyBorder="1" applyAlignment="1">
      <alignment horizontal="center"/>
    </xf>
    <xf numFmtId="164" fontId="9" fillId="0" borderId="6" xfId="0" applyNumberFormat="1" applyFont="1" applyBorder="1" applyAlignment="1">
      <alignment horizontal="center"/>
    </xf>
    <xf numFmtId="0" fontId="3" fillId="7" borderId="0" xfId="0" applyFont="1" applyFill="1"/>
    <xf numFmtId="0" fontId="8" fillId="7" borderId="0" xfId="0" applyFont="1" applyFill="1"/>
    <xf numFmtId="164" fontId="9" fillId="9" borderId="11" xfId="0" applyNumberFormat="1" applyFont="1" applyFill="1" applyBorder="1" applyAlignment="1">
      <alignment horizontal="center" wrapText="1"/>
    </xf>
    <xf numFmtId="164" fontId="9" fillId="10" borderId="11" xfId="0" applyNumberFormat="1" applyFont="1" applyFill="1" applyBorder="1" applyAlignment="1">
      <alignment horizontal="center" wrapText="1"/>
    </xf>
    <xf numFmtId="164" fontId="9" fillId="10" borderId="16" xfId="0" applyNumberFormat="1" applyFont="1" applyFill="1" applyBorder="1" applyAlignment="1">
      <alignment horizontal="center" wrapText="1"/>
    </xf>
    <xf numFmtId="164" fontId="11" fillId="0" borderId="16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11" fillId="8" borderId="14" xfId="0" applyNumberFormat="1" applyFont="1" applyFill="1" applyBorder="1" applyAlignment="1">
      <alignment horizontal="center"/>
    </xf>
    <xf numFmtId="164" fontId="9" fillId="8" borderId="16" xfId="0" applyNumberFormat="1" applyFont="1" applyFill="1" applyBorder="1" applyAlignment="1">
      <alignment horizontal="center" wrapText="1"/>
    </xf>
    <xf numFmtId="164" fontId="11" fillId="8" borderId="16" xfId="0" applyNumberFormat="1" applyFont="1" applyFill="1" applyBorder="1" applyAlignment="1">
      <alignment horizontal="center"/>
    </xf>
    <xf numFmtId="164" fontId="9" fillId="0" borderId="16" xfId="0" applyNumberFormat="1" applyFont="1" applyBorder="1" applyAlignment="1">
      <alignment horizontal="center"/>
    </xf>
    <xf numFmtId="164" fontId="9" fillId="0" borderId="14" xfId="0" applyNumberFormat="1" applyFont="1" applyBorder="1" applyAlignment="1">
      <alignment horizontal="center"/>
    </xf>
    <xf numFmtId="0" fontId="9" fillId="8" borderId="11" xfId="0" applyFont="1" applyFill="1" applyBorder="1" applyAlignment="1">
      <alignment horizontal="center"/>
    </xf>
    <xf numFmtId="164" fontId="9" fillId="11" borderId="11" xfId="0" applyNumberFormat="1" applyFont="1" applyFill="1" applyBorder="1" applyAlignment="1">
      <alignment horizontal="center" wrapText="1"/>
    </xf>
    <xf numFmtId="164" fontId="11" fillId="0" borderId="6" xfId="0" applyNumberFormat="1" applyFont="1" applyBorder="1" applyAlignment="1">
      <alignment horizontal="center"/>
    </xf>
    <xf numFmtId="164" fontId="11" fillId="0" borderId="8" xfId="0" applyNumberFormat="1" applyFont="1" applyBorder="1" applyAlignment="1">
      <alignment horizontal="center"/>
    </xf>
    <xf numFmtId="164" fontId="11" fillId="0" borderId="17" xfId="0" applyNumberFormat="1" applyFont="1" applyBorder="1" applyAlignment="1">
      <alignment horizontal="center"/>
    </xf>
    <xf numFmtId="164" fontId="11" fillId="0" borderId="18" xfId="0" applyNumberFormat="1" applyFont="1" applyBorder="1" applyAlignment="1">
      <alignment horizontal="center"/>
    </xf>
    <xf numFmtId="164" fontId="9" fillId="8" borderId="17" xfId="0" applyNumberFormat="1" applyFont="1" applyFill="1" applyBorder="1" applyAlignment="1">
      <alignment horizontal="center" wrapText="1"/>
    </xf>
    <xf numFmtId="164" fontId="9" fillId="8" borderId="6" xfId="0" applyNumberFormat="1" applyFont="1" applyFill="1" applyBorder="1" applyAlignment="1">
      <alignment horizontal="center" wrapText="1"/>
    </xf>
    <xf numFmtId="164" fontId="9" fillId="8" borderId="14" xfId="0" applyNumberFormat="1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0" fontId="8" fillId="8" borderId="11" xfId="0" applyFont="1" applyFill="1" applyBorder="1" applyAlignment="1">
      <alignment horizontal="right"/>
    </xf>
    <xf numFmtId="0" fontId="3" fillId="8" borderId="0" xfId="0" applyFont="1" applyFill="1"/>
    <xf numFmtId="0" fontId="12" fillId="8" borderId="0" xfId="0" applyFont="1" applyFill="1"/>
    <xf numFmtId="0" fontId="8" fillId="0" borderId="0" xfId="0" applyFont="1"/>
    <xf numFmtId="2" fontId="8" fillId="0" borderId="0" xfId="0" applyNumberFormat="1" applyFont="1"/>
    <xf numFmtId="0" fontId="13" fillId="0" borderId="0" xfId="0" applyFont="1"/>
    <xf numFmtId="0" fontId="4" fillId="6" borderId="11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1" borderId="11" xfId="0" applyFont="1" applyFill="1" applyBorder="1" applyAlignment="1">
      <alignment horizontal="center" vertical="center"/>
    </xf>
    <xf numFmtId="0" fontId="4" fillId="2" borderId="11" xfId="0" applyFont="1" applyFill="1" applyBorder="1"/>
    <xf numFmtId="0" fontId="4" fillId="11" borderId="11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right"/>
    </xf>
    <xf numFmtId="0" fontId="10" fillId="8" borderId="6" xfId="0" applyFont="1" applyFill="1" applyBorder="1" applyAlignment="1">
      <alignment horizontal="center" wrapText="1"/>
    </xf>
    <xf numFmtId="164" fontId="11" fillId="0" borderId="11" xfId="0" applyNumberFormat="1" applyFont="1" applyBorder="1" applyAlignment="1">
      <alignment horizontal="right"/>
    </xf>
    <xf numFmtId="164" fontId="9" fillId="0" borderId="11" xfId="0" applyNumberFormat="1" applyFont="1" applyBorder="1"/>
    <xf numFmtId="164" fontId="11" fillId="8" borderId="11" xfId="0" applyNumberFormat="1" applyFont="1" applyFill="1" applyBorder="1" applyAlignment="1">
      <alignment horizontal="right"/>
    </xf>
    <xf numFmtId="0" fontId="10" fillId="0" borderId="0" xfId="0" applyFont="1"/>
    <xf numFmtId="0" fontId="10" fillId="8" borderId="6" xfId="0" applyFont="1" applyFill="1" applyBorder="1" applyAlignment="1">
      <alignment horizontal="center"/>
    </xf>
    <xf numFmtId="164" fontId="9" fillId="9" borderId="16" xfId="0" applyNumberFormat="1" applyFont="1" applyFill="1" applyBorder="1" applyAlignment="1">
      <alignment horizontal="center" wrapText="1"/>
    </xf>
    <xf numFmtId="164" fontId="11" fillId="10" borderId="11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center" wrapText="1"/>
    </xf>
    <xf numFmtId="164" fontId="11" fillId="0" borderId="11" xfId="0" applyNumberFormat="1" applyFont="1" applyBorder="1"/>
    <xf numFmtId="164" fontId="11" fillId="0" borderId="16" xfId="0" applyNumberFormat="1" applyFont="1" applyBorder="1"/>
    <xf numFmtId="164" fontId="11" fillId="0" borderId="14" xfId="0" applyNumberFormat="1" applyFont="1" applyBorder="1"/>
    <xf numFmtId="0" fontId="10" fillId="0" borderId="6" xfId="0" applyFont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164" fontId="15" fillId="8" borderId="11" xfId="0" applyNumberFormat="1" applyFont="1" applyFill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8" borderId="0" xfId="0" applyFont="1" applyFill="1"/>
    <xf numFmtId="164" fontId="9" fillId="0" borderId="0" xfId="0" applyNumberFormat="1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3" fillId="7" borderId="11" xfId="0" applyFont="1" applyFill="1" applyBorder="1"/>
    <xf numFmtId="0" fontId="3" fillId="8" borderId="11" xfId="0" applyFont="1" applyFill="1" applyBorder="1"/>
    <xf numFmtId="2" fontId="3" fillId="8" borderId="11" xfId="0" applyNumberFormat="1" applyFont="1" applyFill="1" applyBorder="1"/>
    <xf numFmtId="0" fontId="8" fillId="7" borderId="11" xfId="0" applyFont="1" applyFill="1" applyBorder="1"/>
    <xf numFmtId="0" fontId="8" fillId="0" borderId="11" xfId="0" applyFont="1" applyBorder="1"/>
    <xf numFmtId="2" fontId="8" fillId="0" borderId="11" xfId="0" applyNumberFormat="1" applyFont="1" applyBorder="1"/>
    <xf numFmtId="0" fontId="3" fillId="0" borderId="11" xfId="0" applyFont="1" applyBorder="1"/>
    <xf numFmtId="0" fontId="1" fillId="12" borderId="5" xfId="0" applyFont="1" applyFill="1" applyBorder="1" applyAlignment="1">
      <alignment horizontal="center" vertical="center" wrapText="1"/>
    </xf>
    <xf numFmtId="0" fontId="4" fillId="12" borderId="11" xfId="0" applyFont="1" applyFill="1" applyBorder="1" applyAlignment="1">
      <alignment horizontal="center" vertical="center" wrapText="1"/>
    </xf>
    <xf numFmtId="0" fontId="1" fillId="11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wrapText="1"/>
    </xf>
    <xf numFmtId="164" fontId="11" fillId="10" borderId="11" xfId="0" applyNumberFormat="1" applyFont="1" applyFill="1" applyBorder="1" applyAlignment="1">
      <alignment horizontal="center"/>
    </xf>
    <xf numFmtId="164" fontId="11" fillId="10" borderId="11" xfId="0" applyNumberFormat="1" applyFont="1" applyFill="1" applyBorder="1"/>
    <xf numFmtId="0" fontId="10" fillId="0" borderId="11" xfId="0" applyFont="1" applyBorder="1" applyAlignment="1">
      <alignment horizontal="center" wrapText="1"/>
    </xf>
    <xf numFmtId="164" fontId="11" fillId="0" borderId="16" xfId="0" applyNumberFormat="1" applyFont="1" applyBorder="1" applyAlignment="1">
      <alignment horizontal="right"/>
    </xf>
    <xf numFmtId="164" fontId="11" fillId="0" borderId="13" xfId="0" applyNumberFormat="1" applyFont="1" applyBorder="1" applyAlignment="1">
      <alignment horizontal="center"/>
    </xf>
    <xf numFmtId="164" fontId="11" fillId="10" borderId="16" xfId="0" applyNumberFormat="1" applyFont="1" applyFill="1" applyBorder="1" applyAlignment="1">
      <alignment horizontal="center"/>
    </xf>
    <xf numFmtId="164" fontId="11" fillId="8" borderId="16" xfId="0" applyNumberFormat="1" applyFont="1" applyFill="1" applyBorder="1" applyAlignment="1">
      <alignment horizontal="right"/>
    </xf>
    <xf numFmtId="164" fontId="15" fillId="8" borderId="14" xfId="0" applyNumberFormat="1" applyFont="1" applyFill="1" applyBorder="1" applyAlignment="1">
      <alignment horizontal="center"/>
    </xf>
    <xf numFmtId="164" fontId="15" fillId="8" borderId="13" xfId="0" applyNumberFormat="1" applyFont="1" applyFill="1" applyBorder="1" applyAlignment="1">
      <alignment horizontal="center"/>
    </xf>
    <xf numFmtId="164" fontId="11" fillId="8" borderId="0" xfId="0" applyNumberFormat="1" applyFont="1" applyFill="1" applyAlignment="1">
      <alignment horizontal="center"/>
    </xf>
    <xf numFmtId="164" fontId="11" fillId="0" borderId="14" xfId="0" applyNumberFormat="1" applyFont="1" applyBorder="1" applyAlignment="1">
      <alignment horizontal="right"/>
    </xf>
    <xf numFmtId="164" fontId="11" fillId="0" borderId="13" xfId="0" applyNumberFormat="1" applyFont="1" applyBorder="1" applyAlignment="1">
      <alignment horizontal="right"/>
    </xf>
    <xf numFmtId="0" fontId="12" fillId="0" borderId="11" xfId="0" applyFont="1" applyBorder="1"/>
    <xf numFmtId="164" fontId="11" fillId="8" borderId="17" xfId="0" applyNumberFormat="1" applyFont="1" applyFill="1" applyBorder="1" applyAlignment="1">
      <alignment horizontal="center"/>
    </xf>
    <xf numFmtId="164" fontId="9" fillId="0" borderId="17" xfId="0" applyNumberFormat="1" applyFont="1" applyBorder="1" applyAlignment="1">
      <alignment horizontal="center"/>
    </xf>
    <xf numFmtId="164" fontId="11" fillId="0" borderId="5" xfId="0" applyNumberFormat="1" applyFont="1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0" fontId="13" fillId="8" borderId="0" xfId="0" applyFont="1" applyFill="1"/>
    <xf numFmtId="164" fontId="11" fillId="8" borderId="13" xfId="0" applyNumberFormat="1" applyFont="1" applyFill="1" applyBorder="1" applyAlignment="1">
      <alignment horizontal="center"/>
    </xf>
    <xf numFmtId="164" fontId="9" fillId="7" borderId="11" xfId="0" applyNumberFormat="1" applyFont="1" applyFill="1" applyBorder="1" applyAlignment="1">
      <alignment horizontal="center" wrapText="1"/>
    </xf>
    <xf numFmtId="0" fontId="9" fillId="7" borderId="11" xfId="0" applyFont="1" applyFill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4" fillId="2" borderId="11" xfId="0" applyFont="1" applyFill="1" applyBorder="1" applyAlignment="1">
      <alignment horizontal="center"/>
    </xf>
    <xf numFmtId="164" fontId="11" fillId="10" borderId="11" xfId="0" applyNumberFormat="1" applyFont="1" applyFill="1" applyBorder="1" applyAlignment="1">
      <alignment horizontal="center" wrapText="1"/>
    </xf>
    <xf numFmtId="164" fontId="9" fillId="7" borderId="6" xfId="0" applyNumberFormat="1" applyFont="1" applyFill="1" applyBorder="1" applyAlignment="1">
      <alignment horizontal="center" wrapText="1"/>
    </xf>
    <xf numFmtId="164" fontId="11" fillId="8" borderId="16" xfId="0" applyNumberFormat="1" applyFont="1" applyFill="1" applyBorder="1" applyAlignment="1">
      <alignment horizontal="center" wrapText="1"/>
    </xf>
    <xf numFmtId="164" fontId="9" fillId="7" borderId="16" xfId="0" applyNumberFormat="1" applyFont="1" applyFill="1" applyBorder="1" applyAlignment="1">
      <alignment horizontal="center" wrapText="1"/>
    </xf>
    <xf numFmtId="0" fontId="9" fillId="0" borderId="16" xfId="0" applyFont="1" applyBorder="1" applyAlignment="1">
      <alignment horizontal="center"/>
    </xf>
    <xf numFmtId="164" fontId="11" fillId="8" borderId="17" xfId="0" applyNumberFormat="1" applyFont="1" applyFill="1" applyBorder="1" applyAlignment="1">
      <alignment horizontal="center" wrapText="1"/>
    </xf>
    <xf numFmtId="164" fontId="9" fillId="7" borderId="17" xfId="0" applyNumberFormat="1" applyFont="1" applyFill="1" applyBorder="1" applyAlignment="1">
      <alignment horizontal="center" wrapText="1"/>
    </xf>
    <xf numFmtId="164" fontId="11" fillId="8" borderId="6" xfId="0" applyNumberFormat="1" applyFont="1" applyFill="1" applyBorder="1" applyAlignment="1">
      <alignment horizontal="center" wrapText="1"/>
    </xf>
    <xf numFmtId="164" fontId="11" fillId="8" borderId="14" xfId="0" applyNumberFormat="1" applyFont="1" applyFill="1" applyBorder="1" applyAlignment="1">
      <alignment horizontal="center" wrapText="1"/>
    </xf>
    <xf numFmtId="164" fontId="9" fillId="7" borderId="14" xfId="0" applyNumberFormat="1" applyFont="1" applyFill="1" applyBorder="1" applyAlignment="1">
      <alignment horizontal="center" wrapText="1"/>
    </xf>
    <xf numFmtId="0" fontId="9" fillId="0" borderId="14" xfId="0" applyFont="1" applyBorder="1" applyAlignment="1">
      <alignment horizontal="center"/>
    </xf>
    <xf numFmtId="0" fontId="1" fillId="4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9" xfId="0" applyFont="1" applyBorder="1"/>
    <xf numFmtId="0" fontId="1" fillId="5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 vertical="center" wrapText="1"/>
    </xf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M497"/>
  <sheetViews>
    <sheetView tabSelected="1" workbookViewId="0">
      <pane xSplit="8" topLeftCell="I1" activePane="topRight" state="frozen"/>
      <selection pane="topRight" activeCell="D24" sqref="D24"/>
    </sheetView>
  </sheetViews>
  <sheetFormatPr defaultColWidth="12.5703125" defaultRowHeight="15" customHeight="1" x14ac:dyDescent="0.2"/>
  <cols>
    <col min="1" max="1" width="3.5703125" customWidth="1"/>
    <col min="3" max="4" width="11.7109375" customWidth="1"/>
    <col min="6" max="6" width="14.7109375" customWidth="1"/>
    <col min="9" max="10" width="9.140625" customWidth="1"/>
    <col min="11" max="11" width="9.42578125" customWidth="1"/>
    <col min="12" max="14" width="11.28515625" customWidth="1"/>
    <col min="15" max="21" width="12" customWidth="1"/>
    <col min="22" max="22" width="11.42578125" customWidth="1"/>
    <col min="23" max="23" width="10.7109375" customWidth="1"/>
    <col min="24" max="24" width="8.85546875" customWidth="1"/>
    <col min="25" max="25" width="10.5703125" customWidth="1"/>
    <col min="26" max="26" width="9.140625" customWidth="1"/>
    <col min="27" max="27" width="11.5703125" customWidth="1"/>
    <col min="28" max="28" width="9.85546875" customWidth="1"/>
    <col min="29" max="31" width="9.5703125" customWidth="1"/>
    <col min="32" max="32" width="9.140625" customWidth="1"/>
    <col min="33" max="33" width="10.7109375" customWidth="1"/>
    <col min="34" max="34" width="8" customWidth="1"/>
    <col min="35" max="41" width="7.85546875" customWidth="1"/>
    <col min="42" max="42" width="8" customWidth="1"/>
    <col min="43" max="44" width="10.140625" customWidth="1"/>
    <col min="45" max="46" width="11.5703125" customWidth="1"/>
  </cols>
  <sheetData>
    <row r="1" spans="1:50" ht="15.75" customHeight="1" x14ac:dyDescent="0.2">
      <c r="A1" s="139" t="s">
        <v>0</v>
      </c>
      <c r="B1" s="140"/>
      <c r="C1" s="140"/>
      <c r="D1" s="140"/>
      <c r="E1" s="140"/>
      <c r="F1" s="140"/>
      <c r="G1" s="140"/>
      <c r="H1" s="141"/>
      <c r="I1" s="148" t="s">
        <v>1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6"/>
      <c r="AQ1" s="149"/>
      <c r="AR1" s="143"/>
      <c r="AS1" s="143"/>
      <c r="AT1" s="143"/>
      <c r="AU1" s="1"/>
      <c r="AV1" s="1"/>
    </row>
    <row r="2" spans="1:50" ht="57.75" customHeight="1" x14ac:dyDescent="0.2">
      <c r="A2" s="142"/>
      <c r="B2" s="143"/>
      <c r="C2" s="143"/>
      <c r="D2" s="143"/>
      <c r="E2" s="143"/>
      <c r="F2" s="143"/>
      <c r="G2" s="143"/>
      <c r="H2" s="144"/>
      <c r="I2" s="133" t="s">
        <v>2</v>
      </c>
      <c r="J2" s="134"/>
      <c r="K2" s="134"/>
      <c r="L2" s="134"/>
      <c r="M2" s="2"/>
      <c r="N2" s="2"/>
      <c r="O2" s="150" t="s">
        <v>3</v>
      </c>
      <c r="P2" s="134"/>
      <c r="Q2" s="134"/>
      <c r="R2" s="134"/>
      <c r="S2" s="134"/>
      <c r="T2" s="134"/>
      <c r="U2" s="134"/>
      <c r="V2" s="134"/>
      <c r="W2" s="134"/>
      <c r="X2" s="134"/>
      <c r="Y2" s="3"/>
      <c r="Z2" s="151" t="s">
        <v>4</v>
      </c>
      <c r="AA2" s="134"/>
      <c r="AB2" s="134"/>
      <c r="AC2" s="134"/>
      <c r="AD2" s="134"/>
      <c r="AE2" s="134"/>
      <c r="AF2" s="134"/>
      <c r="AG2" s="134"/>
      <c r="AH2" s="134"/>
      <c r="AI2" s="134"/>
      <c r="AJ2" s="134"/>
      <c r="AK2" s="134"/>
      <c r="AL2" s="134"/>
      <c r="AM2" s="134"/>
      <c r="AN2" s="134"/>
      <c r="AO2" s="134"/>
      <c r="AP2" s="136"/>
      <c r="AQ2" s="152" t="s">
        <v>5</v>
      </c>
      <c r="AR2" s="134"/>
      <c r="AS2" s="134"/>
      <c r="AT2" s="134"/>
      <c r="AU2" s="1"/>
      <c r="AV2" s="1"/>
    </row>
    <row r="3" spans="1:50" ht="31.5" customHeight="1" x14ac:dyDescent="0.2">
      <c r="A3" s="142"/>
      <c r="B3" s="143"/>
      <c r="C3" s="143"/>
      <c r="D3" s="143"/>
      <c r="E3" s="143"/>
      <c r="F3" s="143"/>
      <c r="G3" s="143"/>
      <c r="H3" s="144"/>
      <c r="I3" s="133" t="s">
        <v>2</v>
      </c>
      <c r="J3" s="134"/>
      <c r="K3" s="134"/>
      <c r="L3" s="134"/>
      <c r="M3" s="2"/>
      <c r="N3" s="2"/>
      <c r="O3" s="135" t="s">
        <v>6</v>
      </c>
      <c r="P3" s="134"/>
      <c r="Q3" s="134"/>
      <c r="R3" s="136"/>
      <c r="S3" s="4"/>
      <c r="T3" s="4"/>
      <c r="U3" s="135" t="s">
        <v>7</v>
      </c>
      <c r="V3" s="134"/>
      <c r="W3" s="137"/>
      <c r="X3" s="5"/>
      <c r="Y3" s="4"/>
      <c r="Z3" s="138" t="s">
        <v>8</v>
      </c>
      <c r="AA3" s="134"/>
      <c r="AB3" s="136"/>
      <c r="AC3" s="138" t="s">
        <v>9</v>
      </c>
      <c r="AD3" s="134"/>
      <c r="AE3" s="134"/>
      <c r="AF3" s="134"/>
      <c r="AG3" s="138" t="s">
        <v>10</v>
      </c>
      <c r="AH3" s="134"/>
      <c r="AI3" s="134"/>
      <c r="AJ3" s="138" t="s">
        <v>11</v>
      </c>
      <c r="AK3" s="134"/>
      <c r="AL3" s="134"/>
      <c r="AM3" s="138" t="s">
        <v>12</v>
      </c>
      <c r="AN3" s="134"/>
      <c r="AO3" s="134"/>
      <c r="AP3" s="7"/>
      <c r="AQ3" s="153" t="s">
        <v>13</v>
      </c>
      <c r="AR3" s="134"/>
      <c r="AS3" s="134"/>
      <c r="AT3" s="136"/>
      <c r="AU3" s="1"/>
      <c r="AV3" s="1"/>
    </row>
    <row r="4" spans="1:50" ht="15" customHeight="1" x14ac:dyDescent="0.2">
      <c r="A4" s="145"/>
      <c r="B4" s="146"/>
      <c r="C4" s="146"/>
      <c r="D4" s="146"/>
      <c r="E4" s="146"/>
      <c r="F4" s="146"/>
      <c r="G4" s="146"/>
      <c r="H4" s="147"/>
      <c r="I4" s="8">
        <v>1</v>
      </c>
      <c r="J4" s="8">
        <v>2</v>
      </c>
      <c r="K4" s="9">
        <v>3</v>
      </c>
      <c r="L4" s="9">
        <v>6</v>
      </c>
      <c r="M4" s="9"/>
      <c r="N4" s="9"/>
      <c r="O4" s="10">
        <v>1</v>
      </c>
      <c r="P4" s="10">
        <v>1</v>
      </c>
      <c r="Q4" s="10">
        <v>1</v>
      </c>
      <c r="R4" s="11">
        <v>1</v>
      </c>
      <c r="S4" s="11"/>
      <c r="T4" s="11"/>
      <c r="U4" s="10">
        <v>2</v>
      </c>
      <c r="V4" s="12">
        <v>1</v>
      </c>
      <c r="W4" s="10">
        <v>1</v>
      </c>
      <c r="X4" s="13">
        <v>6</v>
      </c>
      <c r="Y4" s="13"/>
      <c r="Z4" s="14">
        <v>0.5</v>
      </c>
      <c r="AA4" s="14">
        <v>0.5</v>
      </c>
      <c r="AB4" s="14">
        <v>1</v>
      </c>
      <c r="AC4" s="14">
        <v>0.1</v>
      </c>
      <c r="AD4" s="14">
        <v>0.4</v>
      </c>
      <c r="AE4" s="14">
        <v>0.5</v>
      </c>
      <c r="AF4" s="14">
        <v>1</v>
      </c>
      <c r="AG4" s="14">
        <v>0.5</v>
      </c>
      <c r="AH4" s="14">
        <v>0.5</v>
      </c>
      <c r="AI4" s="14">
        <v>1</v>
      </c>
      <c r="AJ4" s="14">
        <v>0.5</v>
      </c>
      <c r="AK4" s="14">
        <v>0.5</v>
      </c>
      <c r="AL4" s="14">
        <v>1</v>
      </c>
      <c r="AM4" s="14">
        <v>0.5</v>
      </c>
      <c r="AN4" s="14">
        <v>0.5</v>
      </c>
      <c r="AO4" s="14">
        <v>1</v>
      </c>
      <c r="AP4" s="7">
        <v>15</v>
      </c>
      <c r="AQ4" s="15" t="s">
        <v>14</v>
      </c>
      <c r="AR4" s="15" t="s">
        <v>15</v>
      </c>
      <c r="AS4" s="15" t="s">
        <v>16</v>
      </c>
      <c r="AT4" s="15">
        <v>3</v>
      </c>
      <c r="AU4" s="1"/>
      <c r="AV4" s="1"/>
    </row>
    <row r="5" spans="1:50" ht="36" customHeight="1" x14ac:dyDescent="0.2">
      <c r="A5" s="16"/>
      <c r="B5" s="16" t="s">
        <v>17</v>
      </c>
      <c r="C5" s="17" t="s">
        <v>18</v>
      </c>
      <c r="D5" s="17" t="s">
        <v>19</v>
      </c>
      <c r="E5" s="18" t="s">
        <v>20</v>
      </c>
      <c r="F5" s="18" t="s">
        <v>21</v>
      </c>
      <c r="G5" s="18" t="s">
        <v>22</v>
      </c>
      <c r="H5" s="18" t="s">
        <v>23</v>
      </c>
      <c r="I5" s="19" t="s">
        <v>24</v>
      </c>
      <c r="J5" s="19" t="s">
        <v>25</v>
      </c>
      <c r="K5" s="19" t="s">
        <v>26</v>
      </c>
      <c r="L5" s="9" t="s">
        <v>27</v>
      </c>
      <c r="M5" s="9" t="s">
        <v>28</v>
      </c>
      <c r="N5" s="9" t="s">
        <v>29</v>
      </c>
      <c r="O5" s="10" t="s">
        <v>30</v>
      </c>
      <c r="P5" s="10" t="s">
        <v>31</v>
      </c>
      <c r="Q5" s="10" t="s">
        <v>32</v>
      </c>
      <c r="R5" s="11" t="s">
        <v>33</v>
      </c>
      <c r="S5" s="11" t="s">
        <v>28</v>
      </c>
      <c r="T5" s="11" t="s">
        <v>34</v>
      </c>
      <c r="U5" s="10" t="s">
        <v>30</v>
      </c>
      <c r="V5" s="10" t="s">
        <v>31</v>
      </c>
      <c r="W5" s="10" t="s">
        <v>33</v>
      </c>
      <c r="X5" s="13" t="s">
        <v>27</v>
      </c>
      <c r="Y5" s="13" t="s">
        <v>35</v>
      </c>
      <c r="Z5" s="7" t="s">
        <v>30</v>
      </c>
      <c r="AA5" s="14" t="s">
        <v>31</v>
      </c>
      <c r="AB5" s="14" t="s">
        <v>33</v>
      </c>
      <c r="AC5" s="7" t="s">
        <v>30</v>
      </c>
      <c r="AD5" s="14" t="s">
        <v>31</v>
      </c>
      <c r="AE5" s="14" t="s">
        <v>32</v>
      </c>
      <c r="AF5" s="14" t="s">
        <v>33</v>
      </c>
      <c r="AG5" s="14" t="s">
        <v>30</v>
      </c>
      <c r="AH5" s="14" t="s">
        <v>31</v>
      </c>
      <c r="AI5" s="14" t="s">
        <v>33</v>
      </c>
      <c r="AJ5" s="14" t="s">
        <v>30</v>
      </c>
      <c r="AK5" s="14" t="s">
        <v>31</v>
      </c>
      <c r="AL5" s="14" t="s">
        <v>33</v>
      </c>
      <c r="AM5" s="14" t="s">
        <v>30</v>
      </c>
      <c r="AN5" s="14" t="s">
        <v>31</v>
      </c>
      <c r="AO5" s="14" t="s">
        <v>33</v>
      </c>
      <c r="AP5" s="7" t="s">
        <v>27</v>
      </c>
      <c r="AQ5" s="15" t="s">
        <v>30</v>
      </c>
      <c r="AR5" s="15" t="s">
        <v>31</v>
      </c>
      <c r="AS5" s="15" t="s">
        <v>32</v>
      </c>
      <c r="AT5" s="15" t="s">
        <v>27</v>
      </c>
      <c r="AU5" s="1"/>
      <c r="AV5" s="1"/>
    </row>
    <row r="6" spans="1:50" ht="15.75" customHeight="1" x14ac:dyDescent="0.2">
      <c r="A6" s="20">
        <v>1</v>
      </c>
      <c r="B6" s="21">
        <v>22322630</v>
      </c>
      <c r="C6" s="22"/>
      <c r="D6" s="22"/>
      <c r="E6" s="22">
        <f t="shared" ref="E6:E65" si="0">((L6*6)+(X6*6)+(AP6*15)+(AT6*3))/30</f>
        <v>0</v>
      </c>
      <c r="F6" s="22"/>
      <c r="G6" s="22">
        <f t="shared" ref="G6:G65" si="1">(C6+E6)/2</f>
        <v>0</v>
      </c>
      <c r="H6" s="22"/>
      <c r="I6" s="23"/>
      <c r="J6" s="24"/>
      <c r="K6" s="25"/>
      <c r="L6" s="22"/>
      <c r="M6" s="22"/>
      <c r="N6" s="22"/>
      <c r="O6" s="26"/>
      <c r="P6" s="26"/>
      <c r="Q6" s="23"/>
      <c r="R6" s="23"/>
      <c r="S6" s="23"/>
      <c r="T6" s="23"/>
      <c r="U6" s="23"/>
      <c r="V6" s="23"/>
      <c r="W6" s="27">
        <f t="shared" ref="W6:W65" si="2">((U6*2)+V6)/3</f>
        <v>0</v>
      </c>
      <c r="X6" s="23"/>
      <c r="Y6" s="23"/>
      <c r="Z6" s="28"/>
      <c r="AA6" s="29"/>
      <c r="AB6" s="23"/>
      <c r="AC6" s="23"/>
      <c r="AD6" s="23"/>
      <c r="AE6" s="23"/>
      <c r="AF6" s="23"/>
      <c r="AG6" s="23"/>
      <c r="AH6" s="24"/>
      <c r="AI6" s="23"/>
      <c r="AJ6" s="23"/>
      <c r="AK6" s="23"/>
      <c r="AL6" s="23"/>
      <c r="AM6" s="23"/>
      <c r="AN6" s="23"/>
      <c r="AO6" s="23"/>
      <c r="AP6" s="23"/>
      <c r="AQ6" s="23"/>
      <c r="AR6" s="24"/>
      <c r="AS6" s="24"/>
      <c r="AT6" s="23"/>
      <c r="AU6" s="30"/>
      <c r="AV6" s="30"/>
      <c r="AW6" s="31"/>
      <c r="AX6" s="31"/>
    </row>
    <row r="7" spans="1:50" ht="15.75" customHeight="1" x14ac:dyDescent="0.2">
      <c r="A7" s="20">
        <v>2</v>
      </c>
      <c r="B7" s="21">
        <v>22322620</v>
      </c>
      <c r="C7" s="32">
        <v>7.4031450000000003</v>
      </c>
      <c r="D7" s="22"/>
      <c r="E7" s="32">
        <f t="shared" si="0"/>
        <v>4.6254333333333335</v>
      </c>
      <c r="F7" s="32">
        <f t="shared" ref="F7:F8" si="3">((N7*6)+(Y7*6)+(AP7*15)+(AT7*3))/30</f>
        <v>4.7004333333333337</v>
      </c>
      <c r="G7" s="33">
        <f t="shared" si="1"/>
        <v>6.0142891666666669</v>
      </c>
      <c r="H7" s="34">
        <f t="shared" ref="H7:H8" si="4">(C7+F7)/2</f>
        <v>6.0517891666666674</v>
      </c>
      <c r="I7" s="35">
        <v>13</v>
      </c>
      <c r="J7" s="36">
        <v>6.5</v>
      </c>
      <c r="K7" s="37">
        <v>0</v>
      </c>
      <c r="L7" s="22">
        <f t="shared" ref="L7:L65" si="5">(I7+(J7*2)+(K7*3))/6</f>
        <v>4.333333333333333</v>
      </c>
      <c r="M7" s="38">
        <v>0.75</v>
      </c>
      <c r="N7" s="38">
        <f>((I7*1)+(J7*2)+(M7*3))/6</f>
        <v>4.708333333333333</v>
      </c>
      <c r="O7" s="35">
        <v>0.25</v>
      </c>
      <c r="P7" s="39">
        <v>0</v>
      </c>
      <c r="Q7" s="35">
        <v>0</v>
      </c>
      <c r="R7" s="23">
        <f t="shared" ref="R7:R65" si="6">(O7+P7+Q7)/3</f>
        <v>8.3333333333333329E-2</v>
      </c>
      <c r="S7" s="23">
        <v>0</v>
      </c>
      <c r="T7" s="23">
        <f>(O7+P7+Q7)/3</f>
        <v>8.3333333333333329E-2</v>
      </c>
      <c r="U7" s="23">
        <v>14.909000000000001</v>
      </c>
      <c r="V7" s="23">
        <v>13.5</v>
      </c>
      <c r="W7" s="27">
        <f t="shared" si="2"/>
        <v>14.439333333333332</v>
      </c>
      <c r="X7" s="23">
        <f t="shared" ref="X7:X65" si="7">(R7+W7)/2</f>
        <v>7.261333333333333</v>
      </c>
      <c r="Y7" s="39">
        <f t="shared" ref="Y7:Y8" si="8">(T7+W7)/2</f>
        <v>7.261333333333333</v>
      </c>
      <c r="Z7" s="40">
        <v>0</v>
      </c>
      <c r="AA7" s="41">
        <v>7</v>
      </c>
      <c r="AB7" s="23">
        <f t="shared" ref="AB7:AB65" si="9">((Z7*0.5)+(AA7*0.5))/1</f>
        <v>3.5</v>
      </c>
      <c r="AC7" s="35">
        <v>9.4</v>
      </c>
      <c r="AD7" s="23">
        <v>0</v>
      </c>
      <c r="AE7" s="23">
        <v>0</v>
      </c>
      <c r="AF7" s="27">
        <f t="shared" ref="AF7:AF65" si="10">(AC7*0.1)+(AD7*0.4)+(AE7*0.5)/1</f>
        <v>0.94000000000000006</v>
      </c>
      <c r="AG7" s="35">
        <v>0</v>
      </c>
      <c r="AH7" s="36">
        <v>0</v>
      </c>
      <c r="AI7" s="27">
        <f t="shared" ref="AI7:AI65" si="11">((AG7*0.5)+(AH7*0.5))/1</f>
        <v>0</v>
      </c>
      <c r="AJ7" s="35">
        <v>2</v>
      </c>
      <c r="AK7" s="27">
        <v>5.5</v>
      </c>
      <c r="AL7" s="27">
        <f t="shared" ref="AL7:AL65" si="12">((AJ7*0.5)+(AK7*0.5)/1)</f>
        <v>3.75</v>
      </c>
      <c r="AM7" s="27">
        <v>8</v>
      </c>
      <c r="AN7" s="27">
        <v>5</v>
      </c>
      <c r="AO7" s="27">
        <f t="shared" ref="AO7:AO65" si="13">((AM7*0.5)+(AN7*0.5))/1</f>
        <v>6.5</v>
      </c>
      <c r="AP7" s="23">
        <f t="shared" ref="AP7:AP65" si="14">(AB7+AF7+AI7+AL7+AO7)/5</f>
        <v>2.9380000000000002</v>
      </c>
      <c r="AQ7" s="35">
        <v>3.5</v>
      </c>
      <c r="AR7" s="36">
        <v>8</v>
      </c>
      <c r="AS7" s="36">
        <v>12</v>
      </c>
      <c r="AT7" s="23">
        <f t="shared" ref="AT7:AT65" si="15">((AQ7*2)+(AR7*3)+(AS7*3))/8</f>
        <v>8.375</v>
      </c>
      <c r="AU7" s="30"/>
      <c r="AV7" s="30"/>
      <c r="AW7" s="31"/>
      <c r="AX7" s="31"/>
    </row>
    <row r="8" spans="1:50" ht="15.75" customHeight="1" x14ac:dyDescent="0.2">
      <c r="A8" s="20">
        <v>3</v>
      </c>
      <c r="B8" s="21">
        <v>22322635</v>
      </c>
      <c r="C8" s="32">
        <v>9.6762933333333354</v>
      </c>
      <c r="D8" s="22"/>
      <c r="E8" s="32">
        <f t="shared" si="0"/>
        <v>9.9646666666666679</v>
      </c>
      <c r="F8" s="22">
        <f t="shared" si="3"/>
        <v>10.989666666666668</v>
      </c>
      <c r="G8" s="33">
        <f t="shared" si="1"/>
        <v>9.8204800000000017</v>
      </c>
      <c r="H8" s="38">
        <f t="shared" si="4"/>
        <v>10.332980000000003</v>
      </c>
      <c r="I8" s="35">
        <v>18</v>
      </c>
      <c r="J8" s="36">
        <v>0.5</v>
      </c>
      <c r="K8" s="36">
        <v>11</v>
      </c>
      <c r="L8" s="22">
        <f t="shared" si="5"/>
        <v>8.6666666666666661</v>
      </c>
      <c r="M8" s="38">
        <v>16.25</v>
      </c>
      <c r="N8" s="38">
        <f>((I8*1)+(M8*2)+(K8*3))/6</f>
        <v>13.916666666666666</v>
      </c>
      <c r="O8" s="35">
        <v>1.75</v>
      </c>
      <c r="P8" s="35">
        <v>1.5</v>
      </c>
      <c r="Q8" s="35">
        <v>6</v>
      </c>
      <c r="R8" s="23">
        <f t="shared" si="6"/>
        <v>3.0833333333333335</v>
      </c>
      <c r="S8" s="23">
        <v>1</v>
      </c>
      <c r="T8" s="23">
        <f>(S8+P8+Q8)/3</f>
        <v>2.8333333333333335</v>
      </c>
      <c r="U8" s="23">
        <v>15.75</v>
      </c>
      <c r="V8" s="23">
        <v>15</v>
      </c>
      <c r="W8" s="27">
        <f t="shared" si="2"/>
        <v>15.5</v>
      </c>
      <c r="X8" s="23">
        <f t="shared" si="7"/>
        <v>9.2916666666666661</v>
      </c>
      <c r="Y8" s="39">
        <f t="shared" si="8"/>
        <v>9.1666666666666661</v>
      </c>
      <c r="Z8" s="35">
        <v>6</v>
      </c>
      <c r="AA8" s="36">
        <v>7</v>
      </c>
      <c r="AB8" s="23">
        <f t="shared" si="9"/>
        <v>6.5</v>
      </c>
      <c r="AC8" s="26">
        <v>11.8</v>
      </c>
      <c r="AD8" s="23">
        <v>14.5</v>
      </c>
      <c r="AE8" s="23">
        <v>3.8</v>
      </c>
      <c r="AF8" s="27">
        <f t="shared" si="10"/>
        <v>8.8800000000000008</v>
      </c>
      <c r="AG8" s="26">
        <v>9.1999999999999993</v>
      </c>
      <c r="AH8" s="26">
        <v>11</v>
      </c>
      <c r="AI8" s="27">
        <f t="shared" si="11"/>
        <v>10.1</v>
      </c>
      <c r="AJ8" s="26">
        <v>4.5</v>
      </c>
      <c r="AK8" s="23">
        <v>18.5</v>
      </c>
      <c r="AL8" s="27">
        <f t="shared" si="12"/>
        <v>11.5</v>
      </c>
      <c r="AM8" s="23">
        <v>16</v>
      </c>
      <c r="AN8" s="23">
        <v>17</v>
      </c>
      <c r="AO8" s="27">
        <f t="shared" si="13"/>
        <v>16.5</v>
      </c>
      <c r="AP8" s="23">
        <f t="shared" si="14"/>
        <v>10.696000000000002</v>
      </c>
      <c r="AQ8" s="26">
        <v>11</v>
      </c>
      <c r="AR8" s="26">
        <v>5</v>
      </c>
      <c r="AS8" s="26">
        <v>15</v>
      </c>
      <c r="AT8" s="23">
        <f t="shared" si="15"/>
        <v>10.25</v>
      </c>
      <c r="AU8" s="30"/>
      <c r="AV8" s="30"/>
      <c r="AW8" s="31"/>
      <c r="AX8" s="31"/>
    </row>
    <row r="9" spans="1:50" ht="15.75" customHeight="1" x14ac:dyDescent="0.2">
      <c r="A9" s="20">
        <v>4</v>
      </c>
      <c r="B9" s="21">
        <v>22322626</v>
      </c>
      <c r="C9" s="32">
        <v>9.2649227777777767</v>
      </c>
      <c r="D9" s="32">
        <v>9.4049227777777791</v>
      </c>
      <c r="E9" s="22">
        <f t="shared" si="0"/>
        <v>11.138483333333333</v>
      </c>
      <c r="F9" s="22"/>
      <c r="G9" s="22">
        <f t="shared" si="1"/>
        <v>10.201703055555555</v>
      </c>
      <c r="H9" s="38">
        <f t="shared" ref="H9:H10" si="16">(D9+E9)/2</f>
        <v>10.271703055555555</v>
      </c>
      <c r="I9" s="35">
        <v>16</v>
      </c>
      <c r="J9" s="36">
        <v>2.5</v>
      </c>
      <c r="K9" s="36">
        <v>6.5</v>
      </c>
      <c r="L9" s="22">
        <f t="shared" si="5"/>
        <v>6.75</v>
      </c>
      <c r="M9" s="38"/>
      <c r="N9" s="38"/>
      <c r="O9" s="35">
        <v>0</v>
      </c>
      <c r="P9" s="35">
        <v>0</v>
      </c>
      <c r="Q9" s="35">
        <v>3</v>
      </c>
      <c r="R9" s="23">
        <f t="shared" si="6"/>
        <v>1</v>
      </c>
      <c r="S9" s="23"/>
      <c r="T9" s="23"/>
      <c r="U9" s="23">
        <v>14.182</v>
      </c>
      <c r="V9" s="23">
        <v>14.318</v>
      </c>
      <c r="W9" s="27">
        <f t="shared" si="2"/>
        <v>14.227333333333334</v>
      </c>
      <c r="X9" s="23">
        <f t="shared" si="7"/>
        <v>7.613666666666667</v>
      </c>
      <c r="Y9" s="39"/>
      <c r="Z9" s="40">
        <v>13.5</v>
      </c>
      <c r="AA9" s="41">
        <v>9.75</v>
      </c>
      <c r="AB9" s="23">
        <f t="shared" si="9"/>
        <v>11.625</v>
      </c>
      <c r="AC9" s="35">
        <v>15</v>
      </c>
      <c r="AD9" s="23">
        <v>15.8</v>
      </c>
      <c r="AE9" s="23">
        <v>6.7</v>
      </c>
      <c r="AF9" s="27">
        <f t="shared" si="10"/>
        <v>11.17</v>
      </c>
      <c r="AG9" s="35">
        <v>9.8000000000000007</v>
      </c>
      <c r="AH9" s="36">
        <v>12.3</v>
      </c>
      <c r="AI9" s="27">
        <f t="shared" si="11"/>
        <v>11.05</v>
      </c>
      <c r="AJ9" s="35">
        <v>13</v>
      </c>
      <c r="AK9" s="27">
        <v>16</v>
      </c>
      <c r="AL9" s="27">
        <f t="shared" si="12"/>
        <v>14.5</v>
      </c>
      <c r="AM9" s="27">
        <v>20</v>
      </c>
      <c r="AN9" s="27">
        <v>17</v>
      </c>
      <c r="AO9" s="27">
        <f t="shared" si="13"/>
        <v>18.5</v>
      </c>
      <c r="AP9" s="23">
        <f t="shared" si="14"/>
        <v>13.369</v>
      </c>
      <c r="AQ9" s="35">
        <v>17.5</v>
      </c>
      <c r="AR9" s="36">
        <v>15.5</v>
      </c>
      <c r="AS9" s="36">
        <v>15</v>
      </c>
      <c r="AT9" s="23">
        <f t="shared" si="15"/>
        <v>15.8125</v>
      </c>
      <c r="AU9" s="30"/>
      <c r="AV9" s="30"/>
      <c r="AW9" s="31"/>
      <c r="AX9" s="31"/>
    </row>
    <row r="10" spans="1:50" ht="15.75" customHeight="1" x14ac:dyDescent="0.2">
      <c r="A10" s="20">
        <v>5</v>
      </c>
      <c r="B10" s="21">
        <v>22322613</v>
      </c>
      <c r="C10" s="32">
        <v>8.6941327777777779</v>
      </c>
      <c r="D10" s="32">
        <v>8.610799444444444</v>
      </c>
      <c r="E10" s="22">
        <f t="shared" si="0"/>
        <v>11.905466666666666</v>
      </c>
      <c r="F10" s="22"/>
      <c r="G10" s="22">
        <f t="shared" si="1"/>
        <v>10.299799722222222</v>
      </c>
      <c r="H10" s="38">
        <f t="shared" si="16"/>
        <v>10.258133055555554</v>
      </c>
      <c r="I10" s="35">
        <v>19</v>
      </c>
      <c r="J10" s="36">
        <v>2.5</v>
      </c>
      <c r="K10" s="36">
        <v>12.75</v>
      </c>
      <c r="L10" s="22">
        <f t="shared" si="5"/>
        <v>10.375</v>
      </c>
      <c r="M10" s="38"/>
      <c r="N10" s="38"/>
      <c r="O10" s="35">
        <v>2</v>
      </c>
      <c r="P10" s="35">
        <v>0.25</v>
      </c>
      <c r="Q10" s="35">
        <v>8</v>
      </c>
      <c r="R10" s="23">
        <f t="shared" si="6"/>
        <v>3.4166666666666665</v>
      </c>
      <c r="S10" s="23"/>
      <c r="T10" s="23"/>
      <c r="U10" s="23">
        <v>15.5</v>
      </c>
      <c r="V10" s="23">
        <v>13.409000000000001</v>
      </c>
      <c r="W10" s="27">
        <f t="shared" si="2"/>
        <v>14.802999999999999</v>
      </c>
      <c r="X10" s="23">
        <f t="shared" si="7"/>
        <v>9.1098333333333326</v>
      </c>
      <c r="Y10" s="39"/>
      <c r="Z10" s="40">
        <v>10</v>
      </c>
      <c r="AA10" s="41">
        <v>13.5</v>
      </c>
      <c r="AB10" s="23">
        <f t="shared" si="9"/>
        <v>11.75</v>
      </c>
      <c r="AC10" s="35">
        <v>13.7</v>
      </c>
      <c r="AD10" s="23">
        <v>15.6</v>
      </c>
      <c r="AE10" s="23">
        <v>6.7</v>
      </c>
      <c r="AF10" s="27">
        <f t="shared" si="10"/>
        <v>10.96</v>
      </c>
      <c r="AG10" s="35">
        <v>16</v>
      </c>
      <c r="AH10" s="36">
        <v>11</v>
      </c>
      <c r="AI10" s="27">
        <f t="shared" si="11"/>
        <v>13.5</v>
      </c>
      <c r="AJ10" s="35">
        <v>10.5</v>
      </c>
      <c r="AK10" s="27">
        <v>17.5</v>
      </c>
      <c r="AL10" s="27">
        <f t="shared" si="12"/>
        <v>14</v>
      </c>
      <c r="AM10" s="27">
        <v>16</v>
      </c>
      <c r="AN10" s="27">
        <v>17.5</v>
      </c>
      <c r="AO10" s="27">
        <f t="shared" si="13"/>
        <v>16.75</v>
      </c>
      <c r="AP10" s="23">
        <f t="shared" si="14"/>
        <v>13.392000000000001</v>
      </c>
      <c r="AQ10" s="35">
        <v>13.5</v>
      </c>
      <c r="AR10" s="36">
        <v>12</v>
      </c>
      <c r="AS10" s="36">
        <v>14</v>
      </c>
      <c r="AT10" s="23">
        <f t="shared" si="15"/>
        <v>13.125</v>
      </c>
      <c r="AU10" s="30"/>
      <c r="AV10" s="30"/>
      <c r="AW10" s="31"/>
      <c r="AX10" s="31"/>
    </row>
    <row r="11" spans="1:50" ht="15.75" customHeight="1" x14ac:dyDescent="0.2">
      <c r="A11" s="20">
        <v>6</v>
      </c>
      <c r="B11" s="21">
        <v>22322541</v>
      </c>
      <c r="C11" s="22">
        <v>11.014904444444445</v>
      </c>
      <c r="D11" s="22"/>
      <c r="E11" s="22">
        <f t="shared" si="0"/>
        <v>10.334416666666668</v>
      </c>
      <c r="F11" s="22"/>
      <c r="G11" s="22">
        <f t="shared" si="1"/>
        <v>10.674660555555556</v>
      </c>
      <c r="H11" s="38"/>
      <c r="I11" s="35">
        <v>16</v>
      </c>
      <c r="J11" s="36">
        <v>6.75</v>
      </c>
      <c r="K11" s="36">
        <v>4.25</v>
      </c>
      <c r="L11" s="22">
        <f t="shared" si="5"/>
        <v>7.041666666666667</v>
      </c>
      <c r="M11" s="38"/>
      <c r="N11" s="38"/>
      <c r="O11" s="35">
        <v>6</v>
      </c>
      <c r="P11" s="35">
        <v>0</v>
      </c>
      <c r="Q11" s="35">
        <v>6</v>
      </c>
      <c r="R11" s="23">
        <f t="shared" si="6"/>
        <v>4</v>
      </c>
      <c r="S11" s="23"/>
      <c r="T11" s="23"/>
      <c r="U11" s="23">
        <v>16.309999999999999</v>
      </c>
      <c r="V11" s="23">
        <v>15.72</v>
      </c>
      <c r="W11" s="27">
        <f t="shared" si="2"/>
        <v>16.113333333333333</v>
      </c>
      <c r="X11" s="23">
        <f t="shared" si="7"/>
        <v>10.056666666666667</v>
      </c>
      <c r="Y11" s="39"/>
      <c r="Z11" s="35">
        <v>9.5</v>
      </c>
      <c r="AA11" s="36">
        <v>11.5</v>
      </c>
      <c r="AB11" s="23">
        <f t="shared" si="9"/>
        <v>10.5</v>
      </c>
      <c r="AC11" s="35">
        <v>6.9</v>
      </c>
      <c r="AD11" s="23">
        <v>14.3</v>
      </c>
      <c r="AE11" s="23">
        <v>4.8</v>
      </c>
      <c r="AF11" s="27">
        <f t="shared" si="10"/>
        <v>8.81</v>
      </c>
      <c r="AG11" s="35">
        <v>7.5</v>
      </c>
      <c r="AH11" s="36">
        <v>9.8000000000000007</v>
      </c>
      <c r="AI11" s="27">
        <f t="shared" si="11"/>
        <v>8.65</v>
      </c>
      <c r="AJ11" s="35">
        <v>8.5</v>
      </c>
      <c r="AK11" s="27">
        <v>15.5</v>
      </c>
      <c r="AL11" s="27">
        <f t="shared" si="12"/>
        <v>12</v>
      </c>
      <c r="AM11" s="27">
        <v>16</v>
      </c>
      <c r="AN11" s="27">
        <v>15</v>
      </c>
      <c r="AO11" s="27">
        <f t="shared" si="13"/>
        <v>15.5</v>
      </c>
      <c r="AP11" s="23">
        <f t="shared" si="14"/>
        <v>11.092000000000001</v>
      </c>
      <c r="AQ11" s="35">
        <v>13.5</v>
      </c>
      <c r="AR11" s="36">
        <v>14</v>
      </c>
      <c r="AS11" s="36">
        <v>13.5</v>
      </c>
      <c r="AT11" s="23">
        <f t="shared" si="15"/>
        <v>13.6875</v>
      </c>
      <c r="AU11" s="30"/>
      <c r="AV11" s="30"/>
      <c r="AW11" s="31"/>
      <c r="AX11" s="31"/>
    </row>
    <row r="12" spans="1:50" ht="15.75" customHeight="1" x14ac:dyDescent="0.2">
      <c r="A12" s="20">
        <v>7</v>
      </c>
      <c r="B12" s="21">
        <v>22322616</v>
      </c>
      <c r="C12" s="22">
        <v>10.947438333333332</v>
      </c>
      <c r="D12" s="22"/>
      <c r="E12" s="22">
        <f t="shared" si="0"/>
        <v>10.582083333333333</v>
      </c>
      <c r="F12" s="22"/>
      <c r="G12" s="22">
        <f t="shared" si="1"/>
        <v>10.764760833333334</v>
      </c>
      <c r="H12" s="38"/>
      <c r="I12" s="35">
        <v>15</v>
      </c>
      <c r="J12" s="36">
        <v>10.5</v>
      </c>
      <c r="K12" s="36">
        <v>12.5</v>
      </c>
      <c r="L12" s="22">
        <f t="shared" si="5"/>
        <v>12.25</v>
      </c>
      <c r="M12" s="38"/>
      <c r="N12" s="38"/>
      <c r="O12" s="35">
        <v>5.75</v>
      </c>
      <c r="P12" s="35">
        <v>5.75</v>
      </c>
      <c r="Q12" s="35">
        <v>5</v>
      </c>
      <c r="R12" s="23">
        <f t="shared" si="6"/>
        <v>5.5</v>
      </c>
      <c r="S12" s="23"/>
      <c r="T12" s="23"/>
      <c r="U12" s="23">
        <v>14.95</v>
      </c>
      <c r="V12" s="23">
        <v>14.75</v>
      </c>
      <c r="W12" s="27">
        <f t="shared" si="2"/>
        <v>14.883333333333333</v>
      </c>
      <c r="X12" s="23">
        <f t="shared" si="7"/>
        <v>10.191666666666666</v>
      </c>
      <c r="Y12" s="39"/>
      <c r="Z12" s="35">
        <v>6.75</v>
      </c>
      <c r="AA12" s="36">
        <v>8.5</v>
      </c>
      <c r="AB12" s="23">
        <f t="shared" si="9"/>
        <v>7.625</v>
      </c>
      <c r="AC12" s="35">
        <v>13.1</v>
      </c>
      <c r="AD12" s="23">
        <v>15.1</v>
      </c>
      <c r="AE12" s="23">
        <v>3.8</v>
      </c>
      <c r="AF12" s="27">
        <f t="shared" si="10"/>
        <v>9.25</v>
      </c>
      <c r="AG12" s="35">
        <v>8</v>
      </c>
      <c r="AH12" s="36">
        <v>10.8</v>
      </c>
      <c r="AI12" s="27">
        <f t="shared" si="11"/>
        <v>9.4</v>
      </c>
      <c r="AJ12" s="35">
        <v>7</v>
      </c>
      <c r="AK12" s="27">
        <v>13.2</v>
      </c>
      <c r="AL12" s="27">
        <f t="shared" si="12"/>
        <v>10.1</v>
      </c>
      <c r="AM12" s="27">
        <v>17</v>
      </c>
      <c r="AN12" s="27">
        <v>9.5</v>
      </c>
      <c r="AO12" s="27">
        <f t="shared" si="13"/>
        <v>13.25</v>
      </c>
      <c r="AP12" s="23">
        <f t="shared" si="14"/>
        <v>9.9250000000000007</v>
      </c>
      <c r="AQ12" s="35">
        <v>10.75</v>
      </c>
      <c r="AR12" s="36">
        <v>11</v>
      </c>
      <c r="AS12" s="36">
        <v>12</v>
      </c>
      <c r="AT12" s="23">
        <f t="shared" si="15"/>
        <v>11.3125</v>
      </c>
      <c r="AU12" s="30"/>
      <c r="AV12" s="30"/>
      <c r="AW12" s="31"/>
      <c r="AX12" s="31"/>
    </row>
    <row r="13" spans="1:50" ht="15.75" customHeight="1" x14ac:dyDescent="0.2">
      <c r="A13" s="20">
        <v>8</v>
      </c>
      <c r="B13" s="42">
        <v>22322622</v>
      </c>
      <c r="C13" s="22">
        <v>10.000894999999998</v>
      </c>
      <c r="D13" s="22"/>
      <c r="E13" s="22">
        <f t="shared" si="0"/>
        <v>11.872416666666668</v>
      </c>
      <c r="F13" s="22"/>
      <c r="G13" s="22">
        <f t="shared" si="1"/>
        <v>10.936655833333333</v>
      </c>
      <c r="H13" s="38"/>
      <c r="I13" s="39">
        <v>16</v>
      </c>
      <c r="J13" s="37">
        <v>2</v>
      </c>
      <c r="K13" s="37">
        <v>16.25</v>
      </c>
      <c r="L13" s="22">
        <f t="shared" si="5"/>
        <v>11.458333333333334</v>
      </c>
      <c r="M13" s="38"/>
      <c r="N13" s="38"/>
      <c r="O13" s="39">
        <v>4</v>
      </c>
      <c r="P13" s="39">
        <v>0.5</v>
      </c>
      <c r="Q13" s="39">
        <v>5</v>
      </c>
      <c r="R13" s="23">
        <f t="shared" si="6"/>
        <v>3.1666666666666665</v>
      </c>
      <c r="S13" s="23"/>
      <c r="T13" s="23"/>
      <c r="U13" s="23">
        <v>14.96</v>
      </c>
      <c r="V13" s="23">
        <v>16.23</v>
      </c>
      <c r="W13" s="27">
        <f t="shared" si="2"/>
        <v>15.383333333333335</v>
      </c>
      <c r="X13" s="23">
        <f t="shared" si="7"/>
        <v>9.2750000000000004</v>
      </c>
      <c r="Y13" s="39"/>
      <c r="Z13" s="39">
        <v>8.75</v>
      </c>
      <c r="AA13" s="37">
        <v>4.25</v>
      </c>
      <c r="AB13" s="23">
        <f t="shared" si="9"/>
        <v>6.5</v>
      </c>
      <c r="AC13" s="39">
        <v>11.9</v>
      </c>
      <c r="AD13" s="23">
        <v>13.7</v>
      </c>
      <c r="AE13" s="23">
        <v>14.3</v>
      </c>
      <c r="AF13" s="27">
        <f t="shared" si="10"/>
        <v>13.82</v>
      </c>
      <c r="AG13" s="39">
        <v>8</v>
      </c>
      <c r="AH13" s="37">
        <v>9</v>
      </c>
      <c r="AI13" s="27">
        <f t="shared" si="11"/>
        <v>8.5</v>
      </c>
      <c r="AJ13" s="39">
        <v>17</v>
      </c>
      <c r="AK13" s="27">
        <v>15</v>
      </c>
      <c r="AL13" s="27">
        <f t="shared" si="12"/>
        <v>16</v>
      </c>
      <c r="AM13" s="27">
        <v>16</v>
      </c>
      <c r="AN13" s="27">
        <v>18.75</v>
      </c>
      <c r="AO13" s="27">
        <f t="shared" si="13"/>
        <v>17.375</v>
      </c>
      <c r="AP13" s="23">
        <f t="shared" si="14"/>
        <v>12.439</v>
      </c>
      <c r="AQ13" s="39">
        <v>13</v>
      </c>
      <c r="AR13" s="37">
        <v>18.5</v>
      </c>
      <c r="AS13" s="37">
        <v>13</v>
      </c>
      <c r="AT13" s="23">
        <f t="shared" si="15"/>
        <v>15.0625</v>
      </c>
      <c r="AU13" s="30"/>
      <c r="AV13" s="30"/>
      <c r="AW13" s="31"/>
      <c r="AX13" s="31"/>
    </row>
    <row r="14" spans="1:50" ht="15" customHeight="1" x14ac:dyDescent="0.2">
      <c r="A14" s="20">
        <v>9</v>
      </c>
      <c r="B14" s="21">
        <v>22322567</v>
      </c>
      <c r="C14" s="22">
        <v>10.95953388888889</v>
      </c>
      <c r="D14" s="22"/>
      <c r="E14" s="22">
        <f t="shared" si="0"/>
        <v>11.455299999999999</v>
      </c>
      <c r="F14" s="22"/>
      <c r="G14" s="22">
        <f t="shared" si="1"/>
        <v>11.207416944444445</v>
      </c>
      <c r="H14" s="38"/>
      <c r="I14" s="35">
        <v>15</v>
      </c>
      <c r="J14" s="36">
        <v>0</v>
      </c>
      <c r="K14" s="36">
        <v>11</v>
      </c>
      <c r="L14" s="22">
        <f t="shared" si="5"/>
        <v>8</v>
      </c>
      <c r="M14" s="22"/>
      <c r="N14" s="22"/>
      <c r="O14" s="26">
        <v>1.75</v>
      </c>
      <c r="P14" s="35">
        <v>3.75</v>
      </c>
      <c r="Q14" s="35">
        <v>13</v>
      </c>
      <c r="R14" s="23">
        <f t="shared" si="6"/>
        <v>6.166666666666667</v>
      </c>
      <c r="S14" s="23"/>
      <c r="T14" s="23"/>
      <c r="U14" s="23">
        <v>13.590999999999999</v>
      </c>
      <c r="V14" s="23">
        <v>13.727</v>
      </c>
      <c r="W14" s="27">
        <f t="shared" si="2"/>
        <v>13.636333333333333</v>
      </c>
      <c r="X14" s="23">
        <f t="shared" si="7"/>
        <v>9.9015000000000004</v>
      </c>
      <c r="Y14" s="39"/>
      <c r="Z14" s="40">
        <v>12.75</v>
      </c>
      <c r="AA14" s="41">
        <v>9.5</v>
      </c>
      <c r="AB14" s="23">
        <f t="shared" si="9"/>
        <v>11.125</v>
      </c>
      <c r="AC14" s="35">
        <v>14.8</v>
      </c>
      <c r="AD14" s="23">
        <v>15.3</v>
      </c>
      <c r="AE14" s="23">
        <v>9.5</v>
      </c>
      <c r="AF14" s="27">
        <f t="shared" si="10"/>
        <v>12.350000000000001</v>
      </c>
      <c r="AG14" s="35">
        <v>13.8</v>
      </c>
      <c r="AH14" s="36">
        <v>9</v>
      </c>
      <c r="AI14" s="27">
        <f t="shared" si="11"/>
        <v>11.4</v>
      </c>
      <c r="AJ14" s="35">
        <v>11</v>
      </c>
      <c r="AK14" s="27">
        <v>20</v>
      </c>
      <c r="AL14" s="27">
        <f t="shared" si="12"/>
        <v>15.5</v>
      </c>
      <c r="AM14" s="27">
        <v>18</v>
      </c>
      <c r="AN14" s="27">
        <v>20</v>
      </c>
      <c r="AO14" s="27">
        <f t="shared" si="13"/>
        <v>19</v>
      </c>
      <c r="AP14" s="23">
        <f t="shared" si="14"/>
        <v>13.875</v>
      </c>
      <c r="AQ14" s="35">
        <v>10.5</v>
      </c>
      <c r="AR14" s="36">
        <v>6</v>
      </c>
      <c r="AS14" s="36">
        <v>12</v>
      </c>
      <c r="AT14" s="23">
        <f t="shared" si="15"/>
        <v>9.375</v>
      </c>
      <c r="AU14" s="30"/>
      <c r="AV14" s="30"/>
      <c r="AW14" s="31"/>
      <c r="AX14" s="31"/>
    </row>
    <row r="15" spans="1:50" ht="15.75" customHeight="1" x14ac:dyDescent="0.2">
      <c r="A15" s="20">
        <v>10</v>
      </c>
      <c r="B15" s="21">
        <v>22322544</v>
      </c>
      <c r="C15" s="22">
        <v>10.340895</v>
      </c>
      <c r="D15" s="22"/>
      <c r="E15" s="22">
        <f t="shared" si="0"/>
        <v>12.09535</v>
      </c>
      <c r="F15" s="22"/>
      <c r="G15" s="22">
        <f t="shared" si="1"/>
        <v>11.2181225</v>
      </c>
      <c r="H15" s="38"/>
      <c r="I15" s="35">
        <v>11</v>
      </c>
      <c r="J15" s="36">
        <v>8.75</v>
      </c>
      <c r="K15" s="36">
        <v>12.75</v>
      </c>
      <c r="L15" s="22">
        <f t="shared" si="5"/>
        <v>11.125</v>
      </c>
      <c r="M15" s="38"/>
      <c r="N15" s="38"/>
      <c r="O15" s="35">
        <v>2.75</v>
      </c>
      <c r="P15" s="35">
        <v>1</v>
      </c>
      <c r="Q15" s="35">
        <v>2</v>
      </c>
      <c r="R15" s="23">
        <f t="shared" si="6"/>
        <v>1.9166666666666667</v>
      </c>
      <c r="S15" s="23"/>
      <c r="T15" s="23"/>
      <c r="U15" s="23">
        <v>14.045</v>
      </c>
      <c r="V15" s="23">
        <v>13.773</v>
      </c>
      <c r="W15" s="27">
        <f t="shared" si="2"/>
        <v>13.954333333333333</v>
      </c>
      <c r="X15" s="23">
        <f t="shared" si="7"/>
        <v>7.9354999999999993</v>
      </c>
      <c r="Y15" s="39"/>
      <c r="Z15" s="40">
        <v>12.5</v>
      </c>
      <c r="AA15" s="41">
        <v>11</v>
      </c>
      <c r="AB15" s="23">
        <f t="shared" si="9"/>
        <v>11.75</v>
      </c>
      <c r="AC15" s="35">
        <v>12.7</v>
      </c>
      <c r="AD15" s="23">
        <v>14.5</v>
      </c>
      <c r="AE15" s="23">
        <v>9.6</v>
      </c>
      <c r="AF15" s="27">
        <f t="shared" si="10"/>
        <v>11.870000000000001</v>
      </c>
      <c r="AG15" s="35">
        <v>8</v>
      </c>
      <c r="AH15" s="36">
        <v>12.3</v>
      </c>
      <c r="AI15" s="27">
        <f t="shared" si="11"/>
        <v>10.15</v>
      </c>
      <c r="AJ15" s="35">
        <v>15</v>
      </c>
      <c r="AK15" s="27">
        <v>15.5</v>
      </c>
      <c r="AL15" s="27">
        <f t="shared" si="12"/>
        <v>15.25</v>
      </c>
      <c r="AM15" s="27">
        <v>16</v>
      </c>
      <c r="AN15" s="27">
        <v>17</v>
      </c>
      <c r="AO15" s="27">
        <f t="shared" si="13"/>
        <v>16.5</v>
      </c>
      <c r="AP15" s="23">
        <f t="shared" si="14"/>
        <v>13.104000000000003</v>
      </c>
      <c r="AQ15" s="35">
        <v>15.25</v>
      </c>
      <c r="AR15" s="36">
        <v>17</v>
      </c>
      <c r="AS15" s="36">
        <v>19</v>
      </c>
      <c r="AT15" s="23">
        <f t="shared" si="15"/>
        <v>17.3125</v>
      </c>
      <c r="AU15" s="30"/>
      <c r="AV15" s="30"/>
      <c r="AW15" s="31"/>
      <c r="AX15" s="31"/>
    </row>
    <row r="16" spans="1:50" ht="15.75" customHeight="1" x14ac:dyDescent="0.2">
      <c r="A16" s="20">
        <v>11</v>
      </c>
      <c r="B16" s="21">
        <v>22322580</v>
      </c>
      <c r="C16" s="22">
        <v>10.744493888888888</v>
      </c>
      <c r="D16" s="22"/>
      <c r="E16" s="22">
        <f t="shared" si="0"/>
        <v>12.242666666666668</v>
      </c>
      <c r="F16" s="22"/>
      <c r="G16" s="43">
        <f t="shared" si="1"/>
        <v>11.493580277777777</v>
      </c>
      <c r="H16" s="38"/>
      <c r="I16" s="35">
        <v>20</v>
      </c>
      <c r="J16" s="36">
        <v>10.25</v>
      </c>
      <c r="K16" s="36">
        <v>10.25</v>
      </c>
      <c r="L16" s="22">
        <f t="shared" si="5"/>
        <v>11.875</v>
      </c>
      <c r="M16" s="38"/>
      <c r="N16" s="38"/>
      <c r="O16" s="35">
        <v>6</v>
      </c>
      <c r="P16" s="35">
        <v>2</v>
      </c>
      <c r="Q16" s="35">
        <v>6</v>
      </c>
      <c r="R16" s="23">
        <f t="shared" si="6"/>
        <v>4.666666666666667</v>
      </c>
      <c r="S16" s="23"/>
      <c r="T16" s="23"/>
      <c r="U16" s="23">
        <v>16.2</v>
      </c>
      <c r="V16" s="23">
        <v>16.02</v>
      </c>
      <c r="W16" s="27">
        <f t="shared" si="2"/>
        <v>16.14</v>
      </c>
      <c r="X16" s="23">
        <f t="shared" si="7"/>
        <v>10.403333333333334</v>
      </c>
      <c r="Y16" s="39"/>
      <c r="Z16" s="35">
        <v>11.75</v>
      </c>
      <c r="AA16" s="36">
        <v>7.25</v>
      </c>
      <c r="AB16" s="23">
        <f t="shared" si="9"/>
        <v>9.5</v>
      </c>
      <c r="AC16" s="35">
        <v>13.7</v>
      </c>
      <c r="AD16" s="23">
        <v>15</v>
      </c>
      <c r="AE16" s="23">
        <v>10.5</v>
      </c>
      <c r="AF16" s="27">
        <f t="shared" si="10"/>
        <v>12.620000000000001</v>
      </c>
      <c r="AG16" s="35">
        <v>9.1999999999999993</v>
      </c>
      <c r="AH16" s="36">
        <v>13.8</v>
      </c>
      <c r="AI16" s="27">
        <f t="shared" si="11"/>
        <v>11.5</v>
      </c>
      <c r="AJ16" s="35">
        <v>9</v>
      </c>
      <c r="AK16" s="27">
        <v>13.5</v>
      </c>
      <c r="AL16" s="27">
        <f t="shared" si="12"/>
        <v>11.25</v>
      </c>
      <c r="AM16" s="27">
        <v>13</v>
      </c>
      <c r="AN16" s="27">
        <v>19</v>
      </c>
      <c r="AO16" s="27">
        <f t="shared" si="13"/>
        <v>16</v>
      </c>
      <c r="AP16" s="23">
        <f t="shared" si="14"/>
        <v>12.174000000000001</v>
      </c>
      <c r="AQ16" s="35">
        <v>18.5</v>
      </c>
      <c r="AR16" s="36">
        <v>18</v>
      </c>
      <c r="AS16" s="36">
        <v>15</v>
      </c>
      <c r="AT16" s="23">
        <f t="shared" si="15"/>
        <v>17</v>
      </c>
      <c r="AU16" s="30"/>
      <c r="AV16" s="30"/>
      <c r="AW16" s="31"/>
      <c r="AX16" s="31"/>
    </row>
    <row r="17" spans="1:50" ht="15.75" customHeight="1" x14ac:dyDescent="0.2">
      <c r="A17" s="20">
        <v>12</v>
      </c>
      <c r="B17" s="21">
        <v>22322576</v>
      </c>
      <c r="C17" s="22">
        <v>10.584756111111112</v>
      </c>
      <c r="D17" s="22"/>
      <c r="E17" s="22">
        <f t="shared" si="0"/>
        <v>12.550416666666667</v>
      </c>
      <c r="F17" s="22"/>
      <c r="G17" s="22">
        <f t="shared" si="1"/>
        <v>11.567586388888889</v>
      </c>
      <c r="H17" s="38"/>
      <c r="I17" s="35">
        <v>16</v>
      </c>
      <c r="J17" s="36">
        <v>10.5</v>
      </c>
      <c r="K17" s="36">
        <v>14.25</v>
      </c>
      <c r="L17" s="22">
        <f t="shared" si="5"/>
        <v>13.291666666666666</v>
      </c>
      <c r="M17" s="38"/>
      <c r="N17" s="38"/>
      <c r="O17" s="35">
        <v>5.75</v>
      </c>
      <c r="P17" s="35">
        <v>5</v>
      </c>
      <c r="Q17" s="35">
        <v>9</v>
      </c>
      <c r="R17" s="23">
        <f t="shared" si="6"/>
        <v>6.583333333333333</v>
      </c>
      <c r="S17" s="23"/>
      <c r="T17" s="23"/>
      <c r="U17" s="23">
        <v>15.7</v>
      </c>
      <c r="V17" s="23">
        <v>14.8</v>
      </c>
      <c r="W17" s="27">
        <f t="shared" si="2"/>
        <v>15.4</v>
      </c>
      <c r="X17" s="23">
        <f t="shared" si="7"/>
        <v>10.991666666666667</v>
      </c>
      <c r="Y17" s="39"/>
      <c r="Z17" s="35">
        <v>5.75</v>
      </c>
      <c r="AA17" s="36">
        <v>8.25</v>
      </c>
      <c r="AB17" s="23">
        <f t="shared" si="9"/>
        <v>7</v>
      </c>
      <c r="AC17" s="35">
        <v>13.9</v>
      </c>
      <c r="AD17" s="23">
        <v>16.399999999999999</v>
      </c>
      <c r="AE17" s="23">
        <v>12.4</v>
      </c>
      <c r="AF17" s="27">
        <f t="shared" si="10"/>
        <v>14.149999999999999</v>
      </c>
      <c r="AG17" s="35">
        <v>9.1999999999999993</v>
      </c>
      <c r="AH17" s="36">
        <v>11</v>
      </c>
      <c r="AI17" s="27">
        <f t="shared" si="11"/>
        <v>10.1</v>
      </c>
      <c r="AJ17" s="35">
        <v>7</v>
      </c>
      <c r="AK17" s="27">
        <v>18.5</v>
      </c>
      <c r="AL17" s="27">
        <f t="shared" si="12"/>
        <v>12.75</v>
      </c>
      <c r="AM17" s="27">
        <v>18</v>
      </c>
      <c r="AN17" s="27">
        <v>16.5</v>
      </c>
      <c r="AO17" s="27">
        <f t="shared" si="13"/>
        <v>17.25</v>
      </c>
      <c r="AP17" s="23">
        <f t="shared" si="14"/>
        <v>12.25</v>
      </c>
      <c r="AQ17" s="35">
        <v>17</v>
      </c>
      <c r="AR17" s="36">
        <v>16.5</v>
      </c>
      <c r="AS17" s="36">
        <v>14</v>
      </c>
      <c r="AT17" s="23">
        <f t="shared" si="15"/>
        <v>15.6875</v>
      </c>
      <c r="AU17" s="30"/>
      <c r="AV17" s="30"/>
      <c r="AW17" s="31"/>
      <c r="AX17" s="31"/>
    </row>
    <row r="18" spans="1:50" ht="15.75" customHeight="1" x14ac:dyDescent="0.2">
      <c r="A18" s="20">
        <v>13</v>
      </c>
      <c r="B18" s="21">
        <v>22322542</v>
      </c>
      <c r="C18" s="22">
        <v>11.05525611111111</v>
      </c>
      <c r="D18" s="22"/>
      <c r="E18" s="22">
        <f t="shared" si="0"/>
        <v>12.145666666666667</v>
      </c>
      <c r="F18" s="22"/>
      <c r="G18" s="22">
        <f t="shared" si="1"/>
        <v>11.600461388888888</v>
      </c>
      <c r="H18" s="38"/>
      <c r="I18" s="35">
        <v>17</v>
      </c>
      <c r="J18" s="36">
        <v>5</v>
      </c>
      <c r="K18" s="36">
        <v>8.25</v>
      </c>
      <c r="L18" s="22">
        <f t="shared" si="5"/>
        <v>8.625</v>
      </c>
      <c r="M18" s="38"/>
      <c r="N18" s="38"/>
      <c r="O18" s="35">
        <v>13.5</v>
      </c>
      <c r="P18" s="35">
        <v>5</v>
      </c>
      <c r="Q18" s="35">
        <v>10</v>
      </c>
      <c r="R18" s="23">
        <f t="shared" si="6"/>
        <v>9.5</v>
      </c>
      <c r="S18" s="23"/>
      <c r="T18" s="23"/>
      <c r="U18" s="23">
        <v>16.47</v>
      </c>
      <c r="V18" s="23">
        <v>17.36</v>
      </c>
      <c r="W18" s="27">
        <f t="shared" si="2"/>
        <v>16.766666666666666</v>
      </c>
      <c r="X18" s="23">
        <f t="shared" si="7"/>
        <v>13.133333333333333</v>
      </c>
      <c r="Y18" s="39"/>
      <c r="Z18" s="40">
        <v>14</v>
      </c>
      <c r="AA18" s="41">
        <v>7</v>
      </c>
      <c r="AB18" s="23">
        <f t="shared" si="9"/>
        <v>10.5</v>
      </c>
      <c r="AC18" s="35">
        <v>15.7</v>
      </c>
      <c r="AD18" s="23">
        <v>15.3</v>
      </c>
      <c r="AE18" s="23">
        <v>9.5</v>
      </c>
      <c r="AF18" s="27">
        <f t="shared" si="10"/>
        <v>12.440000000000001</v>
      </c>
      <c r="AG18" s="35">
        <v>13.8</v>
      </c>
      <c r="AH18" s="36">
        <v>18.8</v>
      </c>
      <c r="AI18" s="27">
        <f t="shared" si="11"/>
        <v>16.3</v>
      </c>
      <c r="AJ18" s="35">
        <v>10</v>
      </c>
      <c r="AK18" s="27">
        <v>18</v>
      </c>
      <c r="AL18" s="27">
        <f t="shared" si="12"/>
        <v>14</v>
      </c>
      <c r="AM18" s="27">
        <v>16</v>
      </c>
      <c r="AN18" s="27">
        <v>14.4</v>
      </c>
      <c r="AO18" s="27">
        <f t="shared" si="13"/>
        <v>15.2</v>
      </c>
      <c r="AP18" s="23">
        <f t="shared" si="14"/>
        <v>13.687999999999999</v>
      </c>
      <c r="AQ18" s="44">
        <v>12.5</v>
      </c>
      <c r="AR18" s="35">
        <v>7</v>
      </c>
      <c r="AS18" s="36">
        <v>10</v>
      </c>
      <c r="AT18" s="23">
        <f t="shared" si="15"/>
        <v>9.5</v>
      </c>
      <c r="AU18" s="30"/>
      <c r="AV18" s="30"/>
      <c r="AW18" s="31"/>
      <c r="AX18" s="31"/>
    </row>
    <row r="19" spans="1:50" ht="15.75" customHeight="1" x14ac:dyDescent="0.2">
      <c r="A19" s="20">
        <v>14</v>
      </c>
      <c r="B19" s="21">
        <v>22322636</v>
      </c>
      <c r="C19" s="22">
        <v>11.281943222222223</v>
      </c>
      <c r="D19" s="22"/>
      <c r="E19" s="22">
        <f t="shared" si="0"/>
        <v>11.943333333333333</v>
      </c>
      <c r="F19" s="22"/>
      <c r="G19" s="22">
        <f t="shared" si="1"/>
        <v>11.612638277777778</v>
      </c>
      <c r="H19" s="38"/>
      <c r="I19" s="35">
        <v>14</v>
      </c>
      <c r="J19" s="36">
        <v>8.25</v>
      </c>
      <c r="K19" s="36">
        <v>11.25</v>
      </c>
      <c r="L19" s="22">
        <f t="shared" si="5"/>
        <v>10.708333333333334</v>
      </c>
      <c r="M19" s="38"/>
      <c r="N19" s="38"/>
      <c r="O19" s="35">
        <v>8</v>
      </c>
      <c r="P19" s="35">
        <v>8.25</v>
      </c>
      <c r="Q19" s="35">
        <v>11</v>
      </c>
      <c r="R19" s="23">
        <f t="shared" si="6"/>
        <v>9.0833333333333339</v>
      </c>
      <c r="S19" s="23"/>
      <c r="T19" s="23"/>
      <c r="U19" s="23">
        <v>16.34</v>
      </c>
      <c r="V19" s="23">
        <v>15.03</v>
      </c>
      <c r="W19" s="27">
        <f t="shared" si="2"/>
        <v>15.903333333333334</v>
      </c>
      <c r="X19" s="23">
        <f t="shared" si="7"/>
        <v>12.493333333333334</v>
      </c>
      <c r="Y19" s="39"/>
      <c r="Z19" s="40">
        <v>6.75</v>
      </c>
      <c r="AA19" s="41">
        <v>10</v>
      </c>
      <c r="AB19" s="23">
        <f t="shared" si="9"/>
        <v>8.375</v>
      </c>
      <c r="AC19" s="35">
        <v>11.8</v>
      </c>
      <c r="AD19" s="23">
        <v>16</v>
      </c>
      <c r="AE19" s="23">
        <v>7.6</v>
      </c>
      <c r="AF19" s="27">
        <f t="shared" si="10"/>
        <v>11.379999999999999</v>
      </c>
      <c r="AG19" s="35">
        <v>9.8000000000000007</v>
      </c>
      <c r="AH19" s="36">
        <v>10</v>
      </c>
      <c r="AI19" s="27">
        <f t="shared" si="11"/>
        <v>9.9</v>
      </c>
      <c r="AJ19" s="35">
        <v>10</v>
      </c>
      <c r="AK19" s="27">
        <v>14.2</v>
      </c>
      <c r="AL19" s="27">
        <f t="shared" si="12"/>
        <v>12.1</v>
      </c>
      <c r="AM19" s="27">
        <v>20</v>
      </c>
      <c r="AN19" s="27">
        <v>16.8</v>
      </c>
      <c r="AO19" s="27">
        <f t="shared" si="13"/>
        <v>18.399999999999999</v>
      </c>
      <c r="AP19" s="23">
        <f t="shared" si="14"/>
        <v>12.031000000000001</v>
      </c>
      <c r="AQ19" s="36">
        <v>12.5</v>
      </c>
      <c r="AR19" s="35">
        <v>12</v>
      </c>
      <c r="AS19" s="36">
        <v>14</v>
      </c>
      <c r="AT19" s="23">
        <f t="shared" si="15"/>
        <v>12.875</v>
      </c>
      <c r="AU19" s="30"/>
      <c r="AV19" s="30"/>
      <c r="AW19" s="31"/>
      <c r="AX19" s="31"/>
    </row>
    <row r="20" spans="1:50" ht="15.75" customHeight="1" x14ac:dyDescent="0.2">
      <c r="A20" s="20">
        <v>15</v>
      </c>
      <c r="B20" s="21">
        <v>22322588</v>
      </c>
      <c r="C20" s="22">
        <v>11.079021666666668</v>
      </c>
      <c r="D20" s="22"/>
      <c r="E20" s="22">
        <f t="shared" si="0"/>
        <v>12.868666666666666</v>
      </c>
      <c r="F20" s="22"/>
      <c r="G20" s="22">
        <f t="shared" si="1"/>
        <v>11.973844166666666</v>
      </c>
      <c r="H20" s="38"/>
      <c r="I20" s="35">
        <v>18</v>
      </c>
      <c r="J20" s="36">
        <v>15</v>
      </c>
      <c r="K20" s="36">
        <v>18.75</v>
      </c>
      <c r="L20" s="22">
        <f t="shared" si="5"/>
        <v>17.375</v>
      </c>
      <c r="M20" s="38"/>
      <c r="N20" s="38"/>
      <c r="O20" s="35">
        <v>10</v>
      </c>
      <c r="P20" s="35">
        <v>8.5</v>
      </c>
      <c r="Q20" s="35">
        <v>9</v>
      </c>
      <c r="R20" s="23">
        <f t="shared" si="6"/>
        <v>9.1666666666666661</v>
      </c>
      <c r="S20" s="23"/>
      <c r="T20" s="23"/>
      <c r="U20" s="23">
        <v>14.81</v>
      </c>
      <c r="V20" s="23">
        <v>14.75</v>
      </c>
      <c r="W20" s="27">
        <f t="shared" si="2"/>
        <v>14.790000000000001</v>
      </c>
      <c r="X20" s="23">
        <f t="shared" si="7"/>
        <v>11.978333333333333</v>
      </c>
      <c r="Y20" s="39"/>
      <c r="Z20" s="35">
        <v>8.75</v>
      </c>
      <c r="AA20" s="36">
        <v>9.75</v>
      </c>
      <c r="AB20" s="23">
        <f t="shared" si="9"/>
        <v>9.25</v>
      </c>
      <c r="AC20" s="35">
        <v>14.4</v>
      </c>
      <c r="AD20" s="23">
        <v>16.600000000000001</v>
      </c>
      <c r="AE20" s="23">
        <v>7.6</v>
      </c>
      <c r="AF20" s="27">
        <f t="shared" si="10"/>
        <v>11.879999999999999</v>
      </c>
      <c r="AG20" s="35">
        <v>9.1999999999999993</v>
      </c>
      <c r="AH20" s="36">
        <v>10.8</v>
      </c>
      <c r="AI20" s="27">
        <f t="shared" si="11"/>
        <v>10</v>
      </c>
      <c r="AJ20" s="35">
        <v>5</v>
      </c>
      <c r="AK20" s="27">
        <v>15.25</v>
      </c>
      <c r="AL20" s="27">
        <f t="shared" si="12"/>
        <v>10.125</v>
      </c>
      <c r="AM20" s="27">
        <v>16</v>
      </c>
      <c r="AN20" s="27">
        <v>14.95</v>
      </c>
      <c r="AO20" s="27">
        <f t="shared" si="13"/>
        <v>15.475</v>
      </c>
      <c r="AP20" s="23">
        <f t="shared" si="14"/>
        <v>11.346</v>
      </c>
      <c r="AQ20" s="36">
        <v>12.5</v>
      </c>
      <c r="AR20" s="35">
        <v>13</v>
      </c>
      <c r="AS20" s="36">
        <v>14</v>
      </c>
      <c r="AT20" s="23">
        <f t="shared" si="15"/>
        <v>13.25</v>
      </c>
      <c r="AU20" s="30"/>
      <c r="AV20" s="30"/>
      <c r="AW20" s="31"/>
      <c r="AX20" s="31"/>
    </row>
    <row r="21" spans="1:50" ht="15.75" customHeight="1" x14ac:dyDescent="0.2">
      <c r="A21" s="20">
        <v>16</v>
      </c>
      <c r="B21" s="21">
        <v>22322614</v>
      </c>
      <c r="C21" s="22">
        <v>11.340672777777778</v>
      </c>
      <c r="D21" s="22"/>
      <c r="E21" s="22">
        <f t="shared" si="0"/>
        <v>12.641833333333333</v>
      </c>
      <c r="F21" s="22"/>
      <c r="G21" s="22">
        <f t="shared" si="1"/>
        <v>11.991253055555555</v>
      </c>
      <c r="H21" s="38"/>
      <c r="I21" s="35">
        <v>13</v>
      </c>
      <c r="J21" s="36">
        <v>9.75</v>
      </c>
      <c r="K21" s="36">
        <v>11.5</v>
      </c>
      <c r="L21" s="22">
        <f t="shared" si="5"/>
        <v>11.166666666666666</v>
      </c>
      <c r="M21" s="38"/>
      <c r="N21" s="38"/>
      <c r="O21" s="35">
        <v>4.5</v>
      </c>
      <c r="P21" s="35">
        <v>3.5</v>
      </c>
      <c r="Q21" s="35">
        <v>10</v>
      </c>
      <c r="R21" s="23">
        <f t="shared" si="6"/>
        <v>6</v>
      </c>
      <c r="S21" s="23"/>
      <c r="T21" s="23"/>
      <c r="U21" s="23">
        <v>16.14</v>
      </c>
      <c r="V21" s="23">
        <v>15.84</v>
      </c>
      <c r="W21" s="27">
        <f t="shared" si="2"/>
        <v>16.040000000000003</v>
      </c>
      <c r="X21" s="23">
        <f t="shared" si="7"/>
        <v>11.020000000000001</v>
      </c>
      <c r="Y21" s="39"/>
      <c r="Z21" s="40">
        <v>14.5</v>
      </c>
      <c r="AA21" s="41">
        <v>9.75</v>
      </c>
      <c r="AB21" s="23">
        <f t="shared" si="9"/>
        <v>12.125</v>
      </c>
      <c r="AC21" s="35">
        <v>14.9</v>
      </c>
      <c r="AD21" s="23">
        <v>16.7</v>
      </c>
      <c r="AE21" s="23">
        <v>11.5</v>
      </c>
      <c r="AF21" s="27">
        <f t="shared" si="10"/>
        <v>13.92</v>
      </c>
      <c r="AG21" s="35">
        <v>13.2</v>
      </c>
      <c r="AH21" s="36">
        <v>13.8</v>
      </c>
      <c r="AI21" s="27">
        <f t="shared" si="11"/>
        <v>13.5</v>
      </c>
      <c r="AJ21" s="35">
        <v>15</v>
      </c>
      <c r="AK21" s="27">
        <v>15.65</v>
      </c>
      <c r="AL21" s="27">
        <f t="shared" si="12"/>
        <v>15.324999999999999</v>
      </c>
      <c r="AM21" s="27">
        <v>16</v>
      </c>
      <c r="AN21" s="27">
        <v>15.85</v>
      </c>
      <c r="AO21" s="27">
        <f t="shared" si="13"/>
        <v>15.925000000000001</v>
      </c>
      <c r="AP21" s="23">
        <f t="shared" si="14"/>
        <v>14.159000000000001</v>
      </c>
      <c r="AQ21" s="36">
        <v>6</v>
      </c>
      <c r="AR21" s="35">
        <v>14</v>
      </c>
      <c r="AS21" s="36">
        <v>12</v>
      </c>
      <c r="AT21" s="23">
        <f t="shared" si="15"/>
        <v>11.25</v>
      </c>
      <c r="AU21" s="30"/>
      <c r="AV21" s="30"/>
      <c r="AW21" s="31"/>
      <c r="AX21" s="31"/>
    </row>
    <row r="22" spans="1:50" ht="15.75" customHeight="1" x14ac:dyDescent="0.2">
      <c r="A22" s="20">
        <v>17</v>
      </c>
      <c r="B22" s="21">
        <v>22322627</v>
      </c>
      <c r="C22" s="22">
        <v>10.676626666666667</v>
      </c>
      <c r="D22" s="22"/>
      <c r="E22" s="22">
        <f t="shared" si="0"/>
        <v>13.394416666666666</v>
      </c>
      <c r="F22" s="22"/>
      <c r="G22" s="22">
        <f t="shared" si="1"/>
        <v>12.035521666666668</v>
      </c>
      <c r="H22" s="38"/>
      <c r="I22" s="35">
        <v>17</v>
      </c>
      <c r="J22" s="36">
        <v>9</v>
      </c>
      <c r="K22" s="36">
        <v>9.25</v>
      </c>
      <c r="L22" s="22">
        <f t="shared" si="5"/>
        <v>10.458333333333334</v>
      </c>
      <c r="M22" s="38"/>
      <c r="N22" s="38"/>
      <c r="O22" s="35">
        <v>12</v>
      </c>
      <c r="P22" s="35">
        <v>10</v>
      </c>
      <c r="Q22" s="35">
        <v>8</v>
      </c>
      <c r="R22" s="23">
        <f t="shared" si="6"/>
        <v>10</v>
      </c>
      <c r="S22" s="23"/>
      <c r="T22" s="23"/>
      <c r="U22" s="23">
        <v>16.97</v>
      </c>
      <c r="V22" s="23">
        <v>16.100000000000001</v>
      </c>
      <c r="W22" s="27">
        <f t="shared" si="2"/>
        <v>16.68</v>
      </c>
      <c r="X22" s="23">
        <f t="shared" si="7"/>
        <v>13.34</v>
      </c>
      <c r="Y22" s="39"/>
      <c r="Z22" s="35">
        <v>7.75</v>
      </c>
      <c r="AA22" s="36">
        <v>13</v>
      </c>
      <c r="AB22" s="23">
        <f t="shared" si="9"/>
        <v>10.375</v>
      </c>
      <c r="AC22" s="35">
        <v>12.7</v>
      </c>
      <c r="AD22" s="23">
        <v>16.600000000000001</v>
      </c>
      <c r="AE22" s="23">
        <v>15.2</v>
      </c>
      <c r="AF22" s="27">
        <f t="shared" si="10"/>
        <v>15.51</v>
      </c>
      <c r="AG22" s="35">
        <v>13.8</v>
      </c>
      <c r="AH22" s="36">
        <v>18.8</v>
      </c>
      <c r="AI22" s="27">
        <f t="shared" si="11"/>
        <v>16.3</v>
      </c>
      <c r="AJ22" s="35">
        <v>14</v>
      </c>
      <c r="AK22" s="27">
        <v>16.600000000000001</v>
      </c>
      <c r="AL22" s="27">
        <f t="shared" si="12"/>
        <v>15.3</v>
      </c>
      <c r="AM22" s="27">
        <v>11</v>
      </c>
      <c r="AN22" s="27">
        <v>17.350000000000001</v>
      </c>
      <c r="AO22" s="27">
        <f t="shared" si="13"/>
        <v>14.175000000000001</v>
      </c>
      <c r="AP22" s="23">
        <f t="shared" si="14"/>
        <v>14.331999999999999</v>
      </c>
      <c r="AQ22" s="36">
        <v>11.5</v>
      </c>
      <c r="AR22" s="35">
        <v>16</v>
      </c>
      <c r="AS22" s="36">
        <v>15.5</v>
      </c>
      <c r="AT22" s="23">
        <f t="shared" si="15"/>
        <v>14.6875</v>
      </c>
      <c r="AU22" s="30"/>
      <c r="AV22" s="30"/>
      <c r="AW22" s="31"/>
      <c r="AX22" s="31"/>
    </row>
    <row r="23" spans="1:50" ht="15.75" customHeight="1" x14ac:dyDescent="0.2">
      <c r="A23" s="20">
        <v>18</v>
      </c>
      <c r="B23" s="21">
        <v>22322592</v>
      </c>
      <c r="C23" s="22">
        <v>11.716361111111111</v>
      </c>
      <c r="D23" s="22"/>
      <c r="E23" s="22">
        <f t="shared" si="0"/>
        <v>12.528500000000001</v>
      </c>
      <c r="F23" s="22"/>
      <c r="G23" s="22">
        <f t="shared" si="1"/>
        <v>12.122430555555557</v>
      </c>
      <c r="H23" s="38"/>
      <c r="I23" s="35">
        <v>15</v>
      </c>
      <c r="J23" s="36">
        <v>10.5</v>
      </c>
      <c r="K23" s="36">
        <v>12.5</v>
      </c>
      <c r="L23" s="22">
        <f t="shared" si="5"/>
        <v>12.25</v>
      </c>
      <c r="M23" s="38"/>
      <c r="N23" s="38"/>
      <c r="O23" s="35">
        <v>7</v>
      </c>
      <c r="P23" s="35">
        <v>8.25</v>
      </c>
      <c r="Q23" s="35">
        <v>8</v>
      </c>
      <c r="R23" s="23">
        <f t="shared" si="6"/>
        <v>7.75</v>
      </c>
      <c r="S23" s="23"/>
      <c r="T23" s="23"/>
      <c r="U23" s="23">
        <v>16.170000000000002</v>
      </c>
      <c r="V23" s="23">
        <v>14.28</v>
      </c>
      <c r="W23" s="27">
        <f t="shared" si="2"/>
        <v>15.540000000000001</v>
      </c>
      <c r="X23" s="23">
        <f t="shared" si="7"/>
        <v>11.645</v>
      </c>
      <c r="Y23" s="39"/>
      <c r="Z23" s="40">
        <v>9.5</v>
      </c>
      <c r="AA23" s="41">
        <v>7.75</v>
      </c>
      <c r="AB23" s="23">
        <f t="shared" si="9"/>
        <v>8.625</v>
      </c>
      <c r="AC23" s="35">
        <v>11.5</v>
      </c>
      <c r="AD23" s="23">
        <v>16.3</v>
      </c>
      <c r="AE23" s="23">
        <v>10.5</v>
      </c>
      <c r="AF23" s="27">
        <f t="shared" si="10"/>
        <v>12.920000000000002</v>
      </c>
      <c r="AG23" s="35">
        <v>9.8000000000000007</v>
      </c>
      <c r="AH23" s="36">
        <v>16</v>
      </c>
      <c r="AI23" s="27">
        <f t="shared" si="11"/>
        <v>12.9</v>
      </c>
      <c r="AJ23" s="35">
        <v>6</v>
      </c>
      <c r="AK23" s="27">
        <v>14.3</v>
      </c>
      <c r="AL23" s="27">
        <f t="shared" si="12"/>
        <v>10.15</v>
      </c>
      <c r="AM23" s="27">
        <v>20</v>
      </c>
      <c r="AN23" s="27">
        <v>13.8</v>
      </c>
      <c r="AO23" s="27">
        <f t="shared" si="13"/>
        <v>16.899999999999999</v>
      </c>
      <c r="AP23" s="23">
        <f t="shared" si="14"/>
        <v>12.298999999999999</v>
      </c>
      <c r="AQ23" s="36">
        <v>16</v>
      </c>
      <c r="AR23" s="35">
        <v>17</v>
      </c>
      <c r="AS23" s="36">
        <v>15</v>
      </c>
      <c r="AT23" s="23">
        <f t="shared" si="15"/>
        <v>16</v>
      </c>
      <c r="AU23" s="30"/>
      <c r="AV23" s="30"/>
      <c r="AW23" s="31"/>
      <c r="AX23" s="31"/>
    </row>
    <row r="24" spans="1:50" ht="15.75" customHeight="1" x14ac:dyDescent="0.2">
      <c r="A24" s="20">
        <v>19</v>
      </c>
      <c r="B24" s="21">
        <v>22322632</v>
      </c>
      <c r="C24" s="22">
        <v>11.875999999999999</v>
      </c>
      <c r="D24" s="22"/>
      <c r="E24" s="22">
        <f t="shared" si="0"/>
        <v>13.695349999999999</v>
      </c>
      <c r="F24" s="22"/>
      <c r="G24" s="22">
        <f t="shared" si="1"/>
        <v>12.785674999999999</v>
      </c>
      <c r="H24" s="38"/>
      <c r="I24" s="35">
        <v>13</v>
      </c>
      <c r="J24" s="36">
        <v>20</v>
      </c>
      <c r="K24" s="36">
        <v>16.5</v>
      </c>
      <c r="L24" s="22">
        <f t="shared" si="5"/>
        <v>17.083333333333332</v>
      </c>
      <c r="M24" s="38"/>
      <c r="N24" s="38"/>
      <c r="O24" s="35">
        <v>8.5</v>
      </c>
      <c r="P24" s="35">
        <v>11.25</v>
      </c>
      <c r="Q24" s="35">
        <v>9</v>
      </c>
      <c r="R24" s="23">
        <f t="shared" si="6"/>
        <v>9.5833333333333339</v>
      </c>
      <c r="S24" s="23"/>
      <c r="T24" s="23"/>
      <c r="U24" s="23">
        <v>14.909000000000001</v>
      </c>
      <c r="V24" s="23">
        <v>15.455</v>
      </c>
      <c r="W24" s="27">
        <f t="shared" si="2"/>
        <v>15.091000000000001</v>
      </c>
      <c r="X24" s="23">
        <f t="shared" si="7"/>
        <v>12.337166666666668</v>
      </c>
      <c r="Y24" s="39"/>
      <c r="Z24" s="40">
        <v>7.5</v>
      </c>
      <c r="AA24" s="41">
        <v>10.25</v>
      </c>
      <c r="AB24" s="23">
        <f t="shared" si="9"/>
        <v>8.875</v>
      </c>
      <c r="AC24" s="35">
        <v>11.8</v>
      </c>
      <c r="AD24" s="23">
        <v>11.8</v>
      </c>
      <c r="AE24" s="23">
        <v>10.6</v>
      </c>
      <c r="AF24" s="27">
        <f t="shared" si="10"/>
        <v>11.2</v>
      </c>
      <c r="AG24" s="35">
        <v>13.2</v>
      </c>
      <c r="AH24" s="36">
        <v>9</v>
      </c>
      <c r="AI24" s="27">
        <f t="shared" si="11"/>
        <v>11.1</v>
      </c>
      <c r="AJ24" s="35">
        <v>9</v>
      </c>
      <c r="AK24" s="27">
        <v>17</v>
      </c>
      <c r="AL24" s="27">
        <f t="shared" si="12"/>
        <v>13</v>
      </c>
      <c r="AM24" s="27">
        <v>20</v>
      </c>
      <c r="AN24" s="27">
        <v>17.5</v>
      </c>
      <c r="AO24" s="27">
        <f t="shared" si="13"/>
        <v>18.75</v>
      </c>
      <c r="AP24" s="23">
        <f t="shared" si="14"/>
        <v>12.584999999999999</v>
      </c>
      <c r="AQ24" s="36">
        <v>13.5</v>
      </c>
      <c r="AR24" s="35">
        <v>16.5</v>
      </c>
      <c r="AS24" s="36">
        <v>15</v>
      </c>
      <c r="AT24" s="23">
        <f t="shared" si="15"/>
        <v>15.1875</v>
      </c>
      <c r="AU24" s="30"/>
      <c r="AV24" s="30"/>
      <c r="AW24" s="31"/>
      <c r="AX24" s="31"/>
    </row>
    <row r="25" spans="1:50" ht="15.75" customHeight="1" x14ac:dyDescent="0.2">
      <c r="A25" s="20">
        <v>20</v>
      </c>
      <c r="B25" s="21">
        <v>22322633</v>
      </c>
      <c r="C25" s="22">
        <v>13.929212777777776</v>
      </c>
      <c r="D25" s="22"/>
      <c r="E25" s="22">
        <f t="shared" si="0"/>
        <v>11.802166666666666</v>
      </c>
      <c r="F25" s="22"/>
      <c r="G25" s="22">
        <f t="shared" si="1"/>
        <v>12.865689722222221</v>
      </c>
      <c r="H25" s="38"/>
      <c r="I25" s="35">
        <v>15</v>
      </c>
      <c r="J25" s="36">
        <v>16.75</v>
      </c>
      <c r="K25" s="36">
        <v>14.25</v>
      </c>
      <c r="L25" s="22">
        <f t="shared" si="5"/>
        <v>15.208333333333334</v>
      </c>
      <c r="M25" s="38"/>
      <c r="N25" s="38"/>
      <c r="O25" s="35">
        <v>10.5</v>
      </c>
      <c r="P25" s="35">
        <v>11.5</v>
      </c>
      <c r="Q25" s="35">
        <v>11</v>
      </c>
      <c r="R25" s="23">
        <f t="shared" si="6"/>
        <v>11</v>
      </c>
      <c r="S25" s="23"/>
      <c r="T25" s="23"/>
      <c r="U25" s="23">
        <v>16.329999999999998</v>
      </c>
      <c r="V25" s="23">
        <v>14.65</v>
      </c>
      <c r="W25" s="27">
        <f t="shared" si="2"/>
        <v>15.769999999999998</v>
      </c>
      <c r="X25" s="23">
        <f t="shared" si="7"/>
        <v>13.384999999999998</v>
      </c>
      <c r="Y25" s="39"/>
      <c r="Z25" s="35">
        <v>14</v>
      </c>
      <c r="AA25" s="36">
        <v>11.5</v>
      </c>
      <c r="AB25" s="23">
        <f t="shared" si="9"/>
        <v>12.75</v>
      </c>
      <c r="AC25" s="35">
        <v>14.7</v>
      </c>
      <c r="AD25" s="23">
        <v>10.6</v>
      </c>
      <c r="AE25" s="23">
        <v>7.6</v>
      </c>
      <c r="AF25" s="27">
        <f t="shared" si="10"/>
        <v>9.51</v>
      </c>
      <c r="AG25" s="35">
        <v>11.5</v>
      </c>
      <c r="AH25" s="36">
        <v>9</v>
      </c>
      <c r="AI25" s="27">
        <f t="shared" si="11"/>
        <v>10.25</v>
      </c>
      <c r="AJ25" s="35">
        <v>8</v>
      </c>
      <c r="AK25" s="27">
        <v>15.7</v>
      </c>
      <c r="AL25" s="27">
        <f t="shared" si="12"/>
        <v>11.85</v>
      </c>
      <c r="AM25" s="27">
        <v>6</v>
      </c>
      <c r="AN25" s="27">
        <v>12.45</v>
      </c>
      <c r="AO25" s="27">
        <f t="shared" si="13"/>
        <v>9.2249999999999996</v>
      </c>
      <c r="AP25" s="23">
        <f t="shared" si="14"/>
        <v>10.717000000000001</v>
      </c>
      <c r="AQ25" s="36">
        <v>6.5</v>
      </c>
      <c r="AR25" s="35">
        <v>4</v>
      </c>
      <c r="AS25" s="36">
        <v>11</v>
      </c>
      <c r="AT25" s="23">
        <f t="shared" si="15"/>
        <v>7.25</v>
      </c>
      <c r="AU25" s="30"/>
      <c r="AV25" s="30"/>
      <c r="AW25" s="31"/>
      <c r="AX25" s="31"/>
    </row>
    <row r="26" spans="1:50" ht="15.75" customHeight="1" x14ac:dyDescent="0.2">
      <c r="A26" s="20">
        <v>21</v>
      </c>
      <c r="B26" s="21">
        <v>22322545</v>
      </c>
      <c r="C26" s="22">
        <v>12.906388888888889</v>
      </c>
      <c r="D26" s="22"/>
      <c r="E26" s="22">
        <f t="shared" si="0"/>
        <v>12.853166666666668</v>
      </c>
      <c r="F26" s="22"/>
      <c r="G26" s="22">
        <f t="shared" si="1"/>
        <v>12.879777777777779</v>
      </c>
      <c r="H26" s="38"/>
      <c r="I26" s="35">
        <v>11</v>
      </c>
      <c r="J26" s="36">
        <v>18.25</v>
      </c>
      <c r="K26" s="36">
        <v>12.75</v>
      </c>
      <c r="L26" s="22">
        <f t="shared" si="5"/>
        <v>14.291666666666666</v>
      </c>
      <c r="M26" s="38"/>
      <c r="N26" s="38"/>
      <c r="O26" s="35">
        <v>10</v>
      </c>
      <c r="P26" s="35">
        <v>5.75</v>
      </c>
      <c r="Q26" s="35">
        <v>5</v>
      </c>
      <c r="R26" s="23">
        <f t="shared" si="6"/>
        <v>6.916666666666667</v>
      </c>
      <c r="S26" s="23"/>
      <c r="T26" s="23"/>
      <c r="U26" s="23">
        <v>15.13</v>
      </c>
      <c r="V26" s="23">
        <v>15</v>
      </c>
      <c r="W26" s="27">
        <f t="shared" si="2"/>
        <v>15.086666666666668</v>
      </c>
      <c r="X26" s="23">
        <f t="shared" si="7"/>
        <v>11.001666666666667</v>
      </c>
      <c r="Y26" s="39"/>
      <c r="Z26" s="40">
        <v>8.75</v>
      </c>
      <c r="AA26" s="41">
        <v>13.5</v>
      </c>
      <c r="AB26" s="23">
        <f t="shared" si="9"/>
        <v>11.125</v>
      </c>
      <c r="AC26" s="35">
        <v>11.8</v>
      </c>
      <c r="AD26" s="23">
        <v>13.1</v>
      </c>
      <c r="AE26" s="23">
        <v>11.4</v>
      </c>
      <c r="AF26" s="27">
        <f t="shared" si="10"/>
        <v>12.120000000000001</v>
      </c>
      <c r="AG26" s="35">
        <v>12.6</v>
      </c>
      <c r="AH26" s="36">
        <v>10</v>
      </c>
      <c r="AI26" s="27">
        <f t="shared" si="11"/>
        <v>11.3</v>
      </c>
      <c r="AJ26" s="35">
        <v>8</v>
      </c>
      <c r="AK26" s="27">
        <v>14.6</v>
      </c>
      <c r="AL26" s="27">
        <f t="shared" si="12"/>
        <v>11.3</v>
      </c>
      <c r="AM26" s="27">
        <v>20</v>
      </c>
      <c r="AN26" s="27">
        <v>12.95</v>
      </c>
      <c r="AO26" s="27">
        <f t="shared" si="13"/>
        <v>16.475000000000001</v>
      </c>
      <c r="AP26" s="23">
        <f t="shared" si="14"/>
        <v>12.464</v>
      </c>
      <c r="AQ26" s="36">
        <v>16.75</v>
      </c>
      <c r="AR26" s="35">
        <v>16.5</v>
      </c>
      <c r="AS26" s="36">
        <v>14</v>
      </c>
      <c r="AT26" s="23">
        <f t="shared" si="15"/>
        <v>15.625</v>
      </c>
      <c r="AU26" s="30"/>
      <c r="AV26" s="30"/>
      <c r="AW26" s="31"/>
      <c r="AX26" s="31"/>
    </row>
    <row r="27" spans="1:50" ht="15.75" customHeight="1" x14ac:dyDescent="0.2">
      <c r="A27" s="20">
        <v>22</v>
      </c>
      <c r="B27" s="21">
        <v>22322549</v>
      </c>
      <c r="C27" s="22">
        <v>11.665075999999999</v>
      </c>
      <c r="D27" s="22"/>
      <c r="E27" s="22">
        <f t="shared" si="0"/>
        <v>14.353966666666667</v>
      </c>
      <c r="F27" s="22"/>
      <c r="G27" s="22">
        <f t="shared" si="1"/>
        <v>13.009521333333332</v>
      </c>
      <c r="H27" s="38"/>
      <c r="I27" s="35">
        <v>19</v>
      </c>
      <c r="J27" s="36">
        <v>14.25</v>
      </c>
      <c r="K27" s="36">
        <v>10.75</v>
      </c>
      <c r="L27" s="22">
        <f t="shared" si="5"/>
        <v>13.291666666666666</v>
      </c>
      <c r="M27" s="38"/>
      <c r="N27" s="38"/>
      <c r="O27" s="35">
        <v>13</v>
      </c>
      <c r="P27" s="35">
        <v>8.75</v>
      </c>
      <c r="Q27" s="35">
        <v>9</v>
      </c>
      <c r="R27" s="23">
        <f t="shared" si="6"/>
        <v>10.25</v>
      </c>
      <c r="S27" s="23"/>
      <c r="T27" s="23"/>
      <c r="U27" s="23">
        <v>16.681999999999999</v>
      </c>
      <c r="V27" s="23">
        <v>18.045000000000002</v>
      </c>
      <c r="W27" s="27">
        <f t="shared" si="2"/>
        <v>17.136333333333333</v>
      </c>
      <c r="X27" s="23">
        <f t="shared" si="7"/>
        <v>13.693166666666666</v>
      </c>
      <c r="Y27" s="39"/>
      <c r="Z27" s="40">
        <v>14</v>
      </c>
      <c r="AA27" s="41">
        <v>10.25</v>
      </c>
      <c r="AB27" s="23">
        <f t="shared" si="9"/>
        <v>12.125</v>
      </c>
      <c r="AC27" s="35">
        <v>17.600000000000001</v>
      </c>
      <c r="AD27" s="23">
        <v>15.9</v>
      </c>
      <c r="AE27" s="23">
        <v>10.5</v>
      </c>
      <c r="AF27" s="27">
        <f t="shared" si="10"/>
        <v>13.370000000000001</v>
      </c>
      <c r="AG27" s="35">
        <v>8.6</v>
      </c>
      <c r="AH27" s="36">
        <v>12.3</v>
      </c>
      <c r="AI27" s="27">
        <f t="shared" si="11"/>
        <v>10.45</v>
      </c>
      <c r="AJ27" s="35">
        <v>13.5</v>
      </c>
      <c r="AK27" s="27">
        <v>19.5</v>
      </c>
      <c r="AL27" s="27">
        <f t="shared" si="12"/>
        <v>16.5</v>
      </c>
      <c r="AM27" s="27">
        <v>20</v>
      </c>
      <c r="AN27" s="27">
        <v>18.75</v>
      </c>
      <c r="AO27" s="27">
        <f t="shared" si="13"/>
        <v>19.375</v>
      </c>
      <c r="AP27" s="23">
        <f t="shared" si="14"/>
        <v>14.363999999999999</v>
      </c>
      <c r="AQ27" s="36">
        <v>18.5</v>
      </c>
      <c r="AR27" s="35">
        <v>19</v>
      </c>
      <c r="AS27" s="36">
        <v>16</v>
      </c>
      <c r="AT27" s="23">
        <f t="shared" si="15"/>
        <v>17.75</v>
      </c>
      <c r="AU27" s="30"/>
      <c r="AV27" s="30"/>
      <c r="AW27" s="31"/>
      <c r="AX27" s="31"/>
    </row>
    <row r="28" spans="1:50" ht="15" customHeight="1" x14ac:dyDescent="0.2">
      <c r="A28" s="20">
        <v>23</v>
      </c>
      <c r="B28" s="21">
        <v>22322556</v>
      </c>
      <c r="C28" s="22">
        <v>12.525367222222224</v>
      </c>
      <c r="D28" s="22"/>
      <c r="E28" s="22">
        <f t="shared" si="0"/>
        <v>13.608499999999999</v>
      </c>
      <c r="F28" s="22"/>
      <c r="G28" s="22">
        <f t="shared" si="1"/>
        <v>13.066933611111111</v>
      </c>
      <c r="H28" s="38"/>
      <c r="I28" s="35">
        <v>20</v>
      </c>
      <c r="J28" s="36">
        <v>13.75</v>
      </c>
      <c r="K28" s="36">
        <v>14.75</v>
      </c>
      <c r="L28" s="22">
        <f t="shared" si="5"/>
        <v>15.291666666666666</v>
      </c>
      <c r="M28" s="38"/>
      <c r="N28" s="38"/>
      <c r="O28" s="35">
        <v>11.25</v>
      </c>
      <c r="P28" s="35">
        <v>7.25</v>
      </c>
      <c r="Q28" s="35">
        <v>9</v>
      </c>
      <c r="R28" s="23">
        <f t="shared" si="6"/>
        <v>9.1666666666666661</v>
      </c>
      <c r="S28" s="23"/>
      <c r="T28" s="23"/>
      <c r="U28" s="23">
        <v>14.75</v>
      </c>
      <c r="V28" s="23">
        <v>17</v>
      </c>
      <c r="W28" s="27">
        <f t="shared" si="2"/>
        <v>15.5</v>
      </c>
      <c r="X28" s="23">
        <f t="shared" si="7"/>
        <v>12.333333333333332</v>
      </c>
      <c r="Y28" s="39"/>
      <c r="Z28" s="35">
        <v>13</v>
      </c>
      <c r="AA28" s="36">
        <v>9</v>
      </c>
      <c r="AB28" s="23">
        <f t="shared" si="9"/>
        <v>11</v>
      </c>
      <c r="AC28" s="35">
        <v>12.6</v>
      </c>
      <c r="AD28" s="23">
        <v>13.5</v>
      </c>
      <c r="AE28" s="23">
        <v>9.5</v>
      </c>
      <c r="AF28" s="27">
        <f t="shared" si="10"/>
        <v>11.41</v>
      </c>
      <c r="AG28" s="35">
        <v>10.3</v>
      </c>
      <c r="AH28" s="36">
        <v>14.8</v>
      </c>
      <c r="AI28" s="27">
        <f t="shared" si="11"/>
        <v>12.55</v>
      </c>
      <c r="AJ28" s="35">
        <v>9</v>
      </c>
      <c r="AK28" s="23">
        <v>13.5</v>
      </c>
      <c r="AL28" s="27">
        <f t="shared" si="12"/>
        <v>11.25</v>
      </c>
      <c r="AM28" s="23">
        <v>20</v>
      </c>
      <c r="AN28" s="23">
        <v>16.5</v>
      </c>
      <c r="AO28" s="27">
        <f t="shared" si="13"/>
        <v>18.25</v>
      </c>
      <c r="AP28" s="23">
        <f t="shared" si="14"/>
        <v>12.892000000000001</v>
      </c>
      <c r="AQ28" s="36">
        <v>17.5</v>
      </c>
      <c r="AR28" s="35">
        <v>17</v>
      </c>
      <c r="AS28" s="36">
        <v>15</v>
      </c>
      <c r="AT28" s="23">
        <f t="shared" si="15"/>
        <v>16.375</v>
      </c>
      <c r="AU28" s="30"/>
      <c r="AV28" s="30"/>
      <c r="AW28" s="31"/>
      <c r="AX28" s="31"/>
    </row>
    <row r="29" spans="1:50" ht="15.75" customHeight="1" x14ac:dyDescent="0.2">
      <c r="A29" s="20">
        <v>24</v>
      </c>
      <c r="B29" s="21">
        <v>22322637</v>
      </c>
      <c r="C29" s="22">
        <v>12.419777777777778</v>
      </c>
      <c r="D29" s="22"/>
      <c r="E29" s="22">
        <f t="shared" si="0"/>
        <v>13.73855</v>
      </c>
      <c r="F29" s="22"/>
      <c r="G29" s="22">
        <f t="shared" si="1"/>
        <v>13.079163888888889</v>
      </c>
      <c r="H29" s="38"/>
      <c r="I29" s="35">
        <v>17</v>
      </c>
      <c r="J29" s="36">
        <v>16.5</v>
      </c>
      <c r="K29" s="36">
        <v>12.75</v>
      </c>
      <c r="L29" s="22">
        <f t="shared" si="5"/>
        <v>14.708333333333334</v>
      </c>
      <c r="M29" s="38"/>
      <c r="N29" s="38"/>
      <c r="O29" s="35">
        <v>8.75</v>
      </c>
      <c r="P29" s="35">
        <v>4.5</v>
      </c>
      <c r="Q29" s="35">
        <v>12</v>
      </c>
      <c r="R29" s="23">
        <f t="shared" si="6"/>
        <v>8.4166666666666661</v>
      </c>
      <c r="S29" s="23"/>
      <c r="T29" s="23"/>
      <c r="U29" s="23">
        <v>16.181999999999999</v>
      </c>
      <c r="V29" s="23">
        <v>14.045</v>
      </c>
      <c r="W29" s="27">
        <f t="shared" si="2"/>
        <v>15.469666666666667</v>
      </c>
      <c r="X29" s="23">
        <f t="shared" si="7"/>
        <v>11.943166666666666</v>
      </c>
      <c r="Y29" s="39"/>
      <c r="Z29" s="40">
        <v>12</v>
      </c>
      <c r="AA29" s="41">
        <v>9.25</v>
      </c>
      <c r="AB29" s="23">
        <f t="shared" si="9"/>
        <v>10.625</v>
      </c>
      <c r="AC29" s="35">
        <v>10.7</v>
      </c>
      <c r="AD29" s="23">
        <v>14</v>
      </c>
      <c r="AE29" s="23">
        <v>8.6</v>
      </c>
      <c r="AF29" s="27">
        <f t="shared" si="10"/>
        <v>10.97</v>
      </c>
      <c r="AG29" s="35">
        <v>10.3</v>
      </c>
      <c r="AH29" s="36">
        <v>12.3</v>
      </c>
      <c r="AI29" s="27">
        <f t="shared" si="11"/>
        <v>11.3</v>
      </c>
      <c r="AJ29" s="35">
        <v>15</v>
      </c>
      <c r="AK29" s="27">
        <v>16.5</v>
      </c>
      <c r="AL29" s="27">
        <f t="shared" si="12"/>
        <v>15.75</v>
      </c>
      <c r="AM29" s="27">
        <v>20</v>
      </c>
      <c r="AN29" s="27">
        <v>18</v>
      </c>
      <c r="AO29" s="27">
        <f t="shared" si="13"/>
        <v>19</v>
      </c>
      <c r="AP29" s="23">
        <f t="shared" si="14"/>
        <v>13.529</v>
      </c>
      <c r="AQ29" s="36">
        <v>19.25</v>
      </c>
      <c r="AR29" s="35">
        <v>17</v>
      </c>
      <c r="AS29" s="36">
        <v>14</v>
      </c>
      <c r="AT29" s="23">
        <f t="shared" si="15"/>
        <v>16.4375</v>
      </c>
      <c r="AU29" s="30"/>
      <c r="AV29" s="30"/>
      <c r="AW29" s="31"/>
      <c r="AX29" s="31"/>
    </row>
    <row r="30" spans="1:50" ht="15.75" customHeight="1" x14ac:dyDescent="0.2">
      <c r="A30" s="20">
        <v>25</v>
      </c>
      <c r="B30" s="21">
        <v>22322578</v>
      </c>
      <c r="C30" s="22">
        <v>13.93121</v>
      </c>
      <c r="D30" s="22"/>
      <c r="E30" s="22">
        <f t="shared" si="0"/>
        <v>12.342333333333332</v>
      </c>
      <c r="F30" s="22"/>
      <c r="G30" s="22">
        <f t="shared" si="1"/>
        <v>13.136771666666666</v>
      </c>
      <c r="H30" s="38"/>
      <c r="I30" s="35">
        <v>14</v>
      </c>
      <c r="J30" s="36">
        <v>0</v>
      </c>
      <c r="K30" s="36">
        <v>13.75</v>
      </c>
      <c r="L30" s="22">
        <f t="shared" si="5"/>
        <v>9.2083333333333339</v>
      </c>
      <c r="M30" s="38"/>
      <c r="N30" s="38"/>
      <c r="O30" s="35">
        <v>12.5</v>
      </c>
      <c r="P30" s="35">
        <v>1.75</v>
      </c>
      <c r="Q30" s="35">
        <v>11</v>
      </c>
      <c r="R30" s="23">
        <f t="shared" si="6"/>
        <v>8.4166666666666661</v>
      </c>
      <c r="S30" s="23"/>
      <c r="T30" s="23"/>
      <c r="U30" s="23">
        <v>15.36</v>
      </c>
      <c r="V30" s="23">
        <v>15.36</v>
      </c>
      <c r="W30" s="27">
        <f t="shared" si="2"/>
        <v>15.36</v>
      </c>
      <c r="X30" s="23">
        <f t="shared" si="7"/>
        <v>11.888333333333332</v>
      </c>
      <c r="Y30" s="39"/>
      <c r="Z30" s="35">
        <v>14</v>
      </c>
      <c r="AA30" s="36">
        <v>13.5</v>
      </c>
      <c r="AB30" s="23">
        <f t="shared" si="9"/>
        <v>13.75</v>
      </c>
      <c r="AC30" s="35">
        <v>12.6</v>
      </c>
      <c r="AD30" s="23">
        <v>14.8</v>
      </c>
      <c r="AE30" s="23">
        <v>9.5</v>
      </c>
      <c r="AF30" s="27">
        <f t="shared" si="10"/>
        <v>11.93</v>
      </c>
      <c r="AG30" s="35">
        <v>16.600000000000001</v>
      </c>
      <c r="AH30" s="36">
        <v>13.8</v>
      </c>
      <c r="AI30" s="27">
        <f t="shared" si="11"/>
        <v>15.200000000000001</v>
      </c>
      <c r="AJ30" s="35">
        <v>16</v>
      </c>
      <c r="AK30" s="27">
        <v>16.55</v>
      </c>
      <c r="AL30" s="27">
        <f t="shared" si="12"/>
        <v>16.274999999999999</v>
      </c>
      <c r="AM30" s="27">
        <v>18</v>
      </c>
      <c r="AN30" s="27">
        <v>16.149999999999999</v>
      </c>
      <c r="AO30" s="27">
        <f t="shared" si="13"/>
        <v>17.074999999999999</v>
      </c>
      <c r="AP30" s="23">
        <f t="shared" si="14"/>
        <v>14.846</v>
      </c>
      <c r="AQ30" s="36">
        <v>8.5</v>
      </c>
      <c r="AR30" s="35">
        <v>4</v>
      </c>
      <c r="AS30" s="36">
        <v>9</v>
      </c>
      <c r="AT30" s="23">
        <f t="shared" si="15"/>
        <v>7</v>
      </c>
      <c r="AU30" s="30"/>
      <c r="AV30" s="30"/>
      <c r="AW30" s="31"/>
      <c r="AX30" s="31"/>
    </row>
    <row r="31" spans="1:50" ht="15.75" customHeight="1" x14ac:dyDescent="0.2">
      <c r="A31" s="20">
        <v>26</v>
      </c>
      <c r="B31" s="21">
        <v>22322581</v>
      </c>
      <c r="C31" s="22">
        <v>12.084620555555556</v>
      </c>
      <c r="D31" s="22"/>
      <c r="E31" s="22">
        <f t="shared" si="0"/>
        <v>14.321666666666665</v>
      </c>
      <c r="F31" s="22"/>
      <c r="G31" s="22">
        <f t="shared" si="1"/>
        <v>13.203143611111111</v>
      </c>
      <c r="H31" s="38"/>
      <c r="I31" s="35">
        <v>20</v>
      </c>
      <c r="J31" s="36">
        <v>16.25</v>
      </c>
      <c r="K31" s="36">
        <v>18.75</v>
      </c>
      <c r="L31" s="22">
        <f t="shared" si="5"/>
        <v>18.125</v>
      </c>
      <c r="M31" s="38"/>
      <c r="N31" s="38"/>
      <c r="O31" s="35">
        <v>7.75</v>
      </c>
      <c r="P31" s="35">
        <v>7.75</v>
      </c>
      <c r="Q31" s="35">
        <v>12</v>
      </c>
      <c r="R31" s="23">
        <f t="shared" si="6"/>
        <v>9.1666666666666661</v>
      </c>
      <c r="S31" s="23"/>
      <c r="T31" s="23"/>
      <c r="U31" s="23">
        <v>16.55</v>
      </c>
      <c r="V31" s="23">
        <v>15.56</v>
      </c>
      <c r="W31" s="27">
        <f t="shared" si="2"/>
        <v>16.220000000000002</v>
      </c>
      <c r="X31" s="23">
        <f t="shared" si="7"/>
        <v>12.693333333333335</v>
      </c>
      <c r="Y31" s="39"/>
      <c r="Z31" s="35">
        <v>8.75</v>
      </c>
      <c r="AA31" s="36">
        <v>9.5</v>
      </c>
      <c r="AB31" s="23">
        <f t="shared" si="9"/>
        <v>9.125</v>
      </c>
      <c r="AC31" s="35">
        <v>13.3</v>
      </c>
      <c r="AD31" s="23">
        <v>16.5</v>
      </c>
      <c r="AE31" s="23">
        <v>10.5</v>
      </c>
      <c r="AF31" s="27">
        <f t="shared" si="10"/>
        <v>13.18</v>
      </c>
      <c r="AG31" s="35">
        <v>12</v>
      </c>
      <c r="AH31" s="36">
        <v>9.8000000000000007</v>
      </c>
      <c r="AI31" s="27">
        <f t="shared" si="11"/>
        <v>10.9</v>
      </c>
      <c r="AJ31" s="35">
        <v>13</v>
      </c>
      <c r="AK31" s="27">
        <v>19.5</v>
      </c>
      <c r="AL31" s="27">
        <f t="shared" si="12"/>
        <v>16.25</v>
      </c>
      <c r="AM31" s="27">
        <v>20</v>
      </c>
      <c r="AN31" s="27">
        <v>18</v>
      </c>
      <c r="AO31" s="27">
        <f t="shared" si="13"/>
        <v>19</v>
      </c>
      <c r="AP31" s="23">
        <f t="shared" si="14"/>
        <v>13.690999999999999</v>
      </c>
      <c r="AQ31" s="36">
        <v>9</v>
      </c>
      <c r="AR31" s="35">
        <v>14.5</v>
      </c>
      <c r="AS31" s="36">
        <v>14.5</v>
      </c>
      <c r="AT31" s="23">
        <f t="shared" si="15"/>
        <v>13.125</v>
      </c>
      <c r="AU31" s="30"/>
      <c r="AV31" s="30"/>
      <c r="AW31" s="31"/>
      <c r="AX31" s="31"/>
    </row>
    <row r="32" spans="1:50" ht="15.75" customHeight="1" x14ac:dyDescent="0.2">
      <c r="A32" s="20">
        <v>27</v>
      </c>
      <c r="B32" s="21">
        <v>22322610</v>
      </c>
      <c r="C32" s="22">
        <v>12.559978333333333</v>
      </c>
      <c r="D32" s="22"/>
      <c r="E32" s="22">
        <f t="shared" si="0"/>
        <v>13.912816666666666</v>
      </c>
      <c r="F32" s="22"/>
      <c r="G32" s="22">
        <f t="shared" si="1"/>
        <v>13.236397499999999</v>
      </c>
      <c r="H32" s="38"/>
      <c r="I32" s="35">
        <v>20</v>
      </c>
      <c r="J32" s="36">
        <v>14.5</v>
      </c>
      <c r="K32" s="36">
        <v>13</v>
      </c>
      <c r="L32" s="22">
        <f t="shared" si="5"/>
        <v>14.666666666666666</v>
      </c>
      <c r="M32" s="38"/>
      <c r="N32" s="38"/>
      <c r="O32" s="35">
        <v>6</v>
      </c>
      <c r="P32" s="35">
        <v>4.75</v>
      </c>
      <c r="Q32" s="35">
        <v>13</v>
      </c>
      <c r="R32" s="23">
        <f t="shared" si="6"/>
        <v>7.916666666666667</v>
      </c>
      <c r="S32" s="23"/>
      <c r="T32" s="23"/>
      <c r="U32" s="23">
        <v>15.135999999999999</v>
      </c>
      <c r="V32" s="23">
        <v>15.045</v>
      </c>
      <c r="W32" s="27">
        <f t="shared" si="2"/>
        <v>15.105666666666666</v>
      </c>
      <c r="X32" s="23">
        <f t="shared" si="7"/>
        <v>11.511166666666666</v>
      </c>
      <c r="Y32" s="39"/>
      <c r="Z32" s="40">
        <v>14</v>
      </c>
      <c r="AA32" s="41">
        <v>9</v>
      </c>
      <c r="AB32" s="23">
        <f t="shared" si="9"/>
        <v>11.5</v>
      </c>
      <c r="AC32" s="35">
        <v>14.7</v>
      </c>
      <c r="AD32" s="23">
        <v>17.600000000000001</v>
      </c>
      <c r="AE32" s="23">
        <v>15.3</v>
      </c>
      <c r="AF32" s="27">
        <f t="shared" si="10"/>
        <v>16.160000000000004</v>
      </c>
      <c r="AG32" s="35">
        <v>12.6</v>
      </c>
      <c r="AH32" s="36">
        <v>8</v>
      </c>
      <c r="AI32" s="27">
        <f t="shared" si="11"/>
        <v>10.3</v>
      </c>
      <c r="AJ32" s="35">
        <v>14.5</v>
      </c>
      <c r="AK32" s="27">
        <v>14.5</v>
      </c>
      <c r="AL32" s="27">
        <f t="shared" si="12"/>
        <v>14.5</v>
      </c>
      <c r="AM32" s="27">
        <v>16</v>
      </c>
      <c r="AN32" s="27">
        <v>19</v>
      </c>
      <c r="AO32" s="27">
        <f t="shared" si="13"/>
        <v>17.5</v>
      </c>
      <c r="AP32" s="23">
        <f t="shared" si="14"/>
        <v>13.992000000000001</v>
      </c>
      <c r="AQ32" s="36">
        <v>20</v>
      </c>
      <c r="AR32" s="35">
        <v>16.5</v>
      </c>
      <c r="AS32" s="36">
        <v>15</v>
      </c>
      <c r="AT32" s="23">
        <f t="shared" si="15"/>
        <v>16.8125</v>
      </c>
      <c r="AU32" s="30"/>
      <c r="AV32" s="30"/>
      <c r="AW32" s="31"/>
      <c r="AX32" s="31"/>
    </row>
    <row r="33" spans="1:50" ht="15.75" customHeight="1" x14ac:dyDescent="0.2">
      <c r="A33" s="20">
        <v>28</v>
      </c>
      <c r="B33" s="21">
        <v>22322559</v>
      </c>
      <c r="C33" s="22">
        <v>12.619355000000001</v>
      </c>
      <c r="D33" s="22"/>
      <c r="E33" s="22">
        <f t="shared" si="0"/>
        <v>13.876833333333334</v>
      </c>
      <c r="F33" s="22"/>
      <c r="G33" s="22">
        <f t="shared" si="1"/>
        <v>13.248094166666668</v>
      </c>
      <c r="H33" s="38"/>
      <c r="I33" s="35">
        <v>20</v>
      </c>
      <c r="J33" s="36">
        <v>15.5</v>
      </c>
      <c r="K33" s="36">
        <v>13.25</v>
      </c>
      <c r="L33" s="22">
        <f t="shared" si="5"/>
        <v>15.125</v>
      </c>
      <c r="M33" s="38"/>
      <c r="N33" s="38"/>
      <c r="O33" s="35">
        <v>10</v>
      </c>
      <c r="P33" s="35">
        <v>0.5</v>
      </c>
      <c r="Q33" s="35">
        <v>10</v>
      </c>
      <c r="R33" s="23">
        <f t="shared" si="6"/>
        <v>6.833333333333333</v>
      </c>
      <c r="S33" s="23"/>
      <c r="T33" s="23"/>
      <c r="U33" s="23">
        <v>16</v>
      </c>
      <c r="V33" s="23">
        <v>14.35</v>
      </c>
      <c r="W33" s="27">
        <f t="shared" si="2"/>
        <v>15.450000000000001</v>
      </c>
      <c r="X33" s="23">
        <f t="shared" si="7"/>
        <v>11.141666666666667</v>
      </c>
      <c r="Y33" s="39"/>
      <c r="Z33" s="35">
        <v>14.75</v>
      </c>
      <c r="AA33" s="36">
        <v>14.25</v>
      </c>
      <c r="AB33" s="23">
        <f t="shared" si="9"/>
        <v>14.5</v>
      </c>
      <c r="AC33" s="35">
        <v>13</v>
      </c>
      <c r="AD33" s="23">
        <v>16.399999999999999</v>
      </c>
      <c r="AE33" s="23">
        <v>8.6</v>
      </c>
      <c r="AF33" s="27">
        <f t="shared" si="10"/>
        <v>12.16</v>
      </c>
      <c r="AG33" s="35">
        <v>10.9</v>
      </c>
      <c r="AH33" s="36">
        <v>16</v>
      </c>
      <c r="AI33" s="27">
        <f t="shared" si="11"/>
        <v>13.45</v>
      </c>
      <c r="AJ33" s="35">
        <v>8</v>
      </c>
      <c r="AK33" s="23">
        <v>17</v>
      </c>
      <c r="AL33" s="27">
        <f t="shared" si="12"/>
        <v>12.5</v>
      </c>
      <c r="AM33" s="23">
        <v>16</v>
      </c>
      <c r="AN33" s="23">
        <v>19.5</v>
      </c>
      <c r="AO33" s="27">
        <f t="shared" si="13"/>
        <v>17.75</v>
      </c>
      <c r="AP33" s="23">
        <f t="shared" si="14"/>
        <v>14.071999999999999</v>
      </c>
      <c r="AQ33" s="36">
        <v>18.5</v>
      </c>
      <c r="AR33" s="35">
        <v>16</v>
      </c>
      <c r="AS33" s="36">
        <v>14</v>
      </c>
      <c r="AT33" s="23">
        <f t="shared" si="15"/>
        <v>15.875</v>
      </c>
      <c r="AU33" s="30"/>
      <c r="AV33" s="30"/>
      <c r="AW33" s="31"/>
      <c r="AX33" s="31"/>
    </row>
    <row r="34" spans="1:50" ht="15.75" customHeight="1" x14ac:dyDescent="0.2">
      <c r="A34" s="20">
        <v>29</v>
      </c>
      <c r="B34" s="21">
        <v>22322608</v>
      </c>
      <c r="C34" s="22">
        <v>12.168272888888888</v>
      </c>
      <c r="D34" s="22"/>
      <c r="E34" s="22">
        <f t="shared" si="0"/>
        <v>14.374416666666667</v>
      </c>
      <c r="F34" s="22"/>
      <c r="G34" s="22">
        <f t="shared" si="1"/>
        <v>13.271344777777777</v>
      </c>
      <c r="H34" s="38"/>
      <c r="I34" s="35">
        <v>20</v>
      </c>
      <c r="J34" s="45">
        <v>17.75</v>
      </c>
      <c r="K34" s="45">
        <v>16</v>
      </c>
      <c r="L34" s="22">
        <f t="shared" si="5"/>
        <v>17.25</v>
      </c>
      <c r="M34" s="38"/>
      <c r="N34" s="38"/>
      <c r="O34" s="35">
        <v>11.5</v>
      </c>
      <c r="P34" s="35">
        <v>10</v>
      </c>
      <c r="Q34" s="46">
        <v>10</v>
      </c>
      <c r="R34" s="23">
        <f t="shared" si="6"/>
        <v>10.5</v>
      </c>
      <c r="S34" s="23"/>
      <c r="T34" s="23"/>
      <c r="U34" s="23">
        <v>15.47</v>
      </c>
      <c r="V34" s="23">
        <v>15.4</v>
      </c>
      <c r="W34" s="27">
        <f t="shared" si="2"/>
        <v>15.446666666666667</v>
      </c>
      <c r="X34" s="23">
        <f t="shared" si="7"/>
        <v>12.973333333333333</v>
      </c>
      <c r="Y34" s="39"/>
      <c r="Z34" s="40">
        <v>8.75</v>
      </c>
      <c r="AA34" s="41">
        <v>9</v>
      </c>
      <c r="AB34" s="23">
        <f t="shared" si="9"/>
        <v>8.875</v>
      </c>
      <c r="AC34" s="46">
        <v>15.9</v>
      </c>
      <c r="AD34" s="23">
        <v>17.8</v>
      </c>
      <c r="AE34" s="23">
        <v>10.5</v>
      </c>
      <c r="AF34" s="27">
        <f t="shared" si="10"/>
        <v>13.96</v>
      </c>
      <c r="AG34" s="46">
        <v>12.6</v>
      </c>
      <c r="AH34" s="45">
        <v>10.8</v>
      </c>
      <c r="AI34" s="27">
        <f t="shared" si="11"/>
        <v>11.7</v>
      </c>
      <c r="AJ34" s="46">
        <v>18</v>
      </c>
      <c r="AK34" s="27">
        <v>17.149999999999999</v>
      </c>
      <c r="AL34" s="27">
        <f t="shared" si="12"/>
        <v>17.574999999999999</v>
      </c>
      <c r="AM34" s="27">
        <v>16</v>
      </c>
      <c r="AN34" s="27">
        <v>17.5</v>
      </c>
      <c r="AO34" s="27">
        <f t="shared" si="13"/>
        <v>16.75</v>
      </c>
      <c r="AP34" s="23">
        <f t="shared" si="14"/>
        <v>13.772</v>
      </c>
      <c r="AQ34" s="36">
        <v>12</v>
      </c>
      <c r="AR34" s="35">
        <v>16.5</v>
      </c>
      <c r="AS34" s="36">
        <v>14</v>
      </c>
      <c r="AT34" s="23">
        <f t="shared" si="15"/>
        <v>14.4375</v>
      </c>
      <c r="AU34" s="1"/>
      <c r="AV34" s="1"/>
    </row>
    <row r="35" spans="1:50" ht="15.75" customHeight="1" x14ac:dyDescent="0.2">
      <c r="A35" s="20">
        <v>30</v>
      </c>
      <c r="B35" s="21">
        <v>22322557</v>
      </c>
      <c r="C35" s="22">
        <v>14.945838222222221</v>
      </c>
      <c r="D35" s="22"/>
      <c r="E35" s="22">
        <f t="shared" si="0"/>
        <v>11.628616666666666</v>
      </c>
      <c r="F35" s="22"/>
      <c r="G35" s="22">
        <f t="shared" si="1"/>
        <v>13.287227444444444</v>
      </c>
      <c r="H35" s="38"/>
      <c r="I35" s="35">
        <v>16</v>
      </c>
      <c r="J35" s="44">
        <v>5</v>
      </c>
      <c r="K35" s="44">
        <v>12</v>
      </c>
      <c r="L35" s="22">
        <f t="shared" si="5"/>
        <v>10.333333333333334</v>
      </c>
      <c r="M35" s="38"/>
      <c r="N35" s="38"/>
      <c r="O35" s="35">
        <v>9</v>
      </c>
      <c r="P35" s="35">
        <v>1.25</v>
      </c>
      <c r="Q35" s="26">
        <v>7</v>
      </c>
      <c r="R35" s="23">
        <f t="shared" si="6"/>
        <v>5.75</v>
      </c>
      <c r="S35" s="23"/>
      <c r="T35" s="23"/>
      <c r="U35" s="23">
        <v>14</v>
      </c>
      <c r="V35" s="23">
        <v>14.635999999999999</v>
      </c>
      <c r="W35" s="27">
        <f t="shared" si="2"/>
        <v>14.211999999999998</v>
      </c>
      <c r="X35" s="23">
        <f t="shared" si="7"/>
        <v>9.9809999999999981</v>
      </c>
      <c r="Y35" s="39"/>
      <c r="Z35" s="40">
        <v>5.25</v>
      </c>
      <c r="AA35" s="41">
        <v>10</v>
      </c>
      <c r="AB35" s="23">
        <f t="shared" si="9"/>
        <v>7.625</v>
      </c>
      <c r="AC35" s="26">
        <v>11.4</v>
      </c>
      <c r="AD35" s="23">
        <v>13.2</v>
      </c>
      <c r="AE35" s="23">
        <v>10.5</v>
      </c>
      <c r="AF35" s="27">
        <f t="shared" si="10"/>
        <v>11.67</v>
      </c>
      <c r="AG35" s="26">
        <v>12.6</v>
      </c>
      <c r="AH35" s="44">
        <v>11</v>
      </c>
      <c r="AI35" s="27">
        <f t="shared" si="11"/>
        <v>11.8</v>
      </c>
      <c r="AJ35" s="47">
        <v>6</v>
      </c>
      <c r="AK35" s="27">
        <v>17.5</v>
      </c>
      <c r="AL35" s="27">
        <f t="shared" si="12"/>
        <v>11.75</v>
      </c>
      <c r="AM35" s="27">
        <v>15</v>
      </c>
      <c r="AN35" s="27">
        <v>18.5</v>
      </c>
      <c r="AO35" s="27">
        <f t="shared" si="13"/>
        <v>16.75</v>
      </c>
      <c r="AP35" s="23">
        <f t="shared" si="14"/>
        <v>11.919</v>
      </c>
      <c r="AQ35" s="36">
        <v>17</v>
      </c>
      <c r="AR35" s="35">
        <v>15.5</v>
      </c>
      <c r="AS35" s="36">
        <v>16</v>
      </c>
      <c r="AT35" s="23">
        <f t="shared" si="15"/>
        <v>16.0625</v>
      </c>
      <c r="AU35" s="1"/>
      <c r="AV35" s="1"/>
    </row>
    <row r="36" spans="1:50" ht="15.75" customHeight="1" x14ac:dyDescent="0.2">
      <c r="A36" s="20">
        <v>31</v>
      </c>
      <c r="B36" s="21">
        <v>22322540</v>
      </c>
      <c r="C36" s="22">
        <v>13.531700555555554</v>
      </c>
      <c r="D36" s="22"/>
      <c r="E36" s="22">
        <f t="shared" si="0"/>
        <v>13.296333333333333</v>
      </c>
      <c r="F36" s="22"/>
      <c r="G36" s="22">
        <f t="shared" si="1"/>
        <v>13.414016944444445</v>
      </c>
      <c r="H36" s="38"/>
      <c r="I36" s="35">
        <v>20</v>
      </c>
      <c r="J36" s="36">
        <v>17</v>
      </c>
      <c r="K36" s="36">
        <v>14.25</v>
      </c>
      <c r="L36" s="22">
        <f t="shared" si="5"/>
        <v>16.125</v>
      </c>
      <c r="M36" s="48"/>
      <c r="N36" s="48"/>
      <c r="O36" s="46">
        <v>9.25</v>
      </c>
      <c r="P36" s="46">
        <v>2.5</v>
      </c>
      <c r="Q36" s="35">
        <v>13</v>
      </c>
      <c r="R36" s="23">
        <f t="shared" si="6"/>
        <v>8.25</v>
      </c>
      <c r="S36" s="23"/>
      <c r="T36" s="23"/>
      <c r="U36" s="23">
        <v>16.149999999999999</v>
      </c>
      <c r="V36" s="23">
        <v>17.329999999999998</v>
      </c>
      <c r="W36" s="27">
        <f t="shared" si="2"/>
        <v>16.543333333333333</v>
      </c>
      <c r="X36" s="23">
        <f t="shared" si="7"/>
        <v>12.396666666666667</v>
      </c>
      <c r="Y36" s="39"/>
      <c r="Z36" s="35">
        <v>11.75</v>
      </c>
      <c r="AA36" s="36">
        <v>8</v>
      </c>
      <c r="AB36" s="23">
        <f t="shared" si="9"/>
        <v>9.875</v>
      </c>
      <c r="AC36" s="35">
        <v>13.4</v>
      </c>
      <c r="AD36" s="23">
        <v>14.7</v>
      </c>
      <c r="AE36" s="23">
        <v>7.6</v>
      </c>
      <c r="AF36" s="27">
        <f t="shared" si="10"/>
        <v>11.02</v>
      </c>
      <c r="AG36" s="35">
        <v>9.8000000000000007</v>
      </c>
      <c r="AH36" s="36">
        <v>11</v>
      </c>
      <c r="AI36" s="27">
        <f t="shared" si="11"/>
        <v>10.4</v>
      </c>
      <c r="AJ36" s="47">
        <v>7</v>
      </c>
      <c r="AK36" s="27">
        <v>19</v>
      </c>
      <c r="AL36" s="27">
        <f t="shared" si="12"/>
        <v>13</v>
      </c>
      <c r="AM36" s="27">
        <v>18</v>
      </c>
      <c r="AN36" s="27">
        <v>18</v>
      </c>
      <c r="AO36" s="27">
        <f t="shared" si="13"/>
        <v>18</v>
      </c>
      <c r="AP36" s="23">
        <f t="shared" si="14"/>
        <v>12.459</v>
      </c>
      <c r="AQ36" s="36">
        <v>14</v>
      </c>
      <c r="AR36" s="35">
        <v>13</v>
      </c>
      <c r="AS36" s="36">
        <v>14</v>
      </c>
      <c r="AT36" s="23">
        <f t="shared" si="15"/>
        <v>13.625</v>
      </c>
      <c r="AU36" s="30"/>
      <c r="AV36" s="30"/>
      <c r="AW36" s="31"/>
      <c r="AX36" s="31"/>
    </row>
    <row r="37" spans="1:50" ht="15.75" customHeight="1" x14ac:dyDescent="0.2">
      <c r="A37" s="20">
        <v>32</v>
      </c>
      <c r="B37" s="21">
        <v>22322539</v>
      </c>
      <c r="C37" s="22">
        <v>12.996</v>
      </c>
      <c r="D37" s="22"/>
      <c r="E37" s="22">
        <f t="shared" si="0"/>
        <v>13.834416666666666</v>
      </c>
      <c r="F37" s="22"/>
      <c r="G37" s="22">
        <f t="shared" si="1"/>
        <v>13.415208333333332</v>
      </c>
      <c r="H37" s="38"/>
      <c r="I37" s="35">
        <v>20</v>
      </c>
      <c r="J37" s="36">
        <v>17.25</v>
      </c>
      <c r="K37" s="36">
        <v>11</v>
      </c>
      <c r="L37" s="22">
        <f t="shared" si="5"/>
        <v>14.583333333333334</v>
      </c>
      <c r="M37" s="49"/>
      <c r="N37" s="49"/>
      <c r="O37" s="44">
        <v>8</v>
      </c>
      <c r="P37" s="26">
        <v>16.5</v>
      </c>
      <c r="Q37" s="36">
        <v>12</v>
      </c>
      <c r="R37" s="23">
        <f t="shared" si="6"/>
        <v>12.166666666666666</v>
      </c>
      <c r="S37" s="23"/>
      <c r="T37" s="23"/>
      <c r="U37" s="23">
        <v>16.38</v>
      </c>
      <c r="V37" s="23">
        <v>15.25</v>
      </c>
      <c r="W37" s="27">
        <f t="shared" si="2"/>
        <v>16.003333333333334</v>
      </c>
      <c r="X37" s="23">
        <f t="shared" si="7"/>
        <v>14.085000000000001</v>
      </c>
      <c r="Y37" s="39"/>
      <c r="Z37" s="35">
        <v>12.25</v>
      </c>
      <c r="AA37" s="36">
        <v>5</v>
      </c>
      <c r="AB37" s="23">
        <f t="shared" si="9"/>
        <v>8.625</v>
      </c>
      <c r="AC37" s="36">
        <v>13.5</v>
      </c>
      <c r="AD37" s="23">
        <v>15.3</v>
      </c>
      <c r="AE37" s="23">
        <v>11.4</v>
      </c>
      <c r="AF37" s="27">
        <f t="shared" si="10"/>
        <v>13.170000000000002</v>
      </c>
      <c r="AG37" s="36">
        <v>11.5</v>
      </c>
      <c r="AH37" s="36">
        <v>16</v>
      </c>
      <c r="AI37" s="27">
        <f t="shared" si="11"/>
        <v>13.75</v>
      </c>
      <c r="AJ37" s="44">
        <v>12</v>
      </c>
      <c r="AK37" s="27">
        <v>17.600000000000001</v>
      </c>
      <c r="AL37" s="27">
        <f t="shared" si="12"/>
        <v>14.8</v>
      </c>
      <c r="AM37" s="27">
        <v>20</v>
      </c>
      <c r="AN37" s="27">
        <v>18.2</v>
      </c>
      <c r="AO37" s="27">
        <f t="shared" si="13"/>
        <v>19.100000000000001</v>
      </c>
      <c r="AP37" s="23">
        <f t="shared" si="14"/>
        <v>13.888999999999999</v>
      </c>
      <c r="AQ37" s="36">
        <v>14.75</v>
      </c>
      <c r="AR37" s="35">
        <v>11</v>
      </c>
      <c r="AS37" s="36">
        <v>10</v>
      </c>
      <c r="AT37" s="23">
        <f t="shared" si="15"/>
        <v>11.5625</v>
      </c>
      <c r="AU37" s="30"/>
      <c r="AV37" s="30"/>
      <c r="AW37" s="31"/>
      <c r="AX37" s="31"/>
    </row>
    <row r="38" spans="1:50" ht="15.75" customHeight="1" x14ac:dyDescent="0.2">
      <c r="A38" s="20">
        <v>33</v>
      </c>
      <c r="B38" s="21">
        <v>22322590</v>
      </c>
      <c r="C38" s="22">
        <v>13.752000000000001</v>
      </c>
      <c r="D38" s="22"/>
      <c r="E38" s="22">
        <f t="shared" si="0"/>
        <v>13.096583333333333</v>
      </c>
      <c r="F38" s="22"/>
      <c r="G38" s="22">
        <f t="shared" si="1"/>
        <v>13.424291666666667</v>
      </c>
      <c r="H38" s="38"/>
      <c r="I38" s="35">
        <v>9</v>
      </c>
      <c r="J38" s="36">
        <v>8.25</v>
      </c>
      <c r="K38" s="36">
        <v>16.25</v>
      </c>
      <c r="L38" s="22">
        <f t="shared" si="5"/>
        <v>12.375</v>
      </c>
      <c r="M38" s="50"/>
      <c r="N38" s="50"/>
      <c r="O38" s="36">
        <v>8.5</v>
      </c>
      <c r="P38" s="35">
        <v>9</v>
      </c>
      <c r="Q38" s="36">
        <v>19</v>
      </c>
      <c r="R38" s="23">
        <f t="shared" si="6"/>
        <v>12.166666666666666</v>
      </c>
      <c r="S38" s="23"/>
      <c r="T38" s="23"/>
      <c r="U38" s="23">
        <v>16.25</v>
      </c>
      <c r="V38" s="23">
        <v>14.8</v>
      </c>
      <c r="W38" s="27">
        <f t="shared" si="2"/>
        <v>15.766666666666666</v>
      </c>
      <c r="X38" s="23">
        <f t="shared" si="7"/>
        <v>13.966666666666665</v>
      </c>
      <c r="Y38" s="39"/>
      <c r="Z38" s="40">
        <v>11</v>
      </c>
      <c r="AA38" s="41">
        <v>16.25</v>
      </c>
      <c r="AB38" s="23">
        <f t="shared" si="9"/>
        <v>13.625</v>
      </c>
      <c r="AC38" s="36">
        <v>12.8</v>
      </c>
      <c r="AD38" s="23">
        <v>16.100000000000001</v>
      </c>
      <c r="AE38" s="23">
        <v>12.5</v>
      </c>
      <c r="AF38" s="27">
        <f t="shared" si="10"/>
        <v>13.970000000000002</v>
      </c>
      <c r="AG38" s="36">
        <v>13.2</v>
      </c>
      <c r="AH38" s="36">
        <v>10.8</v>
      </c>
      <c r="AI38" s="27">
        <f t="shared" si="11"/>
        <v>12</v>
      </c>
      <c r="AJ38" s="36">
        <v>12</v>
      </c>
      <c r="AK38" s="27">
        <v>13.45</v>
      </c>
      <c r="AL38" s="27">
        <f t="shared" si="12"/>
        <v>12.725</v>
      </c>
      <c r="AM38" s="27">
        <v>18</v>
      </c>
      <c r="AN38" s="27">
        <v>11.3</v>
      </c>
      <c r="AO38" s="27">
        <f t="shared" si="13"/>
        <v>14.65</v>
      </c>
      <c r="AP38" s="23">
        <f t="shared" si="14"/>
        <v>13.394</v>
      </c>
      <c r="AQ38" s="36">
        <v>8.5</v>
      </c>
      <c r="AR38" s="35">
        <v>13.5</v>
      </c>
      <c r="AS38" s="36">
        <v>11</v>
      </c>
      <c r="AT38" s="23">
        <f t="shared" si="15"/>
        <v>11.3125</v>
      </c>
      <c r="AU38" s="30"/>
      <c r="AV38" s="30"/>
      <c r="AW38" s="31"/>
      <c r="AX38" s="31"/>
    </row>
    <row r="39" spans="1:50" ht="15.75" customHeight="1" x14ac:dyDescent="0.2">
      <c r="A39" s="20">
        <v>34</v>
      </c>
      <c r="B39" s="21">
        <v>22322562</v>
      </c>
      <c r="C39" s="22">
        <v>13.90475</v>
      </c>
      <c r="D39" s="22"/>
      <c r="E39" s="22">
        <f t="shared" si="0"/>
        <v>13.6555</v>
      </c>
      <c r="F39" s="22"/>
      <c r="G39" s="22">
        <f t="shared" si="1"/>
        <v>13.780125</v>
      </c>
      <c r="H39" s="38"/>
      <c r="I39" s="35">
        <v>20</v>
      </c>
      <c r="J39" s="36">
        <v>15</v>
      </c>
      <c r="K39" s="36">
        <v>15.75</v>
      </c>
      <c r="L39" s="22">
        <f t="shared" si="5"/>
        <v>16.208333333333332</v>
      </c>
      <c r="M39" s="50"/>
      <c r="N39" s="50"/>
      <c r="O39" s="36">
        <v>12.5</v>
      </c>
      <c r="P39" s="35">
        <v>7</v>
      </c>
      <c r="Q39" s="36">
        <v>12</v>
      </c>
      <c r="R39" s="23">
        <f t="shared" si="6"/>
        <v>10.5</v>
      </c>
      <c r="S39" s="23"/>
      <c r="T39" s="23"/>
      <c r="U39" s="23">
        <v>17.059999999999999</v>
      </c>
      <c r="V39" s="23">
        <v>16.32</v>
      </c>
      <c r="W39" s="27">
        <f t="shared" si="2"/>
        <v>16.813333333333333</v>
      </c>
      <c r="X39" s="23">
        <f t="shared" si="7"/>
        <v>13.656666666666666</v>
      </c>
      <c r="Y39" s="39"/>
      <c r="Z39" s="35">
        <v>4.75</v>
      </c>
      <c r="AA39" s="36">
        <v>9.75</v>
      </c>
      <c r="AB39" s="23">
        <f t="shared" si="9"/>
        <v>7.25</v>
      </c>
      <c r="AC39" s="36">
        <v>6</v>
      </c>
      <c r="AD39" s="23">
        <v>16.5</v>
      </c>
      <c r="AE39" s="23">
        <v>4.8</v>
      </c>
      <c r="AF39" s="27">
        <f t="shared" si="10"/>
        <v>9.6000000000000014</v>
      </c>
      <c r="AG39" s="36">
        <v>10.9</v>
      </c>
      <c r="AH39" s="36">
        <v>14.8</v>
      </c>
      <c r="AI39" s="27">
        <f t="shared" si="11"/>
        <v>12.850000000000001</v>
      </c>
      <c r="AJ39" s="36">
        <v>11.5</v>
      </c>
      <c r="AK39" s="23">
        <v>16.5</v>
      </c>
      <c r="AL39" s="27">
        <f t="shared" si="12"/>
        <v>14</v>
      </c>
      <c r="AM39" s="23">
        <v>14</v>
      </c>
      <c r="AN39" s="23">
        <v>19</v>
      </c>
      <c r="AO39" s="27">
        <f t="shared" si="13"/>
        <v>16.5</v>
      </c>
      <c r="AP39" s="23">
        <f t="shared" si="14"/>
        <v>12.040000000000001</v>
      </c>
      <c r="AQ39" s="36">
        <v>18.5</v>
      </c>
      <c r="AR39" s="35">
        <v>17</v>
      </c>
      <c r="AS39" s="36">
        <v>15</v>
      </c>
      <c r="AT39" s="23">
        <f t="shared" si="15"/>
        <v>16.625</v>
      </c>
      <c r="AU39" s="30"/>
      <c r="AV39" s="30"/>
      <c r="AW39" s="31"/>
      <c r="AX39" s="31"/>
    </row>
    <row r="40" spans="1:50" ht="15.75" customHeight="1" x14ac:dyDescent="0.2">
      <c r="A40" s="20">
        <v>35</v>
      </c>
      <c r="B40" s="21">
        <v>22322571</v>
      </c>
      <c r="C40" s="22">
        <v>13.731361111111111</v>
      </c>
      <c r="D40" s="22"/>
      <c r="E40" s="22">
        <f t="shared" si="0"/>
        <v>13.925000000000001</v>
      </c>
      <c r="F40" s="22"/>
      <c r="G40" s="22">
        <f t="shared" si="1"/>
        <v>13.828180555555555</v>
      </c>
      <c r="H40" s="38"/>
      <c r="I40" s="35">
        <v>20</v>
      </c>
      <c r="J40" s="36">
        <v>14.5</v>
      </c>
      <c r="K40" s="36">
        <v>11.5</v>
      </c>
      <c r="L40" s="22">
        <f t="shared" si="5"/>
        <v>13.916666666666666</v>
      </c>
      <c r="M40" s="50"/>
      <c r="N40" s="50"/>
      <c r="O40" s="36">
        <v>10.5</v>
      </c>
      <c r="P40" s="35">
        <v>8.75</v>
      </c>
      <c r="Q40" s="36">
        <v>6</v>
      </c>
      <c r="R40" s="23">
        <f t="shared" si="6"/>
        <v>8.4166666666666661</v>
      </c>
      <c r="S40" s="23"/>
      <c r="T40" s="23"/>
      <c r="U40" s="23">
        <v>16.27</v>
      </c>
      <c r="V40" s="23">
        <v>14.77</v>
      </c>
      <c r="W40" s="27">
        <f t="shared" si="2"/>
        <v>15.770000000000001</v>
      </c>
      <c r="X40" s="23">
        <f t="shared" si="7"/>
        <v>12.093333333333334</v>
      </c>
      <c r="Y40" s="39"/>
      <c r="Z40" s="35">
        <v>14</v>
      </c>
      <c r="AA40" s="36">
        <v>11</v>
      </c>
      <c r="AB40" s="23">
        <f t="shared" si="9"/>
        <v>12.5</v>
      </c>
      <c r="AC40" s="36">
        <v>15.2</v>
      </c>
      <c r="AD40" s="23">
        <v>16.399999999999999</v>
      </c>
      <c r="AE40" s="23">
        <v>10.5</v>
      </c>
      <c r="AF40" s="27">
        <f t="shared" si="10"/>
        <v>13.33</v>
      </c>
      <c r="AG40" s="36">
        <v>10.3</v>
      </c>
      <c r="AH40" s="36">
        <v>16</v>
      </c>
      <c r="AI40" s="27">
        <f t="shared" si="11"/>
        <v>13.15</v>
      </c>
      <c r="AJ40" s="36">
        <v>13</v>
      </c>
      <c r="AK40" s="27">
        <v>16</v>
      </c>
      <c r="AL40" s="27">
        <f t="shared" si="12"/>
        <v>14.5</v>
      </c>
      <c r="AM40" s="27">
        <v>20</v>
      </c>
      <c r="AN40" s="27">
        <v>16.5</v>
      </c>
      <c r="AO40" s="27">
        <f t="shared" si="13"/>
        <v>18.25</v>
      </c>
      <c r="AP40" s="23">
        <f t="shared" si="14"/>
        <v>14.345999999999998</v>
      </c>
      <c r="AQ40" s="36">
        <v>20</v>
      </c>
      <c r="AR40" s="35">
        <v>16</v>
      </c>
      <c r="AS40" s="36">
        <v>12</v>
      </c>
      <c r="AT40" s="23">
        <f t="shared" si="15"/>
        <v>15.5</v>
      </c>
      <c r="AU40" s="30"/>
      <c r="AV40" s="30"/>
      <c r="AW40" s="31"/>
      <c r="AX40" s="31"/>
    </row>
    <row r="41" spans="1:50" ht="15.75" customHeight="1" x14ac:dyDescent="0.2">
      <c r="A41" s="20">
        <v>36</v>
      </c>
      <c r="B41" s="21">
        <v>22322631</v>
      </c>
      <c r="C41" s="22">
        <v>13.74670388888889</v>
      </c>
      <c r="D41" s="22"/>
      <c r="E41" s="22">
        <f t="shared" si="0"/>
        <v>14.54725</v>
      </c>
      <c r="F41" s="22"/>
      <c r="G41" s="22">
        <f t="shared" si="1"/>
        <v>14.146976944444445</v>
      </c>
      <c r="H41" s="38"/>
      <c r="I41" s="35">
        <v>20</v>
      </c>
      <c r="J41" s="36">
        <v>20</v>
      </c>
      <c r="K41" s="36">
        <v>16</v>
      </c>
      <c r="L41" s="22">
        <f t="shared" si="5"/>
        <v>18</v>
      </c>
      <c r="M41" s="22"/>
      <c r="N41" s="22"/>
      <c r="O41" s="26">
        <v>14.5</v>
      </c>
      <c r="P41" s="35">
        <v>13</v>
      </c>
      <c r="Q41" s="36">
        <v>13</v>
      </c>
      <c r="R41" s="23">
        <f t="shared" si="6"/>
        <v>13.5</v>
      </c>
      <c r="S41" s="23"/>
      <c r="T41" s="23"/>
      <c r="U41" s="23">
        <v>15.5</v>
      </c>
      <c r="V41" s="23">
        <v>15.5</v>
      </c>
      <c r="W41" s="27">
        <f t="shared" si="2"/>
        <v>15.5</v>
      </c>
      <c r="X41" s="23">
        <f t="shared" si="7"/>
        <v>14.5</v>
      </c>
      <c r="Y41" s="39"/>
      <c r="Z41" s="35">
        <v>8.75</v>
      </c>
      <c r="AA41" s="36">
        <v>13</v>
      </c>
      <c r="AB41" s="23">
        <f t="shared" si="9"/>
        <v>10.875</v>
      </c>
      <c r="AC41" s="36">
        <v>14.5</v>
      </c>
      <c r="AD41" s="23">
        <v>15.9</v>
      </c>
      <c r="AE41" s="23">
        <v>13.3</v>
      </c>
      <c r="AF41" s="27">
        <f t="shared" si="10"/>
        <v>14.46</v>
      </c>
      <c r="AG41" s="36">
        <v>10.9</v>
      </c>
      <c r="AH41" s="36">
        <v>11</v>
      </c>
      <c r="AI41" s="27">
        <f t="shared" si="11"/>
        <v>10.95</v>
      </c>
      <c r="AJ41" s="36">
        <v>8</v>
      </c>
      <c r="AK41" s="27">
        <v>18.5</v>
      </c>
      <c r="AL41" s="27">
        <f t="shared" si="12"/>
        <v>13.25</v>
      </c>
      <c r="AM41" s="27">
        <v>16</v>
      </c>
      <c r="AN41" s="27">
        <v>16.5</v>
      </c>
      <c r="AO41" s="27">
        <f t="shared" si="13"/>
        <v>16.25</v>
      </c>
      <c r="AP41" s="23">
        <f t="shared" si="14"/>
        <v>13.157</v>
      </c>
      <c r="AQ41" s="36">
        <v>16</v>
      </c>
      <c r="AR41" s="35">
        <v>15.5</v>
      </c>
      <c r="AS41" s="36">
        <v>13</v>
      </c>
      <c r="AT41" s="23">
        <f t="shared" si="15"/>
        <v>14.6875</v>
      </c>
      <c r="AU41" s="30"/>
      <c r="AV41" s="30"/>
      <c r="AW41" s="31"/>
      <c r="AX41" s="31"/>
    </row>
    <row r="42" spans="1:50" ht="15.75" customHeight="1" x14ac:dyDescent="0.2">
      <c r="A42" s="20">
        <v>37</v>
      </c>
      <c r="B42" s="21">
        <v>22322577</v>
      </c>
      <c r="C42" s="22">
        <v>14.246922777777778</v>
      </c>
      <c r="D42" s="22"/>
      <c r="E42" s="22">
        <f t="shared" si="0"/>
        <v>14.161</v>
      </c>
      <c r="F42" s="22"/>
      <c r="G42" s="22">
        <f t="shared" si="1"/>
        <v>14.203961388888889</v>
      </c>
      <c r="H42" s="38"/>
      <c r="I42" s="35">
        <v>18</v>
      </c>
      <c r="J42" s="36">
        <v>11.75</v>
      </c>
      <c r="K42" s="36">
        <v>17.25</v>
      </c>
      <c r="L42" s="22">
        <f t="shared" si="5"/>
        <v>15.541666666666666</v>
      </c>
      <c r="M42" s="50"/>
      <c r="N42" s="50"/>
      <c r="O42" s="36">
        <v>10.25</v>
      </c>
      <c r="P42" s="35">
        <v>3.5</v>
      </c>
      <c r="Q42" s="36">
        <v>11</v>
      </c>
      <c r="R42" s="23">
        <f t="shared" si="6"/>
        <v>8.25</v>
      </c>
      <c r="S42" s="23"/>
      <c r="T42" s="23"/>
      <c r="U42" s="23">
        <v>15.04</v>
      </c>
      <c r="V42" s="23">
        <v>15.18</v>
      </c>
      <c r="W42" s="27">
        <f t="shared" si="2"/>
        <v>15.086666666666666</v>
      </c>
      <c r="X42" s="23">
        <f t="shared" si="7"/>
        <v>11.668333333333333</v>
      </c>
      <c r="Y42" s="39"/>
      <c r="Z42" s="40">
        <v>14.25</v>
      </c>
      <c r="AA42" s="41">
        <v>15.5</v>
      </c>
      <c r="AB42" s="23">
        <f t="shared" si="9"/>
        <v>14.875</v>
      </c>
      <c r="AC42" s="36">
        <v>13.7</v>
      </c>
      <c r="AD42" s="23">
        <v>17.3</v>
      </c>
      <c r="AE42" s="23">
        <v>8.6</v>
      </c>
      <c r="AF42" s="27">
        <f t="shared" si="10"/>
        <v>12.59</v>
      </c>
      <c r="AG42" s="36">
        <v>10.9</v>
      </c>
      <c r="AH42" s="36">
        <v>10</v>
      </c>
      <c r="AI42" s="27">
        <f t="shared" si="11"/>
        <v>10.45</v>
      </c>
      <c r="AJ42" s="36">
        <v>10</v>
      </c>
      <c r="AK42" s="27">
        <v>15.95</v>
      </c>
      <c r="AL42" s="27">
        <f t="shared" si="12"/>
        <v>12.975</v>
      </c>
      <c r="AM42" s="27">
        <v>20</v>
      </c>
      <c r="AN42" s="27">
        <v>17.850000000000001</v>
      </c>
      <c r="AO42" s="27">
        <f t="shared" si="13"/>
        <v>18.925000000000001</v>
      </c>
      <c r="AP42" s="23">
        <f t="shared" si="14"/>
        <v>13.962999999999999</v>
      </c>
      <c r="AQ42" s="36">
        <v>18.5</v>
      </c>
      <c r="AR42" s="35">
        <v>18</v>
      </c>
      <c r="AS42" s="36">
        <v>16</v>
      </c>
      <c r="AT42" s="23">
        <f t="shared" si="15"/>
        <v>17.375</v>
      </c>
      <c r="AU42" s="30"/>
      <c r="AV42" s="30"/>
      <c r="AW42" s="31"/>
      <c r="AX42" s="31"/>
    </row>
    <row r="43" spans="1:50" ht="15.75" customHeight="1" x14ac:dyDescent="0.2">
      <c r="A43" s="20">
        <v>38</v>
      </c>
      <c r="B43" s="21">
        <v>22322621</v>
      </c>
      <c r="C43" s="22">
        <v>13.878216233333335</v>
      </c>
      <c r="D43" s="22"/>
      <c r="E43" s="22">
        <f t="shared" si="0"/>
        <v>14.581716666666667</v>
      </c>
      <c r="F43" s="22"/>
      <c r="G43" s="22">
        <f t="shared" si="1"/>
        <v>14.229966450000001</v>
      </c>
      <c r="H43" s="38"/>
      <c r="I43" s="35">
        <v>20</v>
      </c>
      <c r="J43" s="36">
        <v>12</v>
      </c>
      <c r="K43" s="36">
        <v>16.75</v>
      </c>
      <c r="L43" s="22">
        <f t="shared" si="5"/>
        <v>15.708333333333334</v>
      </c>
      <c r="M43" s="50"/>
      <c r="N43" s="50"/>
      <c r="O43" s="36">
        <v>11.5</v>
      </c>
      <c r="P43" s="35">
        <v>14.25</v>
      </c>
      <c r="Q43" s="36">
        <v>11</v>
      </c>
      <c r="R43" s="23">
        <f t="shared" si="6"/>
        <v>12.25</v>
      </c>
      <c r="S43" s="23"/>
      <c r="T43" s="23"/>
      <c r="U43" s="23">
        <v>15.364000000000001</v>
      </c>
      <c r="V43" s="23">
        <v>15.090999999999999</v>
      </c>
      <c r="W43" s="27">
        <f t="shared" si="2"/>
        <v>15.273000000000001</v>
      </c>
      <c r="X43" s="23">
        <f t="shared" si="7"/>
        <v>13.761500000000002</v>
      </c>
      <c r="Y43" s="39"/>
      <c r="Z43" s="40">
        <v>16</v>
      </c>
      <c r="AA43" s="41">
        <v>9</v>
      </c>
      <c r="AB43" s="23">
        <f t="shared" si="9"/>
        <v>12.5</v>
      </c>
      <c r="AC43" s="36">
        <v>15.1</v>
      </c>
      <c r="AD43" s="23">
        <v>15.2</v>
      </c>
      <c r="AE43" s="23">
        <v>12.4</v>
      </c>
      <c r="AF43" s="27">
        <f t="shared" si="10"/>
        <v>13.79</v>
      </c>
      <c r="AG43" s="36">
        <v>9.8000000000000007</v>
      </c>
      <c r="AH43" s="36">
        <v>8</v>
      </c>
      <c r="AI43" s="27">
        <f t="shared" si="11"/>
        <v>8.9</v>
      </c>
      <c r="AJ43" s="36">
        <v>17</v>
      </c>
      <c r="AK43" s="27">
        <v>16</v>
      </c>
      <c r="AL43" s="27">
        <f t="shared" si="12"/>
        <v>16.5</v>
      </c>
      <c r="AM43" s="27">
        <v>20</v>
      </c>
      <c r="AN43" s="27">
        <v>19</v>
      </c>
      <c r="AO43" s="27">
        <f t="shared" si="13"/>
        <v>19.5</v>
      </c>
      <c r="AP43" s="23">
        <f t="shared" si="14"/>
        <v>14.238</v>
      </c>
      <c r="AQ43" s="36">
        <v>15.5</v>
      </c>
      <c r="AR43" s="35">
        <v>13.5</v>
      </c>
      <c r="AS43" s="36">
        <v>18</v>
      </c>
      <c r="AT43" s="23">
        <f t="shared" si="15"/>
        <v>15.6875</v>
      </c>
      <c r="AU43" s="30"/>
      <c r="AV43" s="30"/>
      <c r="AW43" s="31"/>
      <c r="AX43" s="31"/>
    </row>
    <row r="44" spans="1:50" ht="15.75" customHeight="1" x14ac:dyDescent="0.2">
      <c r="A44" s="20">
        <v>39</v>
      </c>
      <c r="B44" s="21">
        <v>22322568</v>
      </c>
      <c r="C44" s="22">
        <v>14.115827222222221</v>
      </c>
      <c r="D44" s="22"/>
      <c r="E44" s="22">
        <f t="shared" si="0"/>
        <v>14.361666666666668</v>
      </c>
      <c r="F44" s="22"/>
      <c r="G44" s="22">
        <f t="shared" si="1"/>
        <v>14.238746944444443</v>
      </c>
      <c r="H44" s="38"/>
      <c r="I44" s="35">
        <v>17</v>
      </c>
      <c r="J44" s="36">
        <v>20</v>
      </c>
      <c r="K44" s="36">
        <v>16</v>
      </c>
      <c r="L44" s="22">
        <f t="shared" si="5"/>
        <v>17.5</v>
      </c>
      <c r="M44" s="50"/>
      <c r="N44" s="50"/>
      <c r="O44" s="36">
        <v>16</v>
      </c>
      <c r="P44" s="35">
        <v>0</v>
      </c>
      <c r="Q44" s="36">
        <v>7</v>
      </c>
      <c r="R44" s="23">
        <f t="shared" si="6"/>
        <v>7.666666666666667</v>
      </c>
      <c r="S44" s="23"/>
      <c r="T44" s="23"/>
      <c r="U44" s="23">
        <v>15.4</v>
      </c>
      <c r="V44" s="23">
        <v>15.4</v>
      </c>
      <c r="W44" s="27">
        <f t="shared" si="2"/>
        <v>15.4</v>
      </c>
      <c r="X44" s="23">
        <f t="shared" si="7"/>
        <v>11.533333333333333</v>
      </c>
      <c r="Y44" s="39"/>
      <c r="Z44" s="35">
        <v>17.25</v>
      </c>
      <c r="AA44" s="36">
        <v>9</v>
      </c>
      <c r="AB44" s="23">
        <f t="shared" si="9"/>
        <v>13.125</v>
      </c>
      <c r="AC44" s="36">
        <v>11.8</v>
      </c>
      <c r="AD44" s="23">
        <v>13.8</v>
      </c>
      <c r="AE44" s="23">
        <v>6.7</v>
      </c>
      <c r="AF44" s="27">
        <f t="shared" si="10"/>
        <v>10.050000000000001</v>
      </c>
      <c r="AG44" s="36">
        <v>14.9</v>
      </c>
      <c r="AH44" s="36">
        <v>9</v>
      </c>
      <c r="AI44" s="27">
        <f t="shared" si="11"/>
        <v>11.95</v>
      </c>
      <c r="AJ44" s="36">
        <v>16</v>
      </c>
      <c r="AK44" s="27">
        <v>18</v>
      </c>
      <c r="AL44" s="27">
        <f t="shared" si="12"/>
        <v>17</v>
      </c>
      <c r="AM44" s="27">
        <v>20</v>
      </c>
      <c r="AN44" s="27">
        <v>17.350000000000001</v>
      </c>
      <c r="AO44" s="27">
        <f t="shared" si="13"/>
        <v>18.675000000000001</v>
      </c>
      <c r="AP44" s="23">
        <f t="shared" si="14"/>
        <v>14.16</v>
      </c>
      <c r="AQ44" s="36">
        <v>14</v>
      </c>
      <c r="AR44" s="35">
        <v>17</v>
      </c>
      <c r="AS44" s="36">
        <v>13</v>
      </c>
      <c r="AT44" s="23">
        <f t="shared" si="15"/>
        <v>14.75</v>
      </c>
      <c r="AU44" s="30"/>
      <c r="AV44" s="30"/>
      <c r="AW44" s="31"/>
      <c r="AX44" s="31"/>
    </row>
    <row r="45" spans="1:50" ht="15.75" customHeight="1" x14ac:dyDescent="0.2">
      <c r="A45" s="20">
        <v>40</v>
      </c>
      <c r="B45" s="21">
        <v>22322615</v>
      </c>
      <c r="C45" s="22">
        <v>14.406348888888889</v>
      </c>
      <c r="D45" s="22"/>
      <c r="E45" s="22">
        <f t="shared" si="0"/>
        <v>14.585416666666667</v>
      </c>
      <c r="F45" s="22"/>
      <c r="G45" s="22">
        <f t="shared" si="1"/>
        <v>14.495882777777778</v>
      </c>
      <c r="H45" s="38"/>
      <c r="I45" s="35">
        <v>18</v>
      </c>
      <c r="J45" s="36">
        <v>17.5</v>
      </c>
      <c r="K45" s="36">
        <v>11.25</v>
      </c>
      <c r="L45" s="22">
        <f t="shared" si="5"/>
        <v>14.458333333333334</v>
      </c>
      <c r="M45" s="38"/>
      <c r="N45" s="38"/>
      <c r="O45" s="35">
        <v>10</v>
      </c>
      <c r="P45" s="35">
        <v>13.5</v>
      </c>
      <c r="Q45" s="35">
        <v>14</v>
      </c>
      <c r="R45" s="23">
        <f t="shared" si="6"/>
        <v>12.5</v>
      </c>
      <c r="S45" s="23"/>
      <c r="T45" s="23"/>
      <c r="U45" s="23">
        <v>16.5</v>
      </c>
      <c r="V45" s="23">
        <v>16.5</v>
      </c>
      <c r="W45" s="27">
        <f t="shared" si="2"/>
        <v>16.5</v>
      </c>
      <c r="X45" s="23">
        <f t="shared" si="7"/>
        <v>14.5</v>
      </c>
      <c r="Y45" s="39"/>
      <c r="Z45" s="35">
        <v>12.75</v>
      </c>
      <c r="AA45" s="36">
        <v>13.5</v>
      </c>
      <c r="AB45" s="23">
        <f t="shared" si="9"/>
        <v>13.125</v>
      </c>
      <c r="AC45" s="35">
        <v>13.2</v>
      </c>
      <c r="AD45" s="23">
        <v>16.7</v>
      </c>
      <c r="AE45" s="23">
        <v>9.5</v>
      </c>
      <c r="AF45" s="27">
        <f t="shared" si="10"/>
        <v>12.75</v>
      </c>
      <c r="AG45" s="35">
        <v>11.5</v>
      </c>
      <c r="AH45" s="36">
        <v>18.8</v>
      </c>
      <c r="AI45" s="27">
        <f t="shared" si="11"/>
        <v>15.15</v>
      </c>
      <c r="AJ45" s="35">
        <v>15</v>
      </c>
      <c r="AK45" s="27">
        <v>17.149999999999999</v>
      </c>
      <c r="AL45" s="27">
        <f t="shared" si="12"/>
        <v>16.074999999999999</v>
      </c>
      <c r="AM45" s="27">
        <v>16</v>
      </c>
      <c r="AN45" s="27">
        <v>15.55</v>
      </c>
      <c r="AO45" s="27">
        <f t="shared" si="13"/>
        <v>15.775</v>
      </c>
      <c r="AP45" s="23">
        <f t="shared" si="14"/>
        <v>14.574999999999999</v>
      </c>
      <c r="AQ45" s="36">
        <v>14.5</v>
      </c>
      <c r="AR45" s="35">
        <v>14</v>
      </c>
      <c r="AS45" s="36">
        <v>16.5</v>
      </c>
      <c r="AT45" s="23">
        <f t="shared" si="15"/>
        <v>15.0625</v>
      </c>
      <c r="AU45" s="30"/>
      <c r="AV45" s="30"/>
      <c r="AW45" s="31"/>
      <c r="AX45" s="31"/>
    </row>
    <row r="46" spans="1:50" ht="15.75" customHeight="1" x14ac:dyDescent="0.2">
      <c r="A46" s="20">
        <v>41</v>
      </c>
      <c r="B46" s="21">
        <v>22322570</v>
      </c>
      <c r="C46" s="22">
        <v>14.937089444444444</v>
      </c>
      <c r="D46" s="22"/>
      <c r="E46" s="22">
        <f t="shared" si="0"/>
        <v>14.128166666666667</v>
      </c>
      <c r="F46" s="22"/>
      <c r="G46" s="22">
        <f t="shared" si="1"/>
        <v>14.532628055555556</v>
      </c>
      <c r="H46" s="38"/>
      <c r="I46" s="35">
        <v>16</v>
      </c>
      <c r="J46" s="36">
        <v>13.75</v>
      </c>
      <c r="K46" s="36">
        <v>17.25</v>
      </c>
      <c r="L46" s="22">
        <f t="shared" si="5"/>
        <v>15.875</v>
      </c>
      <c r="M46" s="38"/>
      <c r="N46" s="38"/>
      <c r="O46" s="35">
        <v>10.5</v>
      </c>
      <c r="P46" s="35">
        <v>11.5</v>
      </c>
      <c r="Q46" s="35">
        <v>16</v>
      </c>
      <c r="R46" s="23">
        <f t="shared" si="6"/>
        <v>12.666666666666666</v>
      </c>
      <c r="S46" s="23"/>
      <c r="T46" s="23"/>
      <c r="U46" s="23">
        <v>16.75</v>
      </c>
      <c r="V46" s="23">
        <v>16</v>
      </c>
      <c r="W46" s="27">
        <f t="shared" si="2"/>
        <v>16.5</v>
      </c>
      <c r="X46" s="23">
        <f t="shared" si="7"/>
        <v>14.583333333333332</v>
      </c>
      <c r="Y46" s="39"/>
      <c r="Z46" s="35">
        <v>6</v>
      </c>
      <c r="AA46" s="36">
        <v>9.75</v>
      </c>
      <c r="AB46" s="23">
        <f t="shared" si="9"/>
        <v>7.875</v>
      </c>
      <c r="AC46" s="35">
        <v>11.6</v>
      </c>
      <c r="AD46" s="23">
        <v>12.2</v>
      </c>
      <c r="AE46" s="23">
        <v>14.3</v>
      </c>
      <c r="AF46" s="27">
        <f t="shared" si="10"/>
        <v>13.190000000000001</v>
      </c>
      <c r="AG46" s="35">
        <v>12.6</v>
      </c>
      <c r="AH46" s="36">
        <v>9</v>
      </c>
      <c r="AI46" s="27">
        <f t="shared" si="11"/>
        <v>10.8</v>
      </c>
      <c r="AJ46" s="35">
        <v>11</v>
      </c>
      <c r="AK46" s="23">
        <v>15.5</v>
      </c>
      <c r="AL46" s="27">
        <f t="shared" si="12"/>
        <v>13.25</v>
      </c>
      <c r="AM46" s="23">
        <v>20</v>
      </c>
      <c r="AN46" s="23">
        <v>18.5</v>
      </c>
      <c r="AO46" s="27">
        <f t="shared" si="13"/>
        <v>19.25</v>
      </c>
      <c r="AP46" s="23">
        <f t="shared" si="14"/>
        <v>12.873000000000001</v>
      </c>
      <c r="AQ46" s="36">
        <v>16</v>
      </c>
      <c r="AR46" s="35">
        <v>17</v>
      </c>
      <c r="AS46" s="36">
        <v>15</v>
      </c>
      <c r="AT46" s="23">
        <f t="shared" si="15"/>
        <v>16</v>
      </c>
      <c r="AU46" s="30"/>
      <c r="AV46" s="30"/>
      <c r="AW46" s="31"/>
      <c r="AX46" s="31"/>
    </row>
    <row r="47" spans="1:50" ht="15.75" customHeight="1" x14ac:dyDescent="0.2">
      <c r="A47" s="20">
        <v>42</v>
      </c>
      <c r="B47" s="51">
        <v>22322427</v>
      </c>
      <c r="C47" s="22">
        <v>14.214478333333336</v>
      </c>
      <c r="D47" s="22"/>
      <c r="E47" s="22">
        <f t="shared" si="0"/>
        <v>14.856983333333334</v>
      </c>
      <c r="F47" s="22"/>
      <c r="G47" s="22">
        <f t="shared" si="1"/>
        <v>14.535730833333336</v>
      </c>
      <c r="H47" s="38"/>
      <c r="I47" s="35">
        <v>13</v>
      </c>
      <c r="J47" s="36">
        <v>18</v>
      </c>
      <c r="K47" s="36">
        <v>14.25</v>
      </c>
      <c r="L47" s="22">
        <f t="shared" si="5"/>
        <v>15.291666666666666</v>
      </c>
      <c r="M47" s="38"/>
      <c r="N47" s="38"/>
      <c r="O47" s="35">
        <v>17</v>
      </c>
      <c r="P47" s="35">
        <v>18.5</v>
      </c>
      <c r="Q47" s="35">
        <v>14</v>
      </c>
      <c r="R47" s="23">
        <f t="shared" si="6"/>
        <v>16.5</v>
      </c>
      <c r="S47" s="23"/>
      <c r="T47" s="23"/>
      <c r="U47" s="23">
        <v>15.590999999999999</v>
      </c>
      <c r="V47" s="23">
        <v>16.454999999999998</v>
      </c>
      <c r="W47" s="27">
        <f t="shared" si="2"/>
        <v>15.879</v>
      </c>
      <c r="X47" s="23">
        <f t="shared" si="7"/>
        <v>16.189499999999999</v>
      </c>
      <c r="Y47" s="39"/>
      <c r="Z47" s="40">
        <v>12</v>
      </c>
      <c r="AA47" s="41">
        <v>12.25</v>
      </c>
      <c r="AB47" s="23">
        <f t="shared" si="9"/>
        <v>12.125</v>
      </c>
      <c r="AC47" s="35">
        <v>12.2</v>
      </c>
      <c r="AD47" s="23">
        <v>9.5</v>
      </c>
      <c r="AE47" s="23">
        <v>14.3</v>
      </c>
      <c r="AF47" s="27">
        <f t="shared" si="10"/>
        <v>12.170000000000002</v>
      </c>
      <c r="AG47" s="35">
        <v>11.5</v>
      </c>
      <c r="AH47" s="36">
        <v>9</v>
      </c>
      <c r="AI47" s="27">
        <f t="shared" si="11"/>
        <v>10.25</v>
      </c>
      <c r="AJ47" s="35">
        <v>11</v>
      </c>
      <c r="AK47" s="23">
        <v>19</v>
      </c>
      <c r="AL47" s="27">
        <f t="shared" si="12"/>
        <v>15</v>
      </c>
      <c r="AM47" s="23">
        <v>20</v>
      </c>
      <c r="AN47" s="23">
        <v>18</v>
      </c>
      <c r="AO47" s="27">
        <f t="shared" si="13"/>
        <v>19</v>
      </c>
      <c r="AP47" s="23">
        <f t="shared" si="14"/>
        <v>13.709</v>
      </c>
      <c r="AQ47" s="36">
        <v>18</v>
      </c>
      <c r="AR47" s="35">
        <v>16.5</v>
      </c>
      <c r="AS47" s="36">
        <v>17</v>
      </c>
      <c r="AT47" s="23">
        <f t="shared" si="15"/>
        <v>17.0625</v>
      </c>
      <c r="AU47" s="30"/>
      <c r="AV47" s="30"/>
      <c r="AW47" s="31"/>
      <c r="AX47" s="31"/>
    </row>
    <row r="48" spans="1:50" ht="15.75" customHeight="1" x14ac:dyDescent="0.2">
      <c r="A48" s="20">
        <v>43</v>
      </c>
      <c r="B48" s="51">
        <v>22322376</v>
      </c>
      <c r="C48" s="22">
        <v>14.043200555555556</v>
      </c>
      <c r="D48" s="22"/>
      <c r="E48" s="22">
        <f t="shared" si="0"/>
        <v>15.234299999999999</v>
      </c>
      <c r="F48" s="22"/>
      <c r="G48" s="22">
        <f t="shared" si="1"/>
        <v>14.638750277777778</v>
      </c>
      <c r="H48" s="38"/>
      <c r="I48" s="35">
        <v>20</v>
      </c>
      <c r="J48" s="36">
        <v>18.25</v>
      </c>
      <c r="K48" s="36">
        <v>16</v>
      </c>
      <c r="L48" s="22">
        <f t="shared" si="5"/>
        <v>17.416666666666668</v>
      </c>
      <c r="M48" s="38"/>
      <c r="N48" s="38"/>
      <c r="O48" s="35">
        <v>15.75</v>
      </c>
      <c r="P48" s="35">
        <v>14.75</v>
      </c>
      <c r="Q48" s="35">
        <v>8</v>
      </c>
      <c r="R48" s="23">
        <f t="shared" si="6"/>
        <v>12.833333333333334</v>
      </c>
      <c r="S48" s="23"/>
      <c r="T48" s="23"/>
      <c r="U48" s="23">
        <v>15.409000000000001</v>
      </c>
      <c r="V48" s="23">
        <v>16.135999999999999</v>
      </c>
      <c r="W48" s="27">
        <f t="shared" si="2"/>
        <v>15.651333333333334</v>
      </c>
      <c r="X48" s="23">
        <f t="shared" si="7"/>
        <v>14.242333333333335</v>
      </c>
      <c r="Y48" s="39"/>
      <c r="Z48" s="40">
        <v>14</v>
      </c>
      <c r="AA48" s="41">
        <v>14</v>
      </c>
      <c r="AB48" s="23">
        <f t="shared" si="9"/>
        <v>14</v>
      </c>
      <c r="AC48" s="35">
        <v>14.6</v>
      </c>
      <c r="AD48" s="23">
        <v>17.600000000000001</v>
      </c>
      <c r="AE48" s="23">
        <v>14.3</v>
      </c>
      <c r="AF48" s="27">
        <f t="shared" si="10"/>
        <v>15.65</v>
      </c>
      <c r="AG48" s="35">
        <v>11.5</v>
      </c>
      <c r="AH48" s="36">
        <v>11</v>
      </c>
      <c r="AI48" s="27">
        <f t="shared" si="11"/>
        <v>11.25</v>
      </c>
      <c r="AJ48" s="35">
        <v>10</v>
      </c>
      <c r="AK48" s="23">
        <v>19.5</v>
      </c>
      <c r="AL48" s="27">
        <f t="shared" si="12"/>
        <v>14.75</v>
      </c>
      <c r="AM48" s="23">
        <v>20</v>
      </c>
      <c r="AN48" s="23">
        <v>17.5</v>
      </c>
      <c r="AO48" s="27">
        <f t="shared" si="13"/>
        <v>18.75</v>
      </c>
      <c r="AP48" s="23">
        <f t="shared" si="14"/>
        <v>14.88</v>
      </c>
      <c r="AQ48" s="36">
        <v>16.5</v>
      </c>
      <c r="AR48" s="35">
        <v>14</v>
      </c>
      <c r="AS48" s="36">
        <v>14</v>
      </c>
      <c r="AT48" s="23">
        <f t="shared" si="15"/>
        <v>14.625</v>
      </c>
      <c r="AU48" s="30"/>
      <c r="AV48" s="30"/>
      <c r="AW48" s="31"/>
      <c r="AX48" s="31"/>
    </row>
    <row r="49" spans="1:65" ht="15.75" customHeight="1" x14ac:dyDescent="0.2">
      <c r="A49" s="20">
        <v>44</v>
      </c>
      <c r="B49" s="21">
        <v>22322575</v>
      </c>
      <c r="C49" s="22">
        <v>14.281450555555555</v>
      </c>
      <c r="D49" s="22"/>
      <c r="E49" s="22">
        <f t="shared" si="0"/>
        <v>15.177083333333334</v>
      </c>
      <c r="F49" s="22"/>
      <c r="G49" s="22">
        <f t="shared" si="1"/>
        <v>14.729266944444444</v>
      </c>
      <c r="H49" s="38"/>
      <c r="I49" s="35">
        <v>20</v>
      </c>
      <c r="J49" s="36">
        <v>20</v>
      </c>
      <c r="K49" s="36">
        <v>18.5</v>
      </c>
      <c r="L49" s="22">
        <f t="shared" si="5"/>
        <v>19.25</v>
      </c>
      <c r="M49" s="38"/>
      <c r="N49" s="38"/>
      <c r="O49" s="35">
        <v>9</v>
      </c>
      <c r="P49" s="35">
        <v>14</v>
      </c>
      <c r="Q49" s="35">
        <v>14</v>
      </c>
      <c r="R49" s="23">
        <f t="shared" si="6"/>
        <v>12.333333333333334</v>
      </c>
      <c r="S49" s="23"/>
      <c r="T49" s="23"/>
      <c r="U49" s="23">
        <v>16.7</v>
      </c>
      <c r="V49" s="23">
        <v>17</v>
      </c>
      <c r="W49" s="27">
        <f t="shared" si="2"/>
        <v>16.8</v>
      </c>
      <c r="X49" s="23">
        <f t="shared" si="7"/>
        <v>14.566666666666666</v>
      </c>
      <c r="Y49" s="39"/>
      <c r="Z49" s="35">
        <v>8.75</v>
      </c>
      <c r="AA49" s="36">
        <v>12.25</v>
      </c>
      <c r="AB49" s="23">
        <f t="shared" si="9"/>
        <v>10.5</v>
      </c>
      <c r="AC49" s="35">
        <v>14.8</v>
      </c>
      <c r="AD49" s="23">
        <v>15.8</v>
      </c>
      <c r="AE49" s="23">
        <v>10.5</v>
      </c>
      <c r="AF49" s="27">
        <f t="shared" si="10"/>
        <v>13.05</v>
      </c>
      <c r="AG49" s="35">
        <v>11.5</v>
      </c>
      <c r="AH49" s="36">
        <v>14.8</v>
      </c>
      <c r="AI49" s="27">
        <f t="shared" si="11"/>
        <v>13.15</v>
      </c>
      <c r="AJ49" s="35">
        <v>11</v>
      </c>
      <c r="AK49" s="23">
        <v>15.5</v>
      </c>
      <c r="AL49" s="27">
        <f t="shared" si="12"/>
        <v>13.25</v>
      </c>
      <c r="AM49" s="23">
        <v>20</v>
      </c>
      <c r="AN49" s="23">
        <v>16.5</v>
      </c>
      <c r="AO49" s="27">
        <f t="shared" si="13"/>
        <v>18.25</v>
      </c>
      <c r="AP49" s="23">
        <f t="shared" si="14"/>
        <v>13.64</v>
      </c>
      <c r="AQ49" s="36">
        <v>18</v>
      </c>
      <c r="AR49" s="35">
        <v>18.5</v>
      </c>
      <c r="AS49" s="36">
        <v>12</v>
      </c>
      <c r="AT49" s="23">
        <f t="shared" si="15"/>
        <v>15.9375</v>
      </c>
      <c r="AU49" s="30"/>
      <c r="AV49" s="30"/>
      <c r="AW49" s="31"/>
      <c r="AX49" s="31"/>
    </row>
    <row r="50" spans="1:65" ht="15.75" customHeight="1" x14ac:dyDescent="0.2">
      <c r="A50" s="20">
        <v>45</v>
      </c>
      <c r="B50" s="21">
        <v>22322566</v>
      </c>
      <c r="C50" s="22">
        <v>14.117055555555556</v>
      </c>
      <c r="D50" s="22"/>
      <c r="E50" s="22">
        <f t="shared" si="0"/>
        <v>15.492616666666667</v>
      </c>
      <c r="F50" s="22"/>
      <c r="G50" s="22">
        <f t="shared" si="1"/>
        <v>14.804836111111111</v>
      </c>
      <c r="H50" s="38"/>
      <c r="I50" s="35">
        <v>20</v>
      </c>
      <c r="J50" s="36">
        <v>19.5</v>
      </c>
      <c r="K50" s="37">
        <v>17</v>
      </c>
      <c r="L50" s="22">
        <f t="shared" si="5"/>
        <v>18.333333333333332</v>
      </c>
      <c r="M50" s="22"/>
      <c r="N50" s="22"/>
      <c r="O50" s="26">
        <v>20</v>
      </c>
      <c r="P50" s="35">
        <v>14.75</v>
      </c>
      <c r="Q50" s="35">
        <v>10</v>
      </c>
      <c r="R50" s="23">
        <f t="shared" si="6"/>
        <v>14.916666666666666</v>
      </c>
      <c r="S50" s="23"/>
      <c r="T50" s="23"/>
      <c r="U50" s="23">
        <v>15.590999999999999</v>
      </c>
      <c r="V50" s="23">
        <v>15.364000000000001</v>
      </c>
      <c r="W50" s="27">
        <f t="shared" si="2"/>
        <v>15.515333333333333</v>
      </c>
      <c r="X50" s="23">
        <f t="shared" si="7"/>
        <v>15.215999999999999</v>
      </c>
      <c r="Y50" s="39"/>
      <c r="Z50" s="40">
        <v>14</v>
      </c>
      <c r="AA50" s="41">
        <v>13</v>
      </c>
      <c r="AB50" s="23">
        <f t="shared" si="9"/>
        <v>13.5</v>
      </c>
      <c r="AC50" s="35">
        <v>15.7</v>
      </c>
      <c r="AD50" s="23">
        <v>17.3</v>
      </c>
      <c r="AE50" s="23">
        <v>12.4</v>
      </c>
      <c r="AF50" s="27">
        <f t="shared" si="10"/>
        <v>14.690000000000001</v>
      </c>
      <c r="AG50" s="35">
        <v>14.9</v>
      </c>
      <c r="AH50" s="36">
        <v>8</v>
      </c>
      <c r="AI50" s="27">
        <f t="shared" si="11"/>
        <v>11.45</v>
      </c>
      <c r="AJ50" s="35">
        <v>14.5</v>
      </c>
      <c r="AK50" s="27">
        <v>14.5</v>
      </c>
      <c r="AL50" s="27">
        <f t="shared" si="12"/>
        <v>14.5</v>
      </c>
      <c r="AM50" s="27">
        <v>16</v>
      </c>
      <c r="AN50" s="27">
        <v>19</v>
      </c>
      <c r="AO50" s="27">
        <f t="shared" si="13"/>
        <v>17.5</v>
      </c>
      <c r="AP50" s="23">
        <f t="shared" si="14"/>
        <v>14.327999999999999</v>
      </c>
      <c r="AQ50" s="36">
        <v>19</v>
      </c>
      <c r="AR50" s="35">
        <v>14.5</v>
      </c>
      <c r="AS50" s="36">
        <v>16</v>
      </c>
      <c r="AT50" s="23">
        <f t="shared" si="15"/>
        <v>16.1875</v>
      </c>
      <c r="AU50" s="1"/>
      <c r="AV50" s="1"/>
    </row>
    <row r="51" spans="1:65" ht="15.75" customHeight="1" x14ac:dyDescent="0.2">
      <c r="A51" s="20">
        <v>46</v>
      </c>
      <c r="B51" s="21">
        <v>22322560</v>
      </c>
      <c r="C51" s="22">
        <v>14.213394999999998</v>
      </c>
      <c r="D51" s="22"/>
      <c r="E51" s="22">
        <f t="shared" si="0"/>
        <v>15.481583333333333</v>
      </c>
      <c r="F51" s="22"/>
      <c r="G51" s="22">
        <f t="shared" si="1"/>
        <v>14.847489166666666</v>
      </c>
      <c r="H51" s="38"/>
      <c r="I51" s="35">
        <v>16</v>
      </c>
      <c r="J51" s="36">
        <v>20</v>
      </c>
      <c r="K51" s="36">
        <v>17.5</v>
      </c>
      <c r="L51" s="22">
        <f t="shared" si="5"/>
        <v>18.083333333333332</v>
      </c>
      <c r="M51" s="38"/>
      <c r="N51" s="38"/>
      <c r="O51" s="35">
        <v>18.25</v>
      </c>
      <c r="P51" s="35">
        <v>8</v>
      </c>
      <c r="Q51" s="35">
        <v>13</v>
      </c>
      <c r="R51" s="23">
        <f t="shared" si="6"/>
        <v>13.083333333333334</v>
      </c>
      <c r="S51" s="23"/>
      <c r="T51" s="23"/>
      <c r="U51" s="23">
        <v>15.682</v>
      </c>
      <c r="V51" s="23">
        <v>16.135999999999999</v>
      </c>
      <c r="W51" s="27">
        <f t="shared" si="2"/>
        <v>15.833333333333334</v>
      </c>
      <c r="X51" s="23">
        <f t="shared" si="7"/>
        <v>14.458333333333334</v>
      </c>
      <c r="Y51" s="39"/>
      <c r="Z51" s="40">
        <v>12.5</v>
      </c>
      <c r="AA51" s="41">
        <v>14</v>
      </c>
      <c r="AB51" s="23">
        <f t="shared" si="9"/>
        <v>13.25</v>
      </c>
      <c r="AC51" s="35">
        <v>16.899999999999999</v>
      </c>
      <c r="AD51" s="23">
        <v>16.7</v>
      </c>
      <c r="AE51" s="23">
        <v>11.4</v>
      </c>
      <c r="AF51" s="27">
        <f t="shared" si="10"/>
        <v>14.07</v>
      </c>
      <c r="AG51" s="35">
        <v>13.2</v>
      </c>
      <c r="AH51" s="36">
        <v>11</v>
      </c>
      <c r="AI51" s="27">
        <f t="shared" si="11"/>
        <v>12.1</v>
      </c>
      <c r="AJ51" s="35">
        <v>13.5</v>
      </c>
      <c r="AK51" s="27">
        <v>19.5</v>
      </c>
      <c r="AL51" s="27">
        <f t="shared" si="12"/>
        <v>16.5</v>
      </c>
      <c r="AM51" s="27">
        <v>20</v>
      </c>
      <c r="AN51" s="27">
        <v>17.5</v>
      </c>
      <c r="AO51" s="27">
        <f t="shared" si="13"/>
        <v>18.75</v>
      </c>
      <c r="AP51" s="23">
        <f t="shared" si="14"/>
        <v>14.934000000000001</v>
      </c>
      <c r="AQ51" s="26">
        <v>15.25</v>
      </c>
      <c r="AR51" s="36">
        <v>15</v>
      </c>
      <c r="AS51" s="36">
        <v>15</v>
      </c>
      <c r="AT51" s="23">
        <f t="shared" si="15"/>
        <v>15.0625</v>
      </c>
      <c r="AU51" s="1"/>
      <c r="AV51" s="1"/>
    </row>
    <row r="52" spans="1:65" ht="15.75" customHeight="1" x14ac:dyDescent="0.2">
      <c r="A52" s="20">
        <v>47</v>
      </c>
      <c r="B52" s="21">
        <v>22322553</v>
      </c>
      <c r="C52" s="22">
        <v>15.119660555555555</v>
      </c>
      <c r="D52" s="22"/>
      <c r="E52" s="22">
        <f t="shared" si="0"/>
        <v>14.708583333333335</v>
      </c>
      <c r="F52" s="22"/>
      <c r="G52" s="22">
        <f t="shared" si="1"/>
        <v>14.914121944444446</v>
      </c>
      <c r="H52" s="38"/>
      <c r="I52" s="35">
        <v>20</v>
      </c>
      <c r="J52" s="36">
        <v>19.25</v>
      </c>
      <c r="K52" s="36">
        <v>19.25</v>
      </c>
      <c r="L52" s="22">
        <f t="shared" si="5"/>
        <v>19.375</v>
      </c>
      <c r="M52" s="38"/>
      <c r="N52" s="38"/>
      <c r="O52" s="35">
        <v>10</v>
      </c>
      <c r="P52" s="35">
        <v>6</v>
      </c>
      <c r="Q52" s="35">
        <v>12</v>
      </c>
      <c r="R52" s="23">
        <f t="shared" si="6"/>
        <v>9.3333333333333339</v>
      </c>
      <c r="S52" s="23"/>
      <c r="T52" s="23"/>
      <c r="U52" s="23">
        <v>15.78</v>
      </c>
      <c r="V52" s="23">
        <v>17.04</v>
      </c>
      <c r="W52" s="27">
        <f t="shared" si="2"/>
        <v>16.2</v>
      </c>
      <c r="X52" s="23">
        <f t="shared" si="7"/>
        <v>12.766666666666666</v>
      </c>
      <c r="Y52" s="39"/>
      <c r="Z52" s="40">
        <v>14.25</v>
      </c>
      <c r="AA52" s="41">
        <v>15.5</v>
      </c>
      <c r="AB52" s="23">
        <f t="shared" si="9"/>
        <v>14.875</v>
      </c>
      <c r="AC52" s="35">
        <v>15.1</v>
      </c>
      <c r="AD52" s="23">
        <v>17.2</v>
      </c>
      <c r="AE52" s="23">
        <v>13.3</v>
      </c>
      <c r="AF52" s="27">
        <f t="shared" si="10"/>
        <v>15.040000000000001</v>
      </c>
      <c r="AG52" s="35">
        <v>10.9</v>
      </c>
      <c r="AH52" s="36">
        <v>13.8</v>
      </c>
      <c r="AI52" s="27">
        <f t="shared" si="11"/>
        <v>12.350000000000001</v>
      </c>
      <c r="AJ52" s="35">
        <v>10</v>
      </c>
      <c r="AK52" s="27">
        <v>15.65</v>
      </c>
      <c r="AL52" s="27">
        <f t="shared" si="12"/>
        <v>12.824999999999999</v>
      </c>
      <c r="AM52" s="27">
        <v>18</v>
      </c>
      <c r="AN52" s="27">
        <v>16.05</v>
      </c>
      <c r="AO52" s="27">
        <f t="shared" si="13"/>
        <v>17.024999999999999</v>
      </c>
      <c r="AP52" s="23">
        <f t="shared" si="14"/>
        <v>14.423000000000002</v>
      </c>
      <c r="AQ52" s="35">
        <v>8.25</v>
      </c>
      <c r="AR52" s="36">
        <v>13</v>
      </c>
      <c r="AS52" s="36">
        <v>10</v>
      </c>
      <c r="AT52" s="23">
        <f t="shared" si="15"/>
        <v>10.6875</v>
      </c>
      <c r="AU52" s="1"/>
      <c r="AV52" s="1"/>
    </row>
    <row r="53" spans="1:65" ht="15.75" customHeight="1" x14ac:dyDescent="0.2">
      <c r="A53" s="20">
        <v>48</v>
      </c>
      <c r="B53" s="21">
        <v>22322563</v>
      </c>
      <c r="C53" s="22">
        <v>15.426333333333332</v>
      </c>
      <c r="D53" s="22"/>
      <c r="E53" s="22">
        <f t="shared" si="0"/>
        <v>15.022083333333335</v>
      </c>
      <c r="F53" s="22"/>
      <c r="G53" s="22">
        <f t="shared" si="1"/>
        <v>15.224208333333333</v>
      </c>
      <c r="H53" s="38"/>
      <c r="I53" s="35">
        <v>18</v>
      </c>
      <c r="J53" s="36">
        <v>15</v>
      </c>
      <c r="K53" s="36">
        <v>15.25</v>
      </c>
      <c r="L53" s="22">
        <f t="shared" si="5"/>
        <v>15.625</v>
      </c>
      <c r="M53" s="38"/>
      <c r="N53" s="38"/>
      <c r="O53" s="35">
        <v>10</v>
      </c>
      <c r="P53" s="35">
        <v>16</v>
      </c>
      <c r="Q53" s="35">
        <v>14</v>
      </c>
      <c r="R53" s="23">
        <f t="shared" si="6"/>
        <v>13.333333333333334</v>
      </c>
      <c r="S53" s="23"/>
      <c r="T53" s="23"/>
      <c r="U53" s="23">
        <v>16.260000000000002</v>
      </c>
      <c r="V53" s="23">
        <v>16.29</v>
      </c>
      <c r="W53" s="27">
        <f t="shared" si="2"/>
        <v>16.27</v>
      </c>
      <c r="X53" s="23">
        <f t="shared" si="7"/>
        <v>14.801666666666666</v>
      </c>
      <c r="Y53" s="39"/>
      <c r="Z53" s="40">
        <v>12.75</v>
      </c>
      <c r="AA53" s="41">
        <v>14</v>
      </c>
      <c r="AB53" s="23">
        <f t="shared" si="9"/>
        <v>13.375</v>
      </c>
      <c r="AC53" s="35">
        <v>14.1</v>
      </c>
      <c r="AD53" s="23">
        <v>16.3</v>
      </c>
      <c r="AE53" s="23">
        <v>14.3</v>
      </c>
      <c r="AF53" s="27">
        <f t="shared" si="10"/>
        <v>15.080000000000002</v>
      </c>
      <c r="AG53" s="35">
        <v>14.3</v>
      </c>
      <c r="AH53" s="36">
        <v>10</v>
      </c>
      <c r="AI53" s="27">
        <f t="shared" si="11"/>
        <v>12.15</v>
      </c>
      <c r="AJ53" s="35">
        <v>10</v>
      </c>
      <c r="AK53" s="27">
        <v>14.8</v>
      </c>
      <c r="AL53" s="27">
        <f t="shared" si="12"/>
        <v>12.4</v>
      </c>
      <c r="AM53" s="27">
        <v>20</v>
      </c>
      <c r="AN53" s="27">
        <v>16.850000000000001</v>
      </c>
      <c r="AO53" s="27">
        <f t="shared" si="13"/>
        <v>18.425000000000001</v>
      </c>
      <c r="AP53" s="23">
        <f t="shared" si="14"/>
        <v>14.286000000000001</v>
      </c>
      <c r="AQ53" s="35">
        <v>20</v>
      </c>
      <c r="AR53" s="52">
        <v>18.5</v>
      </c>
      <c r="AS53" s="35">
        <v>16</v>
      </c>
      <c r="AT53" s="23">
        <f t="shared" si="15"/>
        <v>17.9375</v>
      </c>
      <c r="AU53" s="1"/>
      <c r="AV53" s="1"/>
    </row>
    <row r="54" spans="1:65" ht="15.75" customHeight="1" x14ac:dyDescent="0.2">
      <c r="A54" s="20">
        <v>49</v>
      </c>
      <c r="B54" s="21">
        <v>22322558</v>
      </c>
      <c r="C54" s="22">
        <v>15.120117222222223</v>
      </c>
      <c r="D54" s="22"/>
      <c r="E54" s="22">
        <f t="shared" si="0"/>
        <v>15.407666666666668</v>
      </c>
      <c r="F54" s="22"/>
      <c r="G54" s="22">
        <f t="shared" si="1"/>
        <v>15.263891944444445</v>
      </c>
      <c r="H54" s="38"/>
      <c r="I54" s="35">
        <v>20</v>
      </c>
      <c r="J54" s="36">
        <v>20</v>
      </c>
      <c r="K54" s="36">
        <v>17.25</v>
      </c>
      <c r="L54" s="22">
        <f t="shared" si="5"/>
        <v>18.625</v>
      </c>
      <c r="M54" s="38"/>
      <c r="N54" s="38"/>
      <c r="O54" s="35">
        <v>8.5</v>
      </c>
      <c r="P54" s="35">
        <v>8.75</v>
      </c>
      <c r="Q54" s="35">
        <v>17</v>
      </c>
      <c r="R54" s="23">
        <f t="shared" si="6"/>
        <v>11.416666666666666</v>
      </c>
      <c r="S54" s="23"/>
      <c r="T54" s="23"/>
      <c r="U54" s="23">
        <v>16.27</v>
      </c>
      <c r="V54" s="23">
        <v>15.58</v>
      </c>
      <c r="W54" s="27">
        <f t="shared" si="2"/>
        <v>16.04</v>
      </c>
      <c r="X54" s="23">
        <f t="shared" si="7"/>
        <v>13.728333333333332</v>
      </c>
      <c r="Y54" s="39"/>
      <c r="Z54" s="35">
        <v>14.5</v>
      </c>
      <c r="AA54" s="36">
        <v>9.5</v>
      </c>
      <c r="AB54" s="23">
        <f t="shared" si="9"/>
        <v>12</v>
      </c>
      <c r="AC54" s="35">
        <v>13.1</v>
      </c>
      <c r="AD54" s="23">
        <v>15.4</v>
      </c>
      <c r="AE54" s="23">
        <v>12.4</v>
      </c>
      <c r="AF54" s="27">
        <f t="shared" si="10"/>
        <v>13.670000000000002</v>
      </c>
      <c r="AG54" s="35">
        <v>13.2</v>
      </c>
      <c r="AH54" s="36">
        <v>14.8</v>
      </c>
      <c r="AI54" s="27">
        <f t="shared" si="11"/>
        <v>14</v>
      </c>
      <c r="AJ54" s="35">
        <v>15</v>
      </c>
      <c r="AK54" s="27">
        <v>17.350000000000001</v>
      </c>
      <c r="AL54" s="27">
        <f t="shared" si="12"/>
        <v>16.175000000000001</v>
      </c>
      <c r="AM54" s="27">
        <v>20</v>
      </c>
      <c r="AN54" s="27">
        <v>16.8</v>
      </c>
      <c r="AO54" s="27">
        <f t="shared" si="13"/>
        <v>18.399999999999999</v>
      </c>
      <c r="AP54" s="23">
        <f t="shared" si="14"/>
        <v>14.849</v>
      </c>
      <c r="AQ54" s="35">
        <v>14</v>
      </c>
      <c r="AR54" s="44">
        <v>17</v>
      </c>
      <c r="AS54" s="36">
        <v>14</v>
      </c>
      <c r="AT54" s="23">
        <f t="shared" si="15"/>
        <v>15.125</v>
      </c>
      <c r="AU54" s="1"/>
      <c r="AV54" s="1"/>
    </row>
    <row r="55" spans="1:65" ht="15.75" customHeight="1" x14ac:dyDescent="0.2">
      <c r="A55" s="20">
        <v>50</v>
      </c>
      <c r="B55" s="21">
        <v>22322579</v>
      </c>
      <c r="C55" s="22">
        <v>15.504176111111111</v>
      </c>
      <c r="D55" s="22"/>
      <c r="E55" s="22">
        <f t="shared" si="0"/>
        <v>15.854083333333334</v>
      </c>
      <c r="F55" s="22"/>
      <c r="G55" s="22">
        <f t="shared" si="1"/>
        <v>15.679129722222221</v>
      </c>
      <c r="H55" s="38"/>
      <c r="I55" s="39">
        <v>20</v>
      </c>
      <c r="J55" s="37">
        <v>14.25</v>
      </c>
      <c r="K55" s="36">
        <v>14</v>
      </c>
      <c r="L55" s="22">
        <f t="shared" si="5"/>
        <v>15.083333333333334</v>
      </c>
      <c r="M55" s="38"/>
      <c r="N55" s="38"/>
      <c r="O55" s="35">
        <v>11.5</v>
      </c>
      <c r="P55" s="35">
        <v>18.75</v>
      </c>
      <c r="Q55" s="35">
        <v>19</v>
      </c>
      <c r="R55" s="23">
        <f t="shared" si="6"/>
        <v>16.416666666666668</v>
      </c>
      <c r="S55" s="23"/>
      <c r="T55" s="23"/>
      <c r="U55" s="23">
        <v>16.5</v>
      </c>
      <c r="V55" s="23">
        <v>15</v>
      </c>
      <c r="W55" s="27">
        <f t="shared" si="2"/>
        <v>16</v>
      </c>
      <c r="X55" s="23">
        <f t="shared" si="7"/>
        <v>16.208333333333336</v>
      </c>
      <c r="Y55" s="39"/>
      <c r="Z55" s="35">
        <v>11.5</v>
      </c>
      <c r="AA55" s="36">
        <v>13</v>
      </c>
      <c r="AB55" s="23">
        <f t="shared" si="9"/>
        <v>12.25</v>
      </c>
      <c r="AC55" s="35">
        <v>11.7</v>
      </c>
      <c r="AD55" s="23">
        <v>15</v>
      </c>
      <c r="AE55" s="23">
        <v>16.2</v>
      </c>
      <c r="AF55" s="27">
        <f t="shared" si="10"/>
        <v>15.27</v>
      </c>
      <c r="AG55" s="35">
        <v>12</v>
      </c>
      <c r="AH55" s="36">
        <v>16.5</v>
      </c>
      <c r="AI55" s="27">
        <f t="shared" si="11"/>
        <v>14.25</v>
      </c>
      <c r="AJ55" s="35">
        <v>13</v>
      </c>
      <c r="AK55" s="23">
        <v>17</v>
      </c>
      <c r="AL55" s="27">
        <f t="shared" si="12"/>
        <v>15</v>
      </c>
      <c r="AM55" s="23">
        <v>20</v>
      </c>
      <c r="AN55" s="23">
        <v>20</v>
      </c>
      <c r="AO55" s="27">
        <f t="shared" si="13"/>
        <v>20</v>
      </c>
      <c r="AP55" s="23">
        <f t="shared" si="14"/>
        <v>15.353999999999999</v>
      </c>
      <c r="AQ55" s="35">
        <v>19</v>
      </c>
      <c r="AR55" s="36">
        <v>19.5</v>
      </c>
      <c r="AS55" s="36">
        <v>19</v>
      </c>
      <c r="AT55" s="23">
        <f t="shared" si="15"/>
        <v>19.1875</v>
      </c>
      <c r="AU55" s="1"/>
      <c r="AV55" s="1"/>
    </row>
    <row r="56" spans="1:65" ht="15.75" customHeight="1" x14ac:dyDescent="0.2">
      <c r="A56" s="53">
        <v>51</v>
      </c>
      <c r="B56" s="21">
        <v>22322552</v>
      </c>
      <c r="C56" s="22">
        <v>16.203716111111113</v>
      </c>
      <c r="D56" s="22"/>
      <c r="E56" s="22">
        <f t="shared" si="0"/>
        <v>15.551500000000001</v>
      </c>
      <c r="F56" s="22"/>
      <c r="G56" s="22">
        <f t="shared" si="1"/>
        <v>15.877608055555557</v>
      </c>
      <c r="H56" s="38"/>
      <c r="I56" s="35">
        <v>20</v>
      </c>
      <c r="J56" s="36">
        <v>17.75</v>
      </c>
      <c r="K56" s="36">
        <v>16.75</v>
      </c>
      <c r="L56" s="22">
        <f t="shared" si="5"/>
        <v>17.625</v>
      </c>
      <c r="M56" s="38"/>
      <c r="N56" s="38"/>
      <c r="O56" s="35">
        <v>12</v>
      </c>
      <c r="P56" s="35">
        <v>10</v>
      </c>
      <c r="Q56" s="35">
        <v>13</v>
      </c>
      <c r="R56" s="23">
        <f t="shared" si="6"/>
        <v>11.666666666666666</v>
      </c>
      <c r="S56" s="23"/>
      <c r="T56" s="23"/>
      <c r="U56" s="23">
        <v>15.55</v>
      </c>
      <c r="V56" s="23">
        <v>18.8</v>
      </c>
      <c r="W56" s="27">
        <f t="shared" si="2"/>
        <v>16.633333333333336</v>
      </c>
      <c r="X56" s="23">
        <f t="shared" si="7"/>
        <v>14.150000000000002</v>
      </c>
      <c r="Y56" s="39"/>
      <c r="Z56" s="35">
        <v>14.25</v>
      </c>
      <c r="AA56" s="36">
        <v>15</v>
      </c>
      <c r="AB56" s="23">
        <f t="shared" si="9"/>
        <v>14.625</v>
      </c>
      <c r="AC56" s="35">
        <v>13</v>
      </c>
      <c r="AD56" s="23">
        <v>15.6</v>
      </c>
      <c r="AE56" s="23">
        <v>16.2</v>
      </c>
      <c r="AF56" s="27">
        <f t="shared" si="10"/>
        <v>15.64</v>
      </c>
      <c r="AG56" s="35">
        <v>12.6</v>
      </c>
      <c r="AH56" s="36">
        <v>9.8000000000000007</v>
      </c>
      <c r="AI56" s="27">
        <f t="shared" si="11"/>
        <v>11.2</v>
      </c>
      <c r="AJ56" s="35">
        <v>13</v>
      </c>
      <c r="AK56" s="23">
        <v>17</v>
      </c>
      <c r="AL56" s="27">
        <f t="shared" si="12"/>
        <v>15</v>
      </c>
      <c r="AM56" s="23">
        <v>20</v>
      </c>
      <c r="AN56" s="23">
        <v>19</v>
      </c>
      <c r="AO56" s="27">
        <f t="shared" si="13"/>
        <v>19.5</v>
      </c>
      <c r="AP56" s="23">
        <f t="shared" si="14"/>
        <v>15.193000000000001</v>
      </c>
      <c r="AQ56" s="35">
        <v>13</v>
      </c>
      <c r="AR56" s="36">
        <v>18</v>
      </c>
      <c r="AS56" s="36">
        <v>16</v>
      </c>
      <c r="AT56" s="23">
        <f t="shared" si="15"/>
        <v>16</v>
      </c>
      <c r="AU56" s="54"/>
      <c r="AV56" s="54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</row>
    <row r="57" spans="1:65" ht="15.75" customHeight="1" x14ac:dyDescent="0.2">
      <c r="A57" s="20">
        <v>52</v>
      </c>
      <c r="B57" s="21">
        <v>22322543</v>
      </c>
      <c r="C57" s="22">
        <v>16.226424000000002</v>
      </c>
      <c r="D57" s="22"/>
      <c r="E57" s="22">
        <f t="shared" si="0"/>
        <v>15.680349999999999</v>
      </c>
      <c r="F57" s="22"/>
      <c r="G57" s="22">
        <f t="shared" si="1"/>
        <v>15.953386999999999</v>
      </c>
      <c r="H57" s="38"/>
      <c r="I57" s="35">
        <v>18</v>
      </c>
      <c r="J57" s="36">
        <v>20</v>
      </c>
      <c r="K57" s="36">
        <v>18</v>
      </c>
      <c r="L57" s="22">
        <f t="shared" si="5"/>
        <v>18.666666666666668</v>
      </c>
      <c r="M57" s="38"/>
      <c r="N57" s="38"/>
      <c r="O57" s="35">
        <v>12.5</v>
      </c>
      <c r="P57" s="35">
        <v>18.75</v>
      </c>
      <c r="Q57" s="35">
        <v>12</v>
      </c>
      <c r="R57" s="23">
        <f t="shared" si="6"/>
        <v>14.416666666666666</v>
      </c>
      <c r="S57" s="23"/>
      <c r="T57" s="23"/>
      <c r="U57" s="23">
        <v>13.182</v>
      </c>
      <c r="V57" s="23">
        <v>14.364000000000001</v>
      </c>
      <c r="W57" s="27">
        <f t="shared" si="2"/>
        <v>13.576000000000001</v>
      </c>
      <c r="X57" s="23">
        <f t="shared" si="7"/>
        <v>13.996333333333332</v>
      </c>
      <c r="Y57" s="39"/>
      <c r="Z57" s="40">
        <v>16.5</v>
      </c>
      <c r="AA57" s="41">
        <v>10.75</v>
      </c>
      <c r="AB57" s="23">
        <f t="shared" si="9"/>
        <v>13.625</v>
      </c>
      <c r="AC57" s="35">
        <v>14.1</v>
      </c>
      <c r="AD57" s="23">
        <v>15.2</v>
      </c>
      <c r="AE57" s="23">
        <v>12.4</v>
      </c>
      <c r="AF57" s="27">
        <f t="shared" si="10"/>
        <v>13.690000000000001</v>
      </c>
      <c r="AG57" s="35">
        <v>13.2</v>
      </c>
      <c r="AH57" s="36">
        <v>15.5</v>
      </c>
      <c r="AI57" s="27">
        <f t="shared" si="11"/>
        <v>14.35</v>
      </c>
      <c r="AJ57" s="35">
        <v>15</v>
      </c>
      <c r="AK57" s="27">
        <v>19.5</v>
      </c>
      <c r="AL57" s="27">
        <f t="shared" si="12"/>
        <v>17.25</v>
      </c>
      <c r="AM57" s="27">
        <v>17</v>
      </c>
      <c r="AN57" s="27">
        <v>17.5</v>
      </c>
      <c r="AO57" s="27">
        <f t="shared" si="13"/>
        <v>17.25</v>
      </c>
      <c r="AP57" s="23">
        <f t="shared" si="14"/>
        <v>15.232999999999999</v>
      </c>
      <c r="AQ57" s="35">
        <v>17</v>
      </c>
      <c r="AR57" s="36">
        <v>16.5</v>
      </c>
      <c r="AS57" s="36">
        <v>13</v>
      </c>
      <c r="AT57" s="23">
        <f t="shared" si="15"/>
        <v>15.3125</v>
      </c>
      <c r="AU57" s="1"/>
      <c r="AV57" s="1"/>
    </row>
    <row r="58" spans="1:65" ht="15.75" customHeight="1" x14ac:dyDescent="0.2">
      <c r="A58" s="20">
        <v>53</v>
      </c>
      <c r="B58" s="21">
        <v>22322550</v>
      </c>
      <c r="C58" s="22">
        <v>16.69367888888889</v>
      </c>
      <c r="D58" s="22"/>
      <c r="E58" s="22">
        <f t="shared" si="0"/>
        <v>15.592999999999998</v>
      </c>
      <c r="F58" s="22"/>
      <c r="G58" s="22">
        <f t="shared" si="1"/>
        <v>16.143339444444443</v>
      </c>
      <c r="H58" s="38"/>
      <c r="I58" s="35">
        <v>20</v>
      </c>
      <c r="J58" s="36">
        <v>20</v>
      </c>
      <c r="K58" s="36">
        <v>17</v>
      </c>
      <c r="L58" s="22">
        <f t="shared" si="5"/>
        <v>18.5</v>
      </c>
      <c r="M58" s="38"/>
      <c r="N58" s="38"/>
      <c r="O58" s="35">
        <v>18.75</v>
      </c>
      <c r="P58" s="35">
        <v>10.25</v>
      </c>
      <c r="Q58" s="35">
        <v>14</v>
      </c>
      <c r="R58" s="23">
        <f t="shared" si="6"/>
        <v>14.333333333333334</v>
      </c>
      <c r="S58" s="23"/>
      <c r="T58" s="23"/>
      <c r="U58" s="23">
        <v>15.5</v>
      </c>
      <c r="V58" s="23">
        <v>16.239999999999998</v>
      </c>
      <c r="W58" s="27">
        <f t="shared" si="2"/>
        <v>15.746666666666664</v>
      </c>
      <c r="X58" s="23">
        <f t="shared" si="7"/>
        <v>15.04</v>
      </c>
      <c r="Y58" s="39"/>
      <c r="Z58" s="35">
        <v>15</v>
      </c>
      <c r="AA58" s="36">
        <v>14</v>
      </c>
      <c r="AB58" s="23">
        <f t="shared" si="9"/>
        <v>14.5</v>
      </c>
      <c r="AC58" s="35">
        <v>13.4</v>
      </c>
      <c r="AD58" s="23">
        <v>17.899999999999999</v>
      </c>
      <c r="AE58" s="23">
        <v>11.4</v>
      </c>
      <c r="AF58" s="27">
        <f t="shared" si="10"/>
        <v>14.2</v>
      </c>
      <c r="AG58" s="35">
        <v>11.5</v>
      </c>
      <c r="AH58" s="36">
        <v>9.8000000000000007</v>
      </c>
      <c r="AI58" s="27">
        <f t="shared" si="11"/>
        <v>10.65</v>
      </c>
      <c r="AJ58" s="35">
        <v>11</v>
      </c>
      <c r="AK58" s="27">
        <v>19.5</v>
      </c>
      <c r="AL58" s="27">
        <f t="shared" si="12"/>
        <v>15.25</v>
      </c>
      <c r="AM58" s="27">
        <v>20</v>
      </c>
      <c r="AN58" s="27">
        <v>16</v>
      </c>
      <c r="AO58" s="27">
        <f t="shared" si="13"/>
        <v>18</v>
      </c>
      <c r="AP58" s="23">
        <f t="shared" si="14"/>
        <v>14.52</v>
      </c>
      <c r="AQ58" s="35">
        <v>18.5</v>
      </c>
      <c r="AR58" s="36">
        <v>18</v>
      </c>
      <c r="AS58" s="36">
        <v>13</v>
      </c>
      <c r="AT58" s="23">
        <f t="shared" si="15"/>
        <v>16.25</v>
      </c>
      <c r="AU58" s="1"/>
      <c r="AV58" s="1"/>
    </row>
    <row r="59" spans="1:65" ht="15.75" customHeight="1" x14ac:dyDescent="0.2">
      <c r="A59" s="20">
        <v>54</v>
      </c>
      <c r="B59" s="21">
        <v>22322628</v>
      </c>
      <c r="C59" s="22">
        <v>16.18496277777778</v>
      </c>
      <c r="D59" s="22"/>
      <c r="E59" s="22">
        <f t="shared" si="0"/>
        <v>16.767666666666667</v>
      </c>
      <c r="F59" s="22"/>
      <c r="G59" s="22">
        <f t="shared" si="1"/>
        <v>16.476314722222224</v>
      </c>
      <c r="H59" s="38"/>
      <c r="I59" s="35">
        <v>18</v>
      </c>
      <c r="J59" s="36">
        <v>20</v>
      </c>
      <c r="K59" s="36">
        <v>16.75</v>
      </c>
      <c r="L59" s="22">
        <f t="shared" si="5"/>
        <v>18.041666666666668</v>
      </c>
      <c r="M59" s="38"/>
      <c r="N59" s="38"/>
      <c r="O59" s="35">
        <v>13</v>
      </c>
      <c r="P59" s="35">
        <v>20</v>
      </c>
      <c r="Q59" s="35">
        <v>10</v>
      </c>
      <c r="R59" s="23">
        <f t="shared" si="6"/>
        <v>14.333333333333334</v>
      </c>
      <c r="S59" s="23"/>
      <c r="T59" s="23"/>
      <c r="U59" s="23">
        <v>15.63</v>
      </c>
      <c r="V59" s="23">
        <v>17.55</v>
      </c>
      <c r="W59" s="27">
        <f t="shared" si="2"/>
        <v>16.27</v>
      </c>
      <c r="X59" s="23">
        <f t="shared" si="7"/>
        <v>15.301666666666666</v>
      </c>
      <c r="Y59" s="39"/>
      <c r="Z59" s="35">
        <v>15.75</v>
      </c>
      <c r="AA59" s="36">
        <v>19.5</v>
      </c>
      <c r="AB59" s="23">
        <f t="shared" si="9"/>
        <v>17.625</v>
      </c>
      <c r="AC59" s="35">
        <v>14.8</v>
      </c>
      <c r="AD59" s="23">
        <v>17.899999999999999</v>
      </c>
      <c r="AE59" s="23">
        <v>13.3</v>
      </c>
      <c r="AF59" s="27">
        <f t="shared" si="10"/>
        <v>15.290000000000001</v>
      </c>
      <c r="AG59" s="35">
        <v>10.9</v>
      </c>
      <c r="AH59" s="36">
        <v>16.5</v>
      </c>
      <c r="AI59" s="27">
        <f t="shared" si="11"/>
        <v>13.7</v>
      </c>
      <c r="AJ59" s="35">
        <v>19.5</v>
      </c>
      <c r="AK59" s="27">
        <v>16.5</v>
      </c>
      <c r="AL59" s="27">
        <f t="shared" si="12"/>
        <v>18</v>
      </c>
      <c r="AM59" s="27">
        <v>20</v>
      </c>
      <c r="AN59" s="27">
        <v>20</v>
      </c>
      <c r="AO59" s="27">
        <f t="shared" si="13"/>
        <v>20</v>
      </c>
      <c r="AP59" s="23">
        <f t="shared" si="14"/>
        <v>16.922999999999998</v>
      </c>
      <c r="AQ59" s="35">
        <v>17.5</v>
      </c>
      <c r="AR59" s="36">
        <v>15</v>
      </c>
      <c r="AS59" s="36">
        <v>17</v>
      </c>
      <c r="AT59" s="23">
        <f t="shared" si="15"/>
        <v>16.375</v>
      </c>
      <c r="AU59" s="1"/>
      <c r="AV59" s="1"/>
    </row>
    <row r="60" spans="1:65" ht="15.75" customHeight="1" x14ac:dyDescent="0.2">
      <c r="A60" s="20">
        <v>55</v>
      </c>
      <c r="B60" s="21">
        <v>22322611</v>
      </c>
      <c r="C60" s="22">
        <v>16.242118444444444</v>
      </c>
      <c r="D60" s="22"/>
      <c r="E60" s="22">
        <f t="shared" si="0"/>
        <v>16.816700000000001</v>
      </c>
      <c r="F60" s="22"/>
      <c r="G60" s="22">
        <f t="shared" si="1"/>
        <v>16.52940922222222</v>
      </c>
      <c r="H60" s="38"/>
      <c r="I60" s="35">
        <v>20</v>
      </c>
      <c r="J60" s="36">
        <v>13.75</v>
      </c>
      <c r="K60" s="36">
        <v>19</v>
      </c>
      <c r="L60" s="22">
        <f t="shared" si="5"/>
        <v>17.416666666666668</v>
      </c>
      <c r="M60" s="38"/>
      <c r="N60" s="38"/>
      <c r="O60" s="35">
        <v>19.25</v>
      </c>
      <c r="P60" s="35">
        <v>20</v>
      </c>
      <c r="Q60" s="35">
        <v>16</v>
      </c>
      <c r="R60" s="23">
        <f t="shared" si="6"/>
        <v>18.416666666666668</v>
      </c>
      <c r="S60" s="23"/>
      <c r="T60" s="23"/>
      <c r="U60" s="23">
        <v>16.727</v>
      </c>
      <c r="V60" s="23">
        <v>18.181999999999999</v>
      </c>
      <c r="W60" s="27">
        <f t="shared" si="2"/>
        <v>17.212</v>
      </c>
      <c r="X60" s="23">
        <f t="shared" si="7"/>
        <v>17.814333333333334</v>
      </c>
      <c r="Y60" s="39"/>
      <c r="Z60" s="40">
        <v>16</v>
      </c>
      <c r="AA60" s="41">
        <v>12.25</v>
      </c>
      <c r="AB60" s="23">
        <f t="shared" si="9"/>
        <v>14.125</v>
      </c>
      <c r="AC60" s="35">
        <v>16.8</v>
      </c>
      <c r="AD60" s="23">
        <v>18</v>
      </c>
      <c r="AE60" s="23">
        <v>13.4</v>
      </c>
      <c r="AF60" s="27">
        <f t="shared" si="10"/>
        <v>15.580000000000002</v>
      </c>
      <c r="AG60" s="35">
        <v>15.5</v>
      </c>
      <c r="AH60" s="36">
        <v>15.5</v>
      </c>
      <c r="AI60" s="27">
        <f t="shared" si="11"/>
        <v>15.5</v>
      </c>
      <c r="AJ60" s="35">
        <v>12</v>
      </c>
      <c r="AK60" s="27">
        <v>18.5</v>
      </c>
      <c r="AL60" s="27">
        <f t="shared" si="12"/>
        <v>15.25</v>
      </c>
      <c r="AM60" s="27">
        <v>20</v>
      </c>
      <c r="AN60" s="27">
        <v>18.5</v>
      </c>
      <c r="AO60" s="27">
        <f t="shared" si="13"/>
        <v>19.25</v>
      </c>
      <c r="AP60" s="23">
        <f t="shared" si="14"/>
        <v>15.940999999999999</v>
      </c>
      <c r="AQ60" s="35">
        <v>19.5</v>
      </c>
      <c r="AR60" s="36">
        <v>17.5</v>
      </c>
      <c r="AS60" s="36">
        <v>17.5</v>
      </c>
      <c r="AT60" s="23">
        <f t="shared" si="15"/>
        <v>18</v>
      </c>
      <c r="AU60" s="1"/>
      <c r="AV60" s="1"/>
    </row>
    <row r="61" spans="1:65" ht="15.75" customHeight="1" x14ac:dyDescent="0.2">
      <c r="A61" s="20">
        <v>56</v>
      </c>
      <c r="B61" s="21">
        <v>22322624</v>
      </c>
      <c r="C61" s="22">
        <v>16.697577222222222</v>
      </c>
      <c r="D61" s="22"/>
      <c r="E61" s="22">
        <f t="shared" si="0"/>
        <v>16.641283333333334</v>
      </c>
      <c r="F61" s="22"/>
      <c r="G61" s="22">
        <f t="shared" si="1"/>
        <v>16.669430277777778</v>
      </c>
      <c r="H61" s="38"/>
      <c r="I61" s="35">
        <v>20</v>
      </c>
      <c r="J61" s="36">
        <v>19.75</v>
      </c>
      <c r="K61" s="36">
        <v>17.5</v>
      </c>
      <c r="L61" s="22">
        <f t="shared" si="5"/>
        <v>18.666666666666668</v>
      </c>
      <c r="M61" s="38"/>
      <c r="N61" s="38"/>
      <c r="O61" s="35">
        <v>14.5</v>
      </c>
      <c r="P61" s="35">
        <v>15</v>
      </c>
      <c r="Q61" s="35">
        <v>19</v>
      </c>
      <c r="R61" s="23">
        <f t="shared" si="6"/>
        <v>16.166666666666668</v>
      </c>
      <c r="S61" s="23"/>
      <c r="T61" s="23"/>
      <c r="U61" s="23">
        <v>17.318000000000001</v>
      </c>
      <c r="V61" s="23">
        <v>17.954999999999998</v>
      </c>
      <c r="W61" s="27">
        <f t="shared" si="2"/>
        <v>17.530333333333335</v>
      </c>
      <c r="X61" s="23">
        <f t="shared" si="7"/>
        <v>16.848500000000001</v>
      </c>
      <c r="Y61" s="39"/>
      <c r="Z61" s="40">
        <v>16</v>
      </c>
      <c r="AA61" s="41">
        <v>12.75</v>
      </c>
      <c r="AB61" s="23">
        <f t="shared" si="9"/>
        <v>14.375</v>
      </c>
      <c r="AC61" s="35">
        <v>16.600000000000001</v>
      </c>
      <c r="AD61" s="23">
        <v>13.4</v>
      </c>
      <c r="AE61" s="23">
        <v>12.4</v>
      </c>
      <c r="AF61" s="27">
        <f t="shared" si="10"/>
        <v>13.22</v>
      </c>
      <c r="AG61" s="35">
        <v>13.2</v>
      </c>
      <c r="AH61" s="36">
        <v>15.5</v>
      </c>
      <c r="AI61" s="27">
        <f t="shared" si="11"/>
        <v>14.35</v>
      </c>
      <c r="AJ61" s="35">
        <v>17.5</v>
      </c>
      <c r="AK61" s="27">
        <v>20</v>
      </c>
      <c r="AL61" s="27">
        <f t="shared" si="12"/>
        <v>18.75</v>
      </c>
      <c r="AM61" s="27">
        <v>18</v>
      </c>
      <c r="AN61" s="27">
        <v>19.5</v>
      </c>
      <c r="AO61" s="27">
        <f t="shared" si="13"/>
        <v>18.75</v>
      </c>
      <c r="AP61" s="23">
        <f t="shared" si="14"/>
        <v>15.888999999999999</v>
      </c>
      <c r="AQ61" s="35">
        <v>18</v>
      </c>
      <c r="AR61" s="36">
        <v>16.5</v>
      </c>
      <c r="AS61" s="36">
        <v>14</v>
      </c>
      <c r="AT61" s="23">
        <f t="shared" si="15"/>
        <v>15.9375</v>
      </c>
      <c r="AU61" s="1"/>
      <c r="AV61" s="1"/>
    </row>
    <row r="62" spans="1:65" ht="15.75" customHeight="1" x14ac:dyDescent="0.2">
      <c r="A62" s="20">
        <v>57</v>
      </c>
      <c r="B62" s="21">
        <v>22322564</v>
      </c>
      <c r="C62" s="22">
        <v>17.113549444444445</v>
      </c>
      <c r="D62" s="22"/>
      <c r="E62" s="22">
        <f t="shared" si="0"/>
        <v>17.026583333333335</v>
      </c>
      <c r="F62" s="22"/>
      <c r="G62" s="22">
        <f t="shared" si="1"/>
        <v>17.07006638888889</v>
      </c>
      <c r="H62" s="38"/>
      <c r="I62" s="35">
        <v>20</v>
      </c>
      <c r="J62" s="36">
        <v>18.75</v>
      </c>
      <c r="K62" s="36">
        <v>17.75</v>
      </c>
      <c r="L62" s="22">
        <f t="shared" si="5"/>
        <v>18.458333333333332</v>
      </c>
      <c r="M62" s="38"/>
      <c r="N62" s="38"/>
      <c r="O62" s="35">
        <v>17.5</v>
      </c>
      <c r="P62" s="35">
        <v>18</v>
      </c>
      <c r="Q62" s="35">
        <v>17</v>
      </c>
      <c r="R62" s="23">
        <f t="shared" si="6"/>
        <v>17.5</v>
      </c>
      <c r="S62" s="23"/>
      <c r="T62" s="23"/>
      <c r="U62" s="23">
        <v>17.5</v>
      </c>
      <c r="V62" s="23">
        <v>18.045000000000002</v>
      </c>
      <c r="W62" s="27">
        <f t="shared" si="2"/>
        <v>17.681666666666668</v>
      </c>
      <c r="X62" s="23">
        <f t="shared" si="7"/>
        <v>17.590833333333336</v>
      </c>
      <c r="Y62" s="39"/>
      <c r="Z62" s="40">
        <v>16</v>
      </c>
      <c r="AA62" s="41">
        <v>13.25</v>
      </c>
      <c r="AB62" s="23">
        <f t="shared" si="9"/>
        <v>14.625</v>
      </c>
      <c r="AC62" s="35">
        <v>17.7</v>
      </c>
      <c r="AD62" s="23">
        <v>16.899999999999999</v>
      </c>
      <c r="AE62" s="23">
        <v>12.4</v>
      </c>
      <c r="AF62" s="27">
        <f t="shared" si="10"/>
        <v>14.73</v>
      </c>
      <c r="AG62" s="35">
        <v>16</v>
      </c>
      <c r="AH62" s="36">
        <v>15.5</v>
      </c>
      <c r="AI62" s="27">
        <f t="shared" si="11"/>
        <v>15.75</v>
      </c>
      <c r="AJ62" s="35">
        <v>17.5</v>
      </c>
      <c r="AK62" s="27">
        <v>20</v>
      </c>
      <c r="AL62" s="27">
        <f t="shared" si="12"/>
        <v>18.75</v>
      </c>
      <c r="AM62" s="27">
        <v>20</v>
      </c>
      <c r="AN62" s="27">
        <v>18.5</v>
      </c>
      <c r="AO62" s="27">
        <f t="shared" si="13"/>
        <v>19.25</v>
      </c>
      <c r="AP62" s="23">
        <f t="shared" si="14"/>
        <v>16.621000000000002</v>
      </c>
      <c r="AQ62" s="35">
        <v>17.5</v>
      </c>
      <c r="AR62" s="36">
        <v>14.5</v>
      </c>
      <c r="AS62" s="36">
        <v>14</v>
      </c>
      <c r="AT62" s="23">
        <f t="shared" si="15"/>
        <v>15.0625</v>
      </c>
      <c r="AU62" s="1"/>
      <c r="AV62" s="1"/>
    </row>
    <row r="63" spans="1:65" ht="15.75" customHeight="1" x14ac:dyDescent="0.2">
      <c r="A63" s="20">
        <v>58</v>
      </c>
      <c r="B63" s="21">
        <v>22322555</v>
      </c>
      <c r="C63" s="22">
        <v>17.812410555555555</v>
      </c>
      <c r="D63" s="22"/>
      <c r="E63" s="22">
        <f t="shared" si="0"/>
        <v>17.253916666666669</v>
      </c>
      <c r="F63" s="22"/>
      <c r="G63" s="22">
        <f t="shared" si="1"/>
        <v>17.533163611111114</v>
      </c>
      <c r="H63" s="38"/>
      <c r="I63" s="35">
        <v>20</v>
      </c>
      <c r="J63" s="36">
        <v>20</v>
      </c>
      <c r="K63" s="36">
        <v>17.25</v>
      </c>
      <c r="L63" s="22">
        <f t="shared" si="5"/>
        <v>18.625</v>
      </c>
      <c r="M63" s="38"/>
      <c r="N63" s="38"/>
      <c r="O63" s="35">
        <v>19</v>
      </c>
      <c r="P63" s="35">
        <v>19.5</v>
      </c>
      <c r="Q63" s="35">
        <v>20</v>
      </c>
      <c r="R63" s="23">
        <f t="shared" si="6"/>
        <v>19.5</v>
      </c>
      <c r="S63" s="23"/>
      <c r="T63" s="23"/>
      <c r="U63" s="23">
        <v>16.809999999999999</v>
      </c>
      <c r="V63" s="23">
        <v>14.64</v>
      </c>
      <c r="W63" s="27">
        <f t="shared" si="2"/>
        <v>16.086666666666666</v>
      </c>
      <c r="X63" s="23">
        <f t="shared" si="7"/>
        <v>17.793333333333333</v>
      </c>
      <c r="Y63" s="39"/>
      <c r="Z63" s="35">
        <v>15</v>
      </c>
      <c r="AA63" s="36">
        <v>16.25</v>
      </c>
      <c r="AB63" s="23">
        <f t="shared" si="9"/>
        <v>15.625</v>
      </c>
      <c r="AC63" s="35">
        <v>14.2</v>
      </c>
      <c r="AD63" s="23">
        <v>16.8</v>
      </c>
      <c r="AE63" s="23">
        <v>11.4</v>
      </c>
      <c r="AF63" s="27">
        <f t="shared" si="10"/>
        <v>13.84</v>
      </c>
      <c r="AG63" s="35">
        <v>12.6</v>
      </c>
      <c r="AH63" s="36">
        <v>16.5</v>
      </c>
      <c r="AI63" s="27">
        <f t="shared" si="11"/>
        <v>14.55</v>
      </c>
      <c r="AJ63" s="35">
        <v>18</v>
      </c>
      <c r="AK63" s="27">
        <v>17.5</v>
      </c>
      <c r="AL63" s="27">
        <f t="shared" si="12"/>
        <v>17.75</v>
      </c>
      <c r="AM63" s="27">
        <v>20</v>
      </c>
      <c r="AN63" s="27">
        <v>20</v>
      </c>
      <c r="AO63" s="27">
        <f t="shared" si="13"/>
        <v>20</v>
      </c>
      <c r="AP63" s="23">
        <f t="shared" si="14"/>
        <v>16.353000000000002</v>
      </c>
      <c r="AQ63" s="35">
        <v>20</v>
      </c>
      <c r="AR63" s="36">
        <v>17.5</v>
      </c>
      <c r="AS63" s="36">
        <v>17</v>
      </c>
      <c r="AT63" s="23">
        <f t="shared" si="15"/>
        <v>17.9375</v>
      </c>
      <c r="AU63" s="1"/>
      <c r="AV63" s="1"/>
    </row>
    <row r="64" spans="1:65" ht="15.75" customHeight="1" x14ac:dyDescent="0.2">
      <c r="A64" s="20">
        <v>59</v>
      </c>
      <c r="B64" s="21">
        <v>22322548</v>
      </c>
      <c r="C64" s="22">
        <v>18.370382777777778</v>
      </c>
      <c r="D64" s="22"/>
      <c r="E64" s="22">
        <f t="shared" si="0"/>
        <v>16.975250000000003</v>
      </c>
      <c r="F64" s="22"/>
      <c r="G64" s="22">
        <f t="shared" si="1"/>
        <v>17.67281638888889</v>
      </c>
      <c r="H64" s="38"/>
      <c r="I64" s="35">
        <v>20</v>
      </c>
      <c r="J64" s="36">
        <v>20</v>
      </c>
      <c r="K64" s="36">
        <v>19</v>
      </c>
      <c r="L64" s="22">
        <f t="shared" si="5"/>
        <v>19.5</v>
      </c>
      <c r="M64" s="38"/>
      <c r="N64" s="38"/>
      <c r="O64" s="35">
        <v>20</v>
      </c>
      <c r="P64" s="35">
        <v>20</v>
      </c>
      <c r="Q64" s="35">
        <v>16</v>
      </c>
      <c r="R64" s="23">
        <f t="shared" si="6"/>
        <v>18.666666666666668</v>
      </c>
      <c r="S64" s="23"/>
      <c r="T64" s="23"/>
      <c r="U64" s="23">
        <v>17.3</v>
      </c>
      <c r="V64" s="23">
        <v>15.45</v>
      </c>
      <c r="W64" s="27">
        <f t="shared" si="2"/>
        <v>16.683333333333334</v>
      </c>
      <c r="X64" s="23">
        <f t="shared" si="7"/>
        <v>17.675000000000001</v>
      </c>
      <c r="Y64" s="39"/>
      <c r="Z64" s="35">
        <v>14</v>
      </c>
      <c r="AA64" s="36">
        <v>11</v>
      </c>
      <c r="AB64" s="23">
        <f t="shared" si="9"/>
        <v>12.5</v>
      </c>
      <c r="AC64" s="35">
        <v>16.2</v>
      </c>
      <c r="AD64" s="23">
        <v>18.3</v>
      </c>
      <c r="AE64" s="23">
        <v>10.5</v>
      </c>
      <c r="AF64" s="27">
        <f t="shared" si="10"/>
        <v>14.190000000000001</v>
      </c>
      <c r="AG64" s="35">
        <v>13.2</v>
      </c>
      <c r="AH64" s="36">
        <v>18.8</v>
      </c>
      <c r="AI64" s="27">
        <f t="shared" si="11"/>
        <v>16</v>
      </c>
      <c r="AJ64" s="35">
        <v>17</v>
      </c>
      <c r="AK64" s="27">
        <v>18.75</v>
      </c>
      <c r="AL64" s="27">
        <f t="shared" si="12"/>
        <v>17.875</v>
      </c>
      <c r="AM64" s="27">
        <v>16</v>
      </c>
      <c r="AN64" s="27">
        <v>19.05</v>
      </c>
      <c r="AO64" s="27">
        <f t="shared" si="13"/>
        <v>17.524999999999999</v>
      </c>
      <c r="AP64" s="23">
        <f t="shared" si="14"/>
        <v>15.618</v>
      </c>
      <c r="AQ64" s="35">
        <v>19</v>
      </c>
      <c r="AR64" s="36">
        <v>19</v>
      </c>
      <c r="AS64" s="36">
        <v>14.5</v>
      </c>
      <c r="AT64" s="23">
        <f t="shared" si="15"/>
        <v>17.3125</v>
      </c>
      <c r="AU64" s="1"/>
      <c r="AV64" s="1"/>
    </row>
    <row r="65" spans="1:48" ht="15.75" customHeight="1" x14ac:dyDescent="0.2">
      <c r="A65" s="20">
        <v>60</v>
      </c>
      <c r="B65" s="21">
        <v>22322574</v>
      </c>
      <c r="C65" s="22">
        <v>18.304645000000001</v>
      </c>
      <c r="D65" s="22"/>
      <c r="E65" s="22">
        <f t="shared" si="0"/>
        <v>17.617916666666666</v>
      </c>
      <c r="F65" s="22"/>
      <c r="G65" s="22">
        <f t="shared" si="1"/>
        <v>17.961280833333333</v>
      </c>
      <c r="H65" s="38"/>
      <c r="I65" s="35">
        <v>20</v>
      </c>
      <c r="J65" s="36">
        <v>20</v>
      </c>
      <c r="K65" s="36">
        <v>19.5</v>
      </c>
      <c r="L65" s="22">
        <f t="shared" si="5"/>
        <v>19.75</v>
      </c>
      <c r="M65" s="38"/>
      <c r="N65" s="38"/>
      <c r="O65" s="35">
        <v>20</v>
      </c>
      <c r="P65" s="35">
        <v>19.5</v>
      </c>
      <c r="Q65" s="35">
        <v>12</v>
      </c>
      <c r="R65" s="23">
        <f t="shared" si="6"/>
        <v>17.166666666666668</v>
      </c>
      <c r="S65" s="23"/>
      <c r="T65" s="23"/>
      <c r="U65" s="23">
        <v>15.63</v>
      </c>
      <c r="V65" s="23">
        <v>17.55</v>
      </c>
      <c r="W65" s="27">
        <f t="shared" si="2"/>
        <v>16.27</v>
      </c>
      <c r="X65" s="23">
        <f t="shared" si="7"/>
        <v>16.718333333333334</v>
      </c>
      <c r="Y65" s="39"/>
      <c r="Z65" s="35">
        <v>14.75</v>
      </c>
      <c r="AA65" s="36">
        <v>19.5</v>
      </c>
      <c r="AB65" s="23">
        <f t="shared" si="9"/>
        <v>17.125</v>
      </c>
      <c r="AC65" s="35">
        <v>12.5</v>
      </c>
      <c r="AD65" s="23">
        <v>16.2</v>
      </c>
      <c r="AE65" s="23">
        <v>18.100000000000001</v>
      </c>
      <c r="AF65" s="27">
        <f t="shared" si="10"/>
        <v>16.78</v>
      </c>
      <c r="AG65" s="35">
        <v>13.8</v>
      </c>
      <c r="AH65" s="36">
        <v>16.5</v>
      </c>
      <c r="AI65" s="27">
        <f t="shared" si="11"/>
        <v>15.15</v>
      </c>
      <c r="AJ65" s="35">
        <v>20</v>
      </c>
      <c r="AK65" s="27">
        <v>17.5</v>
      </c>
      <c r="AL65" s="27">
        <f t="shared" si="12"/>
        <v>18.75</v>
      </c>
      <c r="AM65" s="27">
        <v>20</v>
      </c>
      <c r="AN65" s="27">
        <v>20</v>
      </c>
      <c r="AO65" s="27">
        <f t="shared" si="13"/>
        <v>20</v>
      </c>
      <c r="AP65" s="23">
        <f t="shared" si="14"/>
        <v>17.561</v>
      </c>
      <c r="AQ65" s="35">
        <v>17.5</v>
      </c>
      <c r="AR65" s="36">
        <v>18</v>
      </c>
      <c r="AS65" s="36">
        <v>11.5</v>
      </c>
      <c r="AT65" s="23">
        <f t="shared" si="15"/>
        <v>15.4375</v>
      </c>
      <c r="AU65" s="1"/>
      <c r="AV65" s="1"/>
    </row>
    <row r="75" spans="1:48" ht="15.75" customHeight="1" x14ac:dyDescent="0.2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7"/>
      <c r="M75" s="57"/>
      <c r="N75" s="57"/>
      <c r="O75" s="56"/>
      <c r="P75" s="56"/>
      <c r="Q75" s="56"/>
      <c r="R75" s="56"/>
      <c r="S75" s="56"/>
      <c r="T75" s="56"/>
      <c r="U75" s="56"/>
      <c r="V75" s="56"/>
      <c r="W75" s="57"/>
      <c r="X75" s="56"/>
      <c r="Y75" s="56"/>
      <c r="Z75" s="56"/>
      <c r="AA75" s="57"/>
      <c r="AB75" s="56"/>
      <c r="AC75" s="56"/>
      <c r="AD75" s="56"/>
      <c r="AE75" s="56"/>
      <c r="AF75" s="56"/>
      <c r="AG75" s="57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1"/>
      <c r="AV75" s="1"/>
    </row>
    <row r="76" spans="1:48" ht="15.75" customHeight="1" x14ac:dyDescent="0.2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7"/>
      <c r="M76" s="57"/>
      <c r="N76" s="57"/>
      <c r="O76" s="56"/>
      <c r="P76" s="56"/>
      <c r="Q76" s="56"/>
      <c r="R76" s="56"/>
      <c r="S76" s="56"/>
      <c r="T76" s="56"/>
      <c r="U76" s="56"/>
      <c r="V76" s="56"/>
      <c r="W76" s="57"/>
      <c r="X76" s="56"/>
      <c r="Y76" s="56"/>
      <c r="Z76" s="56"/>
      <c r="AA76" s="57"/>
      <c r="AB76" s="56"/>
      <c r="AC76" s="56"/>
      <c r="AD76" s="56"/>
      <c r="AE76" s="56"/>
      <c r="AF76" s="56"/>
      <c r="AG76" s="57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1"/>
      <c r="AV76" s="1"/>
    </row>
    <row r="77" spans="1:48" ht="15.75" customHeight="1" x14ac:dyDescent="0.2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7"/>
      <c r="M77" s="57"/>
      <c r="N77" s="57"/>
      <c r="O77" s="56"/>
      <c r="P77" s="56"/>
      <c r="Q77" s="56"/>
      <c r="R77" s="56"/>
      <c r="S77" s="56"/>
      <c r="T77" s="56"/>
      <c r="U77" s="56"/>
      <c r="V77" s="56"/>
      <c r="W77" s="57"/>
      <c r="X77" s="56"/>
      <c r="Y77" s="56"/>
      <c r="Z77" s="56"/>
      <c r="AA77" s="57"/>
      <c r="AB77" s="56"/>
      <c r="AC77" s="56"/>
      <c r="AD77" s="56"/>
      <c r="AE77" s="56"/>
      <c r="AF77" s="56"/>
      <c r="AG77" s="57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1"/>
      <c r="AV77" s="1"/>
    </row>
    <row r="78" spans="1:48" ht="15.75" customHeight="1" x14ac:dyDescent="0.2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7"/>
      <c r="M78" s="57"/>
      <c r="N78" s="57"/>
      <c r="O78" s="56"/>
      <c r="P78" s="56"/>
      <c r="Q78" s="56"/>
      <c r="R78" s="56"/>
      <c r="S78" s="56"/>
      <c r="T78" s="56"/>
      <c r="U78" s="56"/>
      <c r="V78" s="56"/>
      <c r="W78" s="57"/>
      <c r="X78" s="56"/>
      <c r="Y78" s="56"/>
      <c r="Z78" s="56"/>
      <c r="AA78" s="57"/>
      <c r="AB78" s="56"/>
      <c r="AC78" s="56"/>
      <c r="AD78" s="56"/>
      <c r="AE78" s="56"/>
      <c r="AF78" s="56"/>
      <c r="AG78" s="57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1"/>
      <c r="AV78" s="1"/>
    </row>
    <row r="79" spans="1:48" ht="15.75" customHeight="1" x14ac:dyDescent="0.2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7"/>
      <c r="M79" s="57"/>
      <c r="N79" s="57"/>
      <c r="O79" s="56"/>
      <c r="P79" s="56"/>
      <c r="Q79" s="56"/>
      <c r="R79" s="56"/>
      <c r="S79" s="56"/>
      <c r="T79" s="56"/>
      <c r="U79" s="56"/>
      <c r="V79" s="56"/>
      <c r="W79" s="57"/>
      <c r="X79" s="56"/>
      <c r="Y79" s="56"/>
      <c r="Z79" s="56"/>
      <c r="AA79" s="57"/>
      <c r="AB79" s="56"/>
      <c r="AC79" s="56"/>
      <c r="AD79" s="56"/>
      <c r="AE79" s="56"/>
      <c r="AF79" s="56"/>
      <c r="AG79" s="57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1"/>
      <c r="AV79" s="1"/>
    </row>
    <row r="80" spans="1:48" ht="15.75" customHeight="1" x14ac:dyDescent="0.2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7"/>
      <c r="M80" s="57"/>
      <c r="N80" s="57"/>
      <c r="O80" s="56"/>
      <c r="P80" s="56"/>
      <c r="Q80" s="56"/>
      <c r="R80" s="56"/>
      <c r="S80" s="56"/>
      <c r="T80" s="56"/>
      <c r="U80" s="56"/>
      <c r="V80" s="56"/>
      <c r="W80" s="57"/>
      <c r="X80" s="56"/>
      <c r="Y80" s="56"/>
      <c r="Z80" s="56"/>
      <c r="AA80" s="57"/>
      <c r="AB80" s="56"/>
      <c r="AC80" s="56"/>
      <c r="AD80" s="56"/>
      <c r="AE80" s="56"/>
      <c r="AF80" s="56"/>
      <c r="AG80" s="57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1"/>
      <c r="AV80" s="1"/>
    </row>
    <row r="81" spans="1:48" ht="15.75" customHeight="1" x14ac:dyDescent="0.2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7"/>
      <c r="M81" s="57"/>
      <c r="N81" s="57"/>
      <c r="O81" s="56"/>
      <c r="P81" s="56"/>
      <c r="Q81" s="56"/>
      <c r="R81" s="56"/>
      <c r="S81" s="56"/>
      <c r="T81" s="56"/>
      <c r="U81" s="56"/>
      <c r="V81" s="56"/>
      <c r="W81" s="57"/>
      <c r="X81" s="56"/>
      <c r="Y81" s="56"/>
      <c r="Z81" s="56"/>
      <c r="AA81" s="57"/>
      <c r="AB81" s="56"/>
      <c r="AC81" s="56"/>
      <c r="AD81" s="56"/>
      <c r="AE81" s="56"/>
      <c r="AF81" s="56"/>
      <c r="AG81" s="57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1"/>
      <c r="AV81" s="1"/>
    </row>
    <row r="82" spans="1:48" ht="15.75" customHeight="1" x14ac:dyDescent="0.2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7"/>
      <c r="M82" s="57"/>
      <c r="N82" s="57"/>
      <c r="O82" s="56"/>
      <c r="P82" s="56"/>
      <c r="Q82" s="56"/>
      <c r="R82" s="56"/>
      <c r="S82" s="56"/>
      <c r="T82" s="56"/>
      <c r="U82" s="56"/>
      <c r="V82" s="56"/>
      <c r="W82" s="57"/>
      <c r="X82" s="56"/>
      <c r="Y82" s="56"/>
      <c r="Z82" s="56"/>
      <c r="AA82" s="57"/>
      <c r="AB82" s="56"/>
      <c r="AC82" s="56"/>
      <c r="AD82" s="56"/>
      <c r="AE82" s="56"/>
      <c r="AF82" s="56"/>
      <c r="AG82" s="57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1"/>
      <c r="AV82" s="1"/>
    </row>
    <row r="83" spans="1:48" ht="15.75" customHeight="1" x14ac:dyDescent="0.2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7"/>
      <c r="M83" s="57"/>
      <c r="N83" s="57"/>
      <c r="O83" s="56"/>
      <c r="P83" s="56"/>
      <c r="Q83" s="56"/>
      <c r="R83" s="56"/>
      <c r="S83" s="56"/>
      <c r="T83" s="56"/>
      <c r="U83" s="56"/>
      <c r="V83" s="56"/>
      <c r="W83" s="57"/>
      <c r="X83" s="56"/>
      <c r="Y83" s="56"/>
      <c r="Z83" s="56"/>
      <c r="AA83" s="57"/>
      <c r="AB83" s="56"/>
      <c r="AC83" s="56"/>
      <c r="AD83" s="56"/>
      <c r="AE83" s="56"/>
      <c r="AF83" s="56"/>
      <c r="AG83" s="57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1"/>
      <c r="AV83" s="1"/>
    </row>
    <row r="84" spans="1:48" ht="15.75" customHeight="1" x14ac:dyDescent="0.2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7"/>
      <c r="M84" s="57"/>
      <c r="N84" s="57"/>
      <c r="O84" s="56"/>
      <c r="P84" s="56"/>
      <c r="Q84" s="56"/>
      <c r="R84" s="56"/>
      <c r="S84" s="56"/>
      <c r="T84" s="56"/>
      <c r="U84" s="56"/>
      <c r="V84" s="56"/>
      <c r="W84" s="57"/>
      <c r="X84" s="56"/>
      <c r="Y84" s="56"/>
      <c r="Z84" s="56"/>
      <c r="AA84" s="57"/>
      <c r="AB84" s="56"/>
      <c r="AC84" s="56"/>
      <c r="AD84" s="56"/>
      <c r="AE84" s="56"/>
      <c r="AF84" s="56"/>
      <c r="AG84" s="57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1"/>
      <c r="AV84" s="1"/>
    </row>
    <row r="85" spans="1:48" ht="15.75" customHeight="1" x14ac:dyDescent="0.2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7"/>
      <c r="M85" s="57"/>
      <c r="N85" s="57"/>
      <c r="O85" s="56"/>
      <c r="P85" s="56"/>
      <c r="Q85" s="56"/>
      <c r="R85" s="56"/>
      <c r="S85" s="56"/>
      <c r="T85" s="56"/>
      <c r="U85" s="56"/>
      <c r="V85" s="56"/>
      <c r="W85" s="57"/>
      <c r="X85" s="56"/>
      <c r="Y85" s="56"/>
      <c r="Z85" s="56"/>
      <c r="AA85" s="57"/>
      <c r="AB85" s="56"/>
      <c r="AC85" s="56"/>
      <c r="AD85" s="56"/>
      <c r="AE85" s="56"/>
      <c r="AF85" s="56"/>
      <c r="AG85" s="57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1"/>
      <c r="AV85" s="1"/>
    </row>
    <row r="86" spans="1:48" ht="15.75" customHeight="1" x14ac:dyDescent="0.2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7"/>
      <c r="M86" s="57"/>
      <c r="N86" s="57"/>
      <c r="O86" s="56"/>
      <c r="P86" s="56"/>
      <c r="Q86" s="56"/>
      <c r="R86" s="56"/>
      <c r="S86" s="56"/>
      <c r="T86" s="56"/>
      <c r="U86" s="56"/>
      <c r="V86" s="56"/>
      <c r="W86" s="57"/>
      <c r="X86" s="56"/>
      <c r="Y86" s="56"/>
      <c r="Z86" s="56"/>
      <c r="AA86" s="57"/>
      <c r="AB86" s="56"/>
      <c r="AC86" s="56"/>
      <c r="AD86" s="56"/>
      <c r="AE86" s="56"/>
      <c r="AF86" s="56"/>
      <c r="AG86" s="57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1"/>
      <c r="AV86" s="1"/>
    </row>
    <row r="87" spans="1:48" ht="15.75" customHeight="1" x14ac:dyDescent="0.2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7"/>
      <c r="M87" s="57"/>
      <c r="N87" s="57"/>
      <c r="O87" s="56"/>
      <c r="P87" s="56"/>
      <c r="Q87" s="56"/>
      <c r="R87" s="56"/>
      <c r="S87" s="56"/>
      <c r="T87" s="56"/>
      <c r="U87" s="56"/>
      <c r="V87" s="56"/>
      <c r="W87" s="57"/>
      <c r="X87" s="56"/>
      <c r="Y87" s="56"/>
      <c r="Z87" s="56"/>
      <c r="AA87" s="57"/>
      <c r="AB87" s="56"/>
      <c r="AC87" s="56"/>
      <c r="AD87" s="56"/>
      <c r="AE87" s="56"/>
      <c r="AF87" s="56"/>
      <c r="AG87" s="57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1"/>
      <c r="AV87" s="1"/>
    </row>
    <row r="88" spans="1:48" ht="15.75" customHeight="1" x14ac:dyDescent="0.2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7"/>
      <c r="M88" s="57"/>
      <c r="N88" s="57"/>
      <c r="O88" s="56"/>
      <c r="P88" s="56"/>
      <c r="Q88" s="56"/>
      <c r="R88" s="56"/>
      <c r="S88" s="56"/>
      <c r="T88" s="56"/>
      <c r="U88" s="56"/>
      <c r="V88" s="56"/>
      <c r="W88" s="57"/>
      <c r="X88" s="56"/>
      <c r="Y88" s="56"/>
      <c r="Z88" s="56"/>
      <c r="AA88" s="57"/>
      <c r="AB88" s="56"/>
      <c r="AC88" s="56"/>
      <c r="AD88" s="56"/>
      <c r="AE88" s="56"/>
      <c r="AF88" s="56"/>
      <c r="AG88" s="57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1"/>
      <c r="AV88" s="1"/>
    </row>
    <row r="89" spans="1:48" ht="15.75" customHeight="1" x14ac:dyDescent="0.2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7"/>
      <c r="M89" s="57"/>
      <c r="N89" s="57"/>
      <c r="O89" s="56"/>
      <c r="P89" s="56"/>
      <c r="Q89" s="56"/>
      <c r="R89" s="56"/>
      <c r="S89" s="56"/>
      <c r="T89" s="56"/>
      <c r="U89" s="56"/>
      <c r="V89" s="56"/>
      <c r="W89" s="57"/>
      <c r="X89" s="56"/>
      <c r="Y89" s="56"/>
      <c r="Z89" s="56"/>
      <c r="AA89" s="57"/>
      <c r="AB89" s="56"/>
      <c r="AC89" s="56"/>
      <c r="AD89" s="56"/>
      <c r="AE89" s="56"/>
      <c r="AF89" s="56"/>
      <c r="AG89" s="57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1"/>
      <c r="AV89" s="1"/>
    </row>
    <row r="90" spans="1:48" ht="15.75" customHeight="1" x14ac:dyDescent="0.2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7"/>
      <c r="M90" s="57"/>
      <c r="N90" s="57"/>
      <c r="O90" s="56"/>
      <c r="P90" s="56"/>
      <c r="Q90" s="56"/>
      <c r="R90" s="56"/>
      <c r="S90" s="56"/>
      <c r="T90" s="56"/>
      <c r="U90" s="56"/>
      <c r="V90" s="56"/>
      <c r="W90" s="57"/>
      <c r="X90" s="56"/>
      <c r="Y90" s="56"/>
      <c r="Z90" s="56"/>
      <c r="AA90" s="57"/>
      <c r="AB90" s="56"/>
      <c r="AC90" s="56"/>
      <c r="AD90" s="56"/>
      <c r="AE90" s="56"/>
      <c r="AF90" s="56"/>
      <c r="AG90" s="57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1"/>
      <c r="AV90" s="1"/>
    </row>
    <row r="91" spans="1:48" ht="15.75" customHeight="1" x14ac:dyDescent="0.2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7"/>
      <c r="M91" s="57"/>
      <c r="N91" s="57"/>
      <c r="O91" s="56"/>
      <c r="P91" s="56"/>
      <c r="Q91" s="56"/>
      <c r="R91" s="56"/>
      <c r="S91" s="56"/>
      <c r="T91" s="56"/>
      <c r="U91" s="56"/>
      <c r="V91" s="56"/>
      <c r="W91" s="57"/>
      <c r="X91" s="56"/>
      <c r="Y91" s="56"/>
      <c r="Z91" s="56"/>
      <c r="AA91" s="57"/>
      <c r="AB91" s="56"/>
      <c r="AC91" s="56"/>
      <c r="AD91" s="56"/>
      <c r="AE91" s="56"/>
      <c r="AF91" s="56"/>
      <c r="AG91" s="57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1"/>
      <c r="AV91" s="1"/>
    </row>
    <row r="92" spans="1:48" ht="15.75" customHeight="1" x14ac:dyDescent="0.2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7"/>
      <c r="M92" s="57"/>
      <c r="N92" s="57"/>
      <c r="O92" s="56"/>
      <c r="P92" s="56"/>
      <c r="Q92" s="56"/>
      <c r="R92" s="56"/>
      <c r="S92" s="56"/>
      <c r="T92" s="56"/>
      <c r="U92" s="56"/>
      <c r="V92" s="56"/>
      <c r="W92" s="57"/>
      <c r="X92" s="56"/>
      <c r="Y92" s="56"/>
      <c r="Z92" s="56"/>
      <c r="AA92" s="57"/>
      <c r="AB92" s="56"/>
      <c r="AC92" s="56"/>
      <c r="AD92" s="56"/>
      <c r="AE92" s="56"/>
      <c r="AF92" s="56"/>
      <c r="AG92" s="57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1"/>
      <c r="AV92" s="1"/>
    </row>
    <row r="93" spans="1:48" ht="15.75" customHeight="1" x14ac:dyDescent="0.2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7"/>
      <c r="M93" s="57"/>
      <c r="N93" s="57"/>
      <c r="O93" s="56"/>
      <c r="P93" s="56"/>
      <c r="Q93" s="56"/>
      <c r="R93" s="56"/>
      <c r="S93" s="56"/>
      <c r="T93" s="56"/>
      <c r="U93" s="56"/>
      <c r="V93" s="56"/>
      <c r="W93" s="57"/>
      <c r="X93" s="56"/>
      <c r="Y93" s="56"/>
      <c r="Z93" s="56"/>
      <c r="AA93" s="57"/>
      <c r="AB93" s="56"/>
      <c r="AC93" s="56"/>
      <c r="AD93" s="56"/>
      <c r="AE93" s="56"/>
      <c r="AF93" s="56"/>
      <c r="AG93" s="57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1"/>
      <c r="AV93" s="1"/>
    </row>
    <row r="94" spans="1:48" ht="15.75" customHeight="1" x14ac:dyDescent="0.2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7"/>
      <c r="M94" s="57"/>
      <c r="N94" s="57"/>
      <c r="O94" s="56"/>
      <c r="P94" s="56"/>
      <c r="Q94" s="56"/>
      <c r="R94" s="56"/>
      <c r="S94" s="56"/>
      <c r="T94" s="56"/>
      <c r="U94" s="56"/>
      <c r="V94" s="56"/>
      <c r="W94" s="57"/>
      <c r="X94" s="56"/>
      <c r="Y94" s="56"/>
      <c r="Z94" s="56"/>
      <c r="AA94" s="57"/>
      <c r="AB94" s="56"/>
      <c r="AC94" s="56"/>
      <c r="AD94" s="56"/>
      <c r="AE94" s="56"/>
      <c r="AF94" s="56"/>
      <c r="AG94" s="57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1"/>
      <c r="AV94" s="1"/>
    </row>
    <row r="95" spans="1:48" ht="15.75" customHeight="1" x14ac:dyDescent="0.2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7"/>
      <c r="M95" s="57"/>
      <c r="N95" s="57"/>
      <c r="O95" s="56"/>
      <c r="P95" s="56"/>
      <c r="Q95" s="56"/>
      <c r="R95" s="56"/>
      <c r="S95" s="56"/>
      <c r="T95" s="56"/>
      <c r="U95" s="56"/>
      <c r="V95" s="56"/>
      <c r="W95" s="57"/>
      <c r="X95" s="56"/>
      <c r="Y95" s="56"/>
      <c r="Z95" s="56"/>
      <c r="AA95" s="57"/>
      <c r="AB95" s="56"/>
      <c r="AC95" s="56"/>
      <c r="AD95" s="56"/>
      <c r="AE95" s="56"/>
      <c r="AF95" s="56"/>
      <c r="AG95" s="57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1"/>
      <c r="AV95" s="1"/>
    </row>
    <row r="96" spans="1:48" ht="15.75" customHeight="1" x14ac:dyDescent="0.2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7"/>
      <c r="M96" s="57"/>
      <c r="N96" s="57"/>
      <c r="O96" s="56"/>
      <c r="P96" s="56"/>
      <c r="Q96" s="56"/>
      <c r="R96" s="56"/>
      <c r="S96" s="56"/>
      <c r="T96" s="56"/>
      <c r="U96" s="56"/>
      <c r="V96" s="56"/>
      <c r="W96" s="57"/>
      <c r="X96" s="56"/>
      <c r="Y96" s="56"/>
      <c r="Z96" s="56"/>
      <c r="AA96" s="57"/>
      <c r="AB96" s="56"/>
      <c r="AC96" s="56"/>
      <c r="AD96" s="56"/>
      <c r="AE96" s="56"/>
      <c r="AF96" s="56"/>
      <c r="AG96" s="57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1"/>
      <c r="AV96" s="1"/>
    </row>
    <row r="97" spans="1:48" ht="15.75" customHeight="1" x14ac:dyDescent="0.2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7"/>
      <c r="M97" s="57"/>
      <c r="N97" s="57"/>
      <c r="O97" s="56"/>
      <c r="P97" s="56"/>
      <c r="Q97" s="56"/>
      <c r="R97" s="56"/>
      <c r="S97" s="56"/>
      <c r="T97" s="56"/>
      <c r="U97" s="56"/>
      <c r="V97" s="56"/>
      <c r="W97" s="57"/>
      <c r="X97" s="56"/>
      <c r="Y97" s="56"/>
      <c r="Z97" s="56"/>
      <c r="AA97" s="57"/>
      <c r="AB97" s="56"/>
      <c r="AC97" s="56"/>
      <c r="AD97" s="56"/>
      <c r="AE97" s="56"/>
      <c r="AF97" s="56"/>
      <c r="AG97" s="57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1"/>
      <c r="AV97" s="1"/>
    </row>
    <row r="98" spans="1:48" ht="15.75" customHeight="1" x14ac:dyDescent="0.2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7"/>
      <c r="M98" s="57"/>
      <c r="N98" s="57"/>
      <c r="O98" s="56"/>
      <c r="P98" s="56"/>
      <c r="Q98" s="56"/>
      <c r="R98" s="56"/>
      <c r="S98" s="56"/>
      <c r="T98" s="56"/>
      <c r="U98" s="56"/>
      <c r="V98" s="56"/>
      <c r="W98" s="57"/>
      <c r="X98" s="56"/>
      <c r="Y98" s="56"/>
      <c r="Z98" s="56"/>
      <c r="AA98" s="57"/>
      <c r="AB98" s="56"/>
      <c r="AC98" s="56"/>
      <c r="AD98" s="56"/>
      <c r="AE98" s="56"/>
      <c r="AF98" s="56"/>
      <c r="AG98" s="57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1"/>
      <c r="AV98" s="1"/>
    </row>
    <row r="99" spans="1:48" ht="15.75" customHeight="1" x14ac:dyDescent="0.2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7"/>
      <c r="M99" s="57"/>
      <c r="N99" s="57"/>
      <c r="O99" s="56"/>
      <c r="P99" s="56"/>
      <c r="Q99" s="56"/>
      <c r="R99" s="56"/>
      <c r="S99" s="56"/>
      <c r="T99" s="56"/>
      <c r="U99" s="56"/>
      <c r="V99" s="56"/>
      <c r="W99" s="57"/>
      <c r="X99" s="56"/>
      <c r="Y99" s="56"/>
      <c r="Z99" s="56"/>
      <c r="AA99" s="57"/>
      <c r="AB99" s="56"/>
      <c r="AC99" s="56"/>
      <c r="AD99" s="56"/>
      <c r="AE99" s="56"/>
      <c r="AF99" s="56"/>
      <c r="AG99" s="57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1"/>
      <c r="AV99" s="1"/>
    </row>
    <row r="100" spans="1:48" ht="15.75" customHeight="1" x14ac:dyDescent="0.2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7"/>
      <c r="M100" s="57"/>
      <c r="N100" s="57"/>
      <c r="O100" s="56"/>
      <c r="P100" s="56"/>
      <c r="Q100" s="56"/>
      <c r="R100" s="56"/>
      <c r="S100" s="56"/>
      <c r="T100" s="56"/>
      <c r="U100" s="56"/>
      <c r="V100" s="56"/>
      <c r="W100" s="57"/>
      <c r="X100" s="56"/>
      <c r="Y100" s="56"/>
      <c r="Z100" s="56"/>
      <c r="AA100" s="57"/>
      <c r="AB100" s="56"/>
      <c r="AC100" s="56"/>
      <c r="AD100" s="56"/>
      <c r="AE100" s="56"/>
      <c r="AF100" s="56"/>
      <c r="AG100" s="57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1"/>
      <c r="AV100" s="1"/>
    </row>
    <row r="101" spans="1:48" ht="15.75" customHeight="1" x14ac:dyDescent="0.2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7"/>
      <c r="M101" s="57"/>
      <c r="N101" s="57"/>
      <c r="O101" s="56"/>
      <c r="P101" s="56"/>
      <c r="Q101" s="56"/>
      <c r="R101" s="56"/>
      <c r="S101" s="56"/>
      <c r="T101" s="56"/>
      <c r="U101" s="56"/>
      <c r="V101" s="56"/>
      <c r="W101" s="57"/>
      <c r="X101" s="56"/>
      <c r="Y101" s="56"/>
      <c r="Z101" s="56"/>
      <c r="AA101" s="57"/>
      <c r="AB101" s="56"/>
      <c r="AC101" s="56"/>
      <c r="AD101" s="56"/>
      <c r="AE101" s="56"/>
      <c r="AF101" s="56"/>
      <c r="AG101" s="57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1"/>
      <c r="AV101" s="1"/>
    </row>
    <row r="102" spans="1:48" ht="15.75" customHeight="1" x14ac:dyDescent="0.2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7"/>
      <c r="M102" s="57"/>
      <c r="N102" s="57"/>
      <c r="O102" s="56"/>
      <c r="P102" s="56"/>
      <c r="Q102" s="56"/>
      <c r="R102" s="56"/>
      <c r="S102" s="56"/>
      <c r="T102" s="56"/>
      <c r="U102" s="56"/>
      <c r="V102" s="56"/>
      <c r="W102" s="57"/>
      <c r="X102" s="56"/>
      <c r="Y102" s="56"/>
      <c r="Z102" s="56"/>
      <c r="AA102" s="57"/>
      <c r="AB102" s="56"/>
      <c r="AC102" s="56"/>
      <c r="AD102" s="56"/>
      <c r="AE102" s="56"/>
      <c r="AF102" s="56"/>
      <c r="AG102" s="57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1"/>
      <c r="AV102" s="1"/>
    </row>
    <row r="103" spans="1:48" ht="15.75" customHeight="1" x14ac:dyDescent="0.2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7"/>
      <c r="M103" s="57"/>
      <c r="N103" s="57"/>
      <c r="O103" s="56"/>
      <c r="P103" s="56"/>
      <c r="Q103" s="56"/>
      <c r="R103" s="56"/>
      <c r="S103" s="56"/>
      <c r="T103" s="56"/>
      <c r="U103" s="56"/>
      <c r="V103" s="56"/>
      <c r="W103" s="57"/>
      <c r="X103" s="56"/>
      <c r="Y103" s="56"/>
      <c r="Z103" s="56"/>
      <c r="AA103" s="57"/>
      <c r="AB103" s="56"/>
      <c r="AC103" s="56"/>
      <c r="AD103" s="56"/>
      <c r="AE103" s="56"/>
      <c r="AF103" s="56"/>
      <c r="AG103" s="57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1"/>
      <c r="AV103" s="1"/>
    </row>
    <row r="104" spans="1:48" ht="15.75" customHeight="1" x14ac:dyDescent="0.2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7"/>
      <c r="M104" s="57"/>
      <c r="N104" s="57"/>
      <c r="O104" s="56"/>
      <c r="P104" s="56"/>
      <c r="Q104" s="56"/>
      <c r="R104" s="56"/>
      <c r="S104" s="56"/>
      <c r="T104" s="56"/>
      <c r="U104" s="56"/>
      <c r="V104" s="56"/>
      <c r="W104" s="57"/>
      <c r="X104" s="56"/>
      <c r="Y104" s="56"/>
      <c r="Z104" s="56"/>
      <c r="AA104" s="57"/>
      <c r="AB104" s="56"/>
      <c r="AC104" s="56"/>
      <c r="AD104" s="56"/>
      <c r="AE104" s="56"/>
      <c r="AF104" s="56"/>
      <c r="AG104" s="57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1"/>
      <c r="AV104" s="1"/>
    </row>
    <row r="105" spans="1:48" ht="15.75" customHeight="1" x14ac:dyDescent="0.2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7"/>
      <c r="M105" s="57"/>
      <c r="N105" s="57"/>
      <c r="O105" s="56"/>
      <c r="P105" s="56"/>
      <c r="Q105" s="56"/>
      <c r="R105" s="56"/>
      <c r="S105" s="56"/>
      <c r="T105" s="56"/>
      <c r="U105" s="56"/>
      <c r="V105" s="56"/>
      <c r="W105" s="57"/>
      <c r="X105" s="56"/>
      <c r="Y105" s="56"/>
      <c r="Z105" s="56"/>
      <c r="AA105" s="57"/>
      <c r="AB105" s="56"/>
      <c r="AC105" s="56"/>
      <c r="AD105" s="56"/>
      <c r="AE105" s="56"/>
      <c r="AF105" s="56"/>
      <c r="AG105" s="57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1"/>
      <c r="AV105" s="1"/>
    </row>
    <row r="106" spans="1:48" ht="15.75" customHeight="1" x14ac:dyDescent="0.2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7"/>
      <c r="M106" s="57"/>
      <c r="N106" s="57"/>
      <c r="O106" s="56"/>
      <c r="P106" s="56"/>
      <c r="Q106" s="56"/>
      <c r="R106" s="56"/>
      <c r="S106" s="56"/>
      <c r="T106" s="56"/>
      <c r="U106" s="56"/>
      <c r="V106" s="56"/>
      <c r="W106" s="57"/>
      <c r="X106" s="56"/>
      <c r="Y106" s="56"/>
      <c r="Z106" s="56"/>
      <c r="AA106" s="57"/>
      <c r="AB106" s="56"/>
      <c r="AC106" s="56"/>
      <c r="AD106" s="56"/>
      <c r="AE106" s="56"/>
      <c r="AF106" s="56"/>
      <c r="AG106" s="57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1"/>
      <c r="AV106" s="1"/>
    </row>
    <row r="107" spans="1:48" ht="15.75" customHeight="1" x14ac:dyDescent="0.2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7"/>
      <c r="M107" s="57"/>
      <c r="N107" s="57"/>
      <c r="O107" s="56"/>
      <c r="P107" s="56"/>
      <c r="Q107" s="56"/>
      <c r="R107" s="56"/>
      <c r="S107" s="56"/>
      <c r="T107" s="56"/>
      <c r="U107" s="56"/>
      <c r="V107" s="56"/>
      <c r="W107" s="57"/>
      <c r="X107" s="56"/>
      <c r="Y107" s="56"/>
      <c r="Z107" s="56"/>
      <c r="AA107" s="57"/>
      <c r="AB107" s="56"/>
      <c r="AC107" s="56"/>
      <c r="AD107" s="56"/>
      <c r="AE107" s="56"/>
      <c r="AF107" s="56"/>
      <c r="AG107" s="57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1"/>
      <c r="AV107" s="1"/>
    </row>
    <row r="108" spans="1:48" ht="15.75" customHeight="1" x14ac:dyDescent="0.2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/>
      <c r="L108" s="57"/>
      <c r="M108" s="57"/>
      <c r="N108" s="57"/>
      <c r="O108" s="56"/>
      <c r="P108" s="56"/>
      <c r="Q108" s="56"/>
      <c r="R108" s="56"/>
      <c r="S108" s="56"/>
      <c r="T108" s="56"/>
      <c r="U108" s="56"/>
      <c r="V108" s="56"/>
      <c r="W108" s="57"/>
      <c r="X108" s="56"/>
      <c r="Y108" s="56"/>
      <c r="Z108" s="56"/>
      <c r="AA108" s="57"/>
      <c r="AB108" s="56"/>
      <c r="AC108" s="56"/>
      <c r="AD108" s="56"/>
      <c r="AE108" s="56"/>
      <c r="AF108" s="56"/>
      <c r="AG108" s="57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1"/>
      <c r="AV108" s="1"/>
    </row>
    <row r="109" spans="1:48" ht="15.75" customHeight="1" x14ac:dyDescent="0.2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/>
      <c r="L109" s="57"/>
      <c r="M109" s="57"/>
      <c r="N109" s="57"/>
      <c r="O109" s="56"/>
      <c r="P109" s="56"/>
      <c r="Q109" s="56"/>
      <c r="R109" s="56"/>
      <c r="S109" s="56"/>
      <c r="T109" s="56"/>
      <c r="U109" s="56"/>
      <c r="V109" s="56"/>
      <c r="W109" s="57"/>
      <c r="X109" s="56"/>
      <c r="Y109" s="56"/>
      <c r="Z109" s="56"/>
      <c r="AA109" s="57"/>
      <c r="AB109" s="56"/>
      <c r="AC109" s="56"/>
      <c r="AD109" s="56"/>
      <c r="AE109" s="56"/>
      <c r="AF109" s="56"/>
      <c r="AG109" s="57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1"/>
      <c r="AV109" s="1"/>
    </row>
    <row r="110" spans="1:48" ht="15.75" customHeight="1" x14ac:dyDescent="0.2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/>
      <c r="L110" s="57"/>
      <c r="M110" s="57"/>
      <c r="N110" s="57"/>
      <c r="O110" s="56"/>
      <c r="P110" s="56"/>
      <c r="Q110" s="56"/>
      <c r="R110" s="56"/>
      <c r="S110" s="56"/>
      <c r="T110" s="56"/>
      <c r="U110" s="56"/>
      <c r="V110" s="56"/>
      <c r="W110" s="57"/>
      <c r="X110" s="56"/>
      <c r="Y110" s="56"/>
      <c r="Z110" s="56"/>
      <c r="AA110" s="57"/>
      <c r="AB110" s="56"/>
      <c r="AC110" s="56"/>
      <c r="AD110" s="56"/>
      <c r="AE110" s="56"/>
      <c r="AF110" s="56"/>
      <c r="AG110" s="57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1"/>
      <c r="AV110" s="1"/>
    </row>
    <row r="111" spans="1:48" ht="15.75" customHeight="1" x14ac:dyDescent="0.2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/>
      <c r="L111" s="57"/>
      <c r="M111" s="57"/>
      <c r="N111" s="57"/>
      <c r="O111" s="56"/>
      <c r="P111" s="56"/>
      <c r="Q111" s="56"/>
      <c r="R111" s="56"/>
      <c r="S111" s="56"/>
      <c r="T111" s="56"/>
      <c r="U111" s="56"/>
      <c r="V111" s="56"/>
      <c r="W111" s="57"/>
      <c r="X111" s="56"/>
      <c r="Y111" s="56"/>
      <c r="Z111" s="56"/>
      <c r="AA111" s="57"/>
      <c r="AB111" s="56"/>
      <c r="AC111" s="56"/>
      <c r="AD111" s="56"/>
      <c r="AE111" s="56"/>
      <c r="AF111" s="56"/>
      <c r="AG111" s="57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1"/>
      <c r="AV111" s="1"/>
    </row>
    <row r="112" spans="1:48" ht="15.75" customHeight="1" x14ac:dyDescent="0.2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/>
      <c r="L112" s="57"/>
      <c r="M112" s="57"/>
      <c r="N112" s="57"/>
      <c r="O112" s="56"/>
      <c r="P112" s="56"/>
      <c r="Q112" s="56"/>
      <c r="R112" s="56"/>
      <c r="S112" s="56"/>
      <c r="T112" s="56"/>
      <c r="U112" s="56"/>
      <c r="V112" s="56"/>
      <c r="W112" s="57"/>
      <c r="X112" s="56"/>
      <c r="Y112" s="56"/>
      <c r="Z112" s="56"/>
      <c r="AA112" s="57"/>
      <c r="AB112" s="56"/>
      <c r="AC112" s="56"/>
      <c r="AD112" s="56"/>
      <c r="AE112" s="56"/>
      <c r="AF112" s="56"/>
      <c r="AG112" s="57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1"/>
      <c r="AV112" s="1"/>
    </row>
    <row r="113" spans="1:48" ht="15.75" customHeight="1" x14ac:dyDescent="0.2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/>
      <c r="L113" s="57"/>
      <c r="M113" s="57"/>
      <c r="N113" s="57"/>
      <c r="O113" s="56"/>
      <c r="P113" s="56"/>
      <c r="Q113" s="56"/>
      <c r="R113" s="56"/>
      <c r="S113" s="56"/>
      <c r="T113" s="56"/>
      <c r="U113" s="56"/>
      <c r="V113" s="56"/>
      <c r="W113" s="57"/>
      <c r="X113" s="56"/>
      <c r="Y113" s="56"/>
      <c r="Z113" s="56"/>
      <c r="AA113" s="57"/>
      <c r="AB113" s="56"/>
      <c r="AC113" s="56"/>
      <c r="AD113" s="56"/>
      <c r="AE113" s="56"/>
      <c r="AF113" s="56"/>
      <c r="AG113" s="57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1"/>
      <c r="AV113" s="1"/>
    </row>
    <row r="114" spans="1:48" ht="15.75" customHeight="1" x14ac:dyDescent="0.2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7"/>
      <c r="M114" s="57"/>
      <c r="N114" s="57"/>
      <c r="O114" s="56"/>
      <c r="P114" s="56"/>
      <c r="Q114" s="56"/>
      <c r="R114" s="56"/>
      <c r="S114" s="56"/>
      <c r="T114" s="56"/>
      <c r="U114" s="56"/>
      <c r="V114" s="56"/>
      <c r="W114" s="57"/>
      <c r="X114" s="56"/>
      <c r="Y114" s="56"/>
      <c r="Z114" s="56"/>
      <c r="AA114" s="57"/>
      <c r="AB114" s="56"/>
      <c r="AC114" s="56"/>
      <c r="AD114" s="56"/>
      <c r="AE114" s="56"/>
      <c r="AF114" s="56"/>
      <c r="AG114" s="57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1"/>
      <c r="AV114" s="1"/>
    </row>
    <row r="115" spans="1:48" ht="15.75" customHeight="1" x14ac:dyDescent="0.2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7"/>
      <c r="M115" s="57"/>
      <c r="N115" s="57"/>
      <c r="O115" s="56"/>
      <c r="P115" s="56"/>
      <c r="Q115" s="56"/>
      <c r="R115" s="56"/>
      <c r="S115" s="56"/>
      <c r="T115" s="56"/>
      <c r="U115" s="56"/>
      <c r="V115" s="56"/>
      <c r="W115" s="57"/>
      <c r="X115" s="56"/>
      <c r="Y115" s="56"/>
      <c r="Z115" s="56"/>
      <c r="AA115" s="57"/>
      <c r="AB115" s="56"/>
      <c r="AC115" s="56"/>
      <c r="AD115" s="56"/>
      <c r="AE115" s="56"/>
      <c r="AF115" s="56"/>
      <c r="AG115" s="57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1"/>
      <c r="AV115" s="1"/>
    </row>
    <row r="116" spans="1:48" ht="15.75" customHeight="1" x14ac:dyDescent="0.2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7"/>
      <c r="M116" s="57"/>
      <c r="N116" s="57"/>
      <c r="O116" s="56"/>
      <c r="P116" s="56"/>
      <c r="Q116" s="56"/>
      <c r="R116" s="56"/>
      <c r="S116" s="56"/>
      <c r="T116" s="56"/>
      <c r="U116" s="56"/>
      <c r="V116" s="56"/>
      <c r="W116" s="57"/>
      <c r="X116" s="56"/>
      <c r="Y116" s="56"/>
      <c r="Z116" s="56"/>
      <c r="AA116" s="57"/>
      <c r="AB116" s="56"/>
      <c r="AC116" s="56"/>
      <c r="AD116" s="56"/>
      <c r="AE116" s="56"/>
      <c r="AF116" s="56"/>
      <c r="AG116" s="57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1"/>
      <c r="AV116" s="1"/>
    </row>
    <row r="117" spans="1:48" ht="15.75" customHeight="1" x14ac:dyDescent="0.2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7"/>
      <c r="M117" s="57"/>
      <c r="N117" s="57"/>
      <c r="O117" s="56"/>
      <c r="P117" s="56"/>
      <c r="Q117" s="56"/>
      <c r="R117" s="56"/>
      <c r="S117" s="56"/>
      <c r="T117" s="56"/>
      <c r="U117" s="56"/>
      <c r="V117" s="56"/>
      <c r="W117" s="57"/>
      <c r="X117" s="56"/>
      <c r="Y117" s="56"/>
      <c r="Z117" s="56"/>
      <c r="AA117" s="57"/>
      <c r="AB117" s="56"/>
      <c r="AC117" s="56"/>
      <c r="AD117" s="56"/>
      <c r="AE117" s="56"/>
      <c r="AF117" s="56"/>
      <c r="AG117" s="57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1"/>
      <c r="AV117" s="1"/>
    </row>
    <row r="118" spans="1:48" ht="15.75" customHeight="1" x14ac:dyDescent="0.2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7"/>
      <c r="M118" s="57"/>
      <c r="N118" s="57"/>
      <c r="O118" s="56"/>
      <c r="P118" s="56"/>
      <c r="Q118" s="56"/>
      <c r="R118" s="56"/>
      <c r="S118" s="56"/>
      <c r="T118" s="56"/>
      <c r="U118" s="56"/>
      <c r="V118" s="56"/>
      <c r="W118" s="57"/>
      <c r="X118" s="56"/>
      <c r="Y118" s="56"/>
      <c r="Z118" s="56"/>
      <c r="AA118" s="57"/>
      <c r="AB118" s="56"/>
      <c r="AC118" s="56"/>
      <c r="AD118" s="56"/>
      <c r="AE118" s="56"/>
      <c r="AF118" s="56"/>
      <c r="AG118" s="57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1"/>
      <c r="AV118" s="1"/>
    </row>
    <row r="119" spans="1:48" ht="15.75" customHeight="1" x14ac:dyDescent="0.2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7"/>
      <c r="M119" s="57"/>
      <c r="N119" s="57"/>
      <c r="O119" s="56"/>
      <c r="P119" s="56"/>
      <c r="Q119" s="56"/>
      <c r="R119" s="56"/>
      <c r="S119" s="56"/>
      <c r="T119" s="56"/>
      <c r="U119" s="56"/>
      <c r="V119" s="56"/>
      <c r="W119" s="57"/>
      <c r="X119" s="56"/>
      <c r="Y119" s="56"/>
      <c r="Z119" s="56"/>
      <c r="AA119" s="57"/>
      <c r="AB119" s="56"/>
      <c r="AC119" s="56"/>
      <c r="AD119" s="56"/>
      <c r="AE119" s="56"/>
      <c r="AF119" s="56"/>
      <c r="AG119" s="57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1"/>
      <c r="AV119" s="1"/>
    </row>
    <row r="120" spans="1:48" ht="15.75" customHeight="1" x14ac:dyDescent="0.2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7"/>
      <c r="M120" s="57"/>
      <c r="N120" s="57"/>
      <c r="O120" s="56"/>
      <c r="P120" s="56"/>
      <c r="Q120" s="56"/>
      <c r="R120" s="56"/>
      <c r="S120" s="56"/>
      <c r="T120" s="56"/>
      <c r="U120" s="56"/>
      <c r="V120" s="56"/>
      <c r="W120" s="57"/>
      <c r="X120" s="56"/>
      <c r="Y120" s="56"/>
      <c r="Z120" s="56"/>
      <c r="AA120" s="57"/>
      <c r="AB120" s="56"/>
      <c r="AC120" s="56"/>
      <c r="AD120" s="56"/>
      <c r="AE120" s="56"/>
      <c r="AF120" s="56"/>
      <c r="AG120" s="57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1"/>
      <c r="AV120" s="1"/>
    </row>
    <row r="121" spans="1:48" ht="15.75" customHeight="1" x14ac:dyDescent="0.2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7"/>
      <c r="M121" s="57"/>
      <c r="N121" s="57"/>
      <c r="O121" s="56"/>
      <c r="P121" s="56"/>
      <c r="Q121" s="56"/>
      <c r="R121" s="56"/>
      <c r="S121" s="56"/>
      <c r="T121" s="56"/>
      <c r="U121" s="56"/>
      <c r="V121" s="56"/>
      <c r="W121" s="57"/>
      <c r="X121" s="56"/>
      <c r="Y121" s="56"/>
      <c r="Z121" s="56"/>
      <c r="AA121" s="57"/>
      <c r="AB121" s="56"/>
      <c r="AC121" s="56"/>
      <c r="AD121" s="56"/>
      <c r="AE121" s="56"/>
      <c r="AF121" s="56"/>
      <c r="AG121" s="57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1"/>
      <c r="AV121" s="1"/>
    </row>
    <row r="122" spans="1:48" ht="15.75" customHeight="1" x14ac:dyDescent="0.2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7"/>
      <c r="M122" s="57"/>
      <c r="N122" s="57"/>
      <c r="O122" s="56"/>
      <c r="P122" s="56"/>
      <c r="Q122" s="56"/>
      <c r="R122" s="56"/>
      <c r="S122" s="56"/>
      <c r="T122" s="56"/>
      <c r="U122" s="56"/>
      <c r="V122" s="56"/>
      <c r="W122" s="57"/>
      <c r="X122" s="56"/>
      <c r="Y122" s="56"/>
      <c r="Z122" s="56"/>
      <c r="AA122" s="57"/>
      <c r="AB122" s="56"/>
      <c r="AC122" s="56"/>
      <c r="AD122" s="56"/>
      <c r="AE122" s="56"/>
      <c r="AF122" s="56"/>
      <c r="AG122" s="57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1"/>
      <c r="AV122" s="1"/>
    </row>
    <row r="123" spans="1:48" ht="15.75" customHeight="1" x14ac:dyDescent="0.2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/>
      <c r="L123" s="57"/>
      <c r="M123" s="57"/>
      <c r="N123" s="57"/>
      <c r="O123" s="56"/>
      <c r="P123" s="56"/>
      <c r="Q123" s="56"/>
      <c r="R123" s="56"/>
      <c r="S123" s="56"/>
      <c r="T123" s="56"/>
      <c r="U123" s="56"/>
      <c r="V123" s="56"/>
      <c r="W123" s="57"/>
      <c r="X123" s="56"/>
      <c r="Y123" s="56"/>
      <c r="Z123" s="56"/>
      <c r="AA123" s="57"/>
      <c r="AB123" s="56"/>
      <c r="AC123" s="56"/>
      <c r="AD123" s="56"/>
      <c r="AE123" s="56"/>
      <c r="AF123" s="56"/>
      <c r="AG123" s="57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1"/>
      <c r="AV123" s="1"/>
    </row>
    <row r="124" spans="1:48" ht="15.75" customHeight="1" x14ac:dyDescent="0.2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7"/>
      <c r="M124" s="57"/>
      <c r="N124" s="57"/>
      <c r="O124" s="56"/>
      <c r="P124" s="56"/>
      <c r="Q124" s="56"/>
      <c r="R124" s="56"/>
      <c r="S124" s="56"/>
      <c r="T124" s="56"/>
      <c r="U124" s="56"/>
      <c r="V124" s="56"/>
      <c r="W124" s="57"/>
      <c r="X124" s="56"/>
      <c r="Y124" s="56"/>
      <c r="Z124" s="56"/>
      <c r="AA124" s="57"/>
      <c r="AB124" s="56"/>
      <c r="AC124" s="56"/>
      <c r="AD124" s="56"/>
      <c r="AE124" s="56"/>
      <c r="AF124" s="56"/>
      <c r="AG124" s="57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1"/>
      <c r="AV124" s="1"/>
    </row>
    <row r="125" spans="1:48" ht="15.75" customHeight="1" x14ac:dyDescent="0.2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7"/>
      <c r="M125" s="57"/>
      <c r="N125" s="57"/>
      <c r="O125" s="56"/>
      <c r="P125" s="56"/>
      <c r="Q125" s="56"/>
      <c r="R125" s="56"/>
      <c r="S125" s="56"/>
      <c r="T125" s="56"/>
      <c r="U125" s="56"/>
      <c r="V125" s="56"/>
      <c r="W125" s="57"/>
      <c r="X125" s="56"/>
      <c r="Y125" s="56"/>
      <c r="Z125" s="56"/>
      <c r="AA125" s="57"/>
      <c r="AB125" s="56"/>
      <c r="AC125" s="56"/>
      <c r="AD125" s="56"/>
      <c r="AE125" s="56"/>
      <c r="AF125" s="56"/>
      <c r="AG125" s="57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1"/>
      <c r="AV125" s="1"/>
    </row>
    <row r="126" spans="1:48" ht="15.75" customHeight="1" x14ac:dyDescent="0.2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/>
      <c r="L126" s="57"/>
      <c r="M126" s="57"/>
      <c r="N126" s="57"/>
      <c r="O126" s="56"/>
      <c r="P126" s="56"/>
      <c r="Q126" s="56"/>
      <c r="R126" s="56"/>
      <c r="S126" s="56"/>
      <c r="T126" s="56"/>
      <c r="U126" s="56"/>
      <c r="V126" s="56"/>
      <c r="W126" s="57"/>
      <c r="X126" s="56"/>
      <c r="Y126" s="56"/>
      <c r="Z126" s="56"/>
      <c r="AA126" s="57"/>
      <c r="AB126" s="56"/>
      <c r="AC126" s="56"/>
      <c r="AD126" s="56"/>
      <c r="AE126" s="56"/>
      <c r="AF126" s="56"/>
      <c r="AG126" s="57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1"/>
      <c r="AV126" s="1"/>
    </row>
    <row r="127" spans="1:48" ht="15.75" customHeight="1" x14ac:dyDescent="0.2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/>
      <c r="L127" s="57"/>
      <c r="M127" s="57"/>
      <c r="N127" s="57"/>
      <c r="O127" s="56"/>
      <c r="P127" s="56"/>
      <c r="Q127" s="56"/>
      <c r="R127" s="56"/>
      <c r="S127" s="56"/>
      <c r="T127" s="56"/>
      <c r="U127" s="56"/>
      <c r="V127" s="56"/>
      <c r="W127" s="57"/>
      <c r="X127" s="56"/>
      <c r="Y127" s="56"/>
      <c r="Z127" s="56"/>
      <c r="AA127" s="57"/>
      <c r="AB127" s="56"/>
      <c r="AC127" s="56"/>
      <c r="AD127" s="56"/>
      <c r="AE127" s="56"/>
      <c r="AF127" s="56"/>
      <c r="AG127" s="57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1"/>
      <c r="AV127" s="1"/>
    </row>
    <row r="128" spans="1:48" ht="15.75" customHeight="1" x14ac:dyDescent="0.2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7"/>
      <c r="M128" s="57"/>
      <c r="N128" s="57"/>
      <c r="O128" s="56"/>
      <c r="P128" s="56"/>
      <c r="Q128" s="56"/>
      <c r="R128" s="56"/>
      <c r="S128" s="56"/>
      <c r="T128" s="56"/>
      <c r="U128" s="56"/>
      <c r="V128" s="56"/>
      <c r="W128" s="57"/>
      <c r="X128" s="56"/>
      <c r="Y128" s="56"/>
      <c r="Z128" s="56"/>
      <c r="AA128" s="57"/>
      <c r="AB128" s="56"/>
      <c r="AC128" s="56"/>
      <c r="AD128" s="56"/>
      <c r="AE128" s="56"/>
      <c r="AF128" s="56"/>
      <c r="AG128" s="57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1"/>
      <c r="AV128" s="1"/>
    </row>
    <row r="129" spans="1:48" ht="15.75" customHeight="1" x14ac:dyDescent="0.2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7"/>
      <c r="M129" s="57"/>
      <c r="N129" s="57"/>
      <c r="O129" s="56"/>
      <c r="P129" s="56"/>
      <c r="Q129" s="56"/>
      <c r="R129" s="56"/>
      <c r="S129" s="56"/>
      <c r="T129" s="56"/>
      <c r="U129" s="56"/>
      <c r="V129" s="56"/>
      <c r="W129" s="57"/>
      <c r="X129" s="56"/>
      <c r="Y129" s="56"/>
      <c r="Z129" s="56"/>
      <c r="AA129" s="57"/>
      <c r="AB129" s="56"/>
      <c r="AC129" s="56"/>
      <c r="AD129" s="56"/>
      <c r="AE129" s="56"/>
      <c r="AF129" s="56"/>
      <c r="AG129" s="57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1"/>
      <c r="AV129" s="1"/>
    </row>
    <row r="130" spans="1:48" ht="15.75" customHeight="1" x14ac:dyDescent="0.2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7"/>
      <c r="M130" s="57"/>
      <c r="N130" s="57"/>
      <c r="O130" s="56"/>
      <c r="P130" s="56"/>
      <c r="Q130" s="56"/>
      <c r="R130" s="56"/>
      <c r="S130" s="56"/>
      <c r="T130" s="56"/>
      <c r="U130" s="56"/>
      <c r="V130" s="56"/>
      <c r="W130" s="57"/>
      <c r="X130" s="56"/>
      <c r="Y130" s="56"/>
      <c r="Z130" s="56"/>
      <c r="AA130" s="57"/>
      <c r="AB130" s="56"/>
      <c r="AC130" s="56"/>
      <c r="AD130" s="56"/>
      <c r="AE130" s="56"/>
      <c r="AF130" s="56"/>
      <c r="AG130" s="57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1"/>
      <c r="AV130" s="1"/>
    </row>
    <row r="131" spans="1:48" ht="15.75" customHeight="1" x14ac:dyDescent="0.2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7"/>
      <c r="M131" s="57"/>
      <c r="N131" s="57"/>
      <c r="O131" s="56"/>
      <c r="P131" s="56"/>
      <c r="Q131" s="56"/>
      <c r="R131" s="56"/>
      <c r="S131" s="56"/>
      <c r="T131" s="56"/>
      <c r="U131" s="56"/>
      <c r="V131" s="56"/>
      <c r="W131" s="57"/>
      <c r="X131" s="56"/>
      <c r="Y131" s="56"/>
      <c r="Z131" s="56"/>
      <c r="AA131" s="57"/>
      <c r="AB131" s="56"/>
      <c r="AC131" s="56"/>
      <c r="AD131" s="56"/>
      <c r="AE131" s="56"/>
      <c r="AF131" s="56"/>
      <c r="AG131" s="57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1"/>
      <c r="AV131" s="1"/>
    </row>
    <row r="132" spans="1:48" ht="15.75" customHeight="1" x14ac:dyDescent="0.2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7"/>
      <c r="M132" s="57"/>
      <c r="N132" s="57"/>
      <c r="O132" s="56"/>
      <c r="P132" s="56"/>
      <c r="Q132" s="56"/>
      <c r="R132" s="56"/>
      <c r="S132" s="56"/>
      <c r="T132" s="56"/>
      <c r="U132" s="56"/>
      <c r="V132" s="56"/>
      <c r="W132" s="57"/>
      <c r="X132" s="56"/>
      <c r="Y132" s="56"/>
      <c r="Z132" s="56"/>
      <c r="AA132" s="57"/>
      <c r="AB132" s="56"/>
      <c r="AC132" s="56"/>
      <c r="AD132" s="56"/>
      <c r="AE132" s="56"/>
      <c r="AF132" s="56"/>
      <c r="AG132" s="57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1"/>
      <c r="AV132" s="1"/>
    </row>
    <row r="133" spans="1:48" ht="15.75" customHeight="1" x14ac:dyDescent="0.2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/>
      <c r="L133" s="57"/>
      <c r="M133" s="57"/>
      <c r="N133" s="57"/>
      <c r="O133" s="56"/>
      <c r="P133" s="56"/>
      <c r="Q133" s="56"/>
      <c r="R133" s="56"/>
      <c r="S133" s="56"/>
      <c r="T133" s="56"/>
      <c r="U133" s="56"/>
      <c r="V133" s="56"/>
      <c r="W133" s="57"/>
      <c r="X133" s="56"/>
      <c r="Y133" s="56"/>
      <c r="Z133" s="56"/>
      <c r="AA133" s="57"/>
      <c r="AB133" s="56"/>
      <c r="AC133" s="56"/>
      <c r="AD133" s="56"/>
      <c r="AE133" s="56"/>
      <c r="AF133" s="56"/>
      <c r="AG133" s="57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1"/>
      <c r="AV133" s="1"/>
    </row>
    <row r="134" spans="1:48" ht="15.75" customHeight="1" x14ac:dyDescent="0.2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7"/>
      <c r="M134" s="57"/>
      <c r="N134" s="57"/>
      <c r="O134" s="56"/>
      <c r="P134" s="56"/>
      <c r="Q134" s="56"/>
      <c r="R134" s="56"/>
      <c r="S134" s="56"/>
      <c r="T134" s="56"/>
      <c r="U134" s="56"/>
      <c r="V134" s="56"/>
      <c r="W134" s="57"/>
      <c r="X134" s="56"/>
      <c r="Y134" s="56"/>
      <c r="Z134" s="56"/>
      <c r="AA134" s="57"/>
      <c r="AB134" s="56"/>
      <c r="AC134" s="56"/>
      <c r="AD134" s="56"/>
      <c r="AE134" s="56"/>
      <c r="AF134" s="56"/>
      <c r="AG134" s="57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1"/>
      <c r="AV134" s="1"/>
    </row>
    <row r="135" spans="1:48" ht="15.75" customHeight="1" x14ac:dyDescent="0.2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7"/>
      <c r="M135" s="57"/>
      <c r="N135" s="57"/>
      <c r="O135" s="56"/>
      <c r="P135" s="56"/>
      <c r="Q135" s="56"/>
      <c r="R135" s="56"/>
      <c r="S135" s="56"/>
      <c r="T135" s="56"/>
      <c r="U135" s="56"/>
      <c r="V135" s="56"/>
      <c r="W135" s="57"/>
      <c r="X135" s="56"/>
      <c r="Y135" s="56"/>
      <c r="Z135" s="56"/>
      <c r="AA135" s="57"/>
      <c r="AB135" s="56"/>
      <c r="AC135" s="56"/>
      <c r="AD135" s="56"/>
      <c r="AE135" s="56"/>
      <c r="AF135" s="56"/>
      <c r="AG135" s="57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1"/>
      <c r="AV135" s="1"/>
    </row>
    <row r="136" spans="1:48" ht="15.75" customHeight="1" x14ac:dyDescent="0.2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  <c r="L136" s="57"/>
      <c r="M136" s="57"/>
      <c r="N136" s="57"/>
      <c r="O136" s="56"/>
      <c r="P136" s="56"/>
      <c r="Q136" s="56"/>
      <c r="R136" s="56"/>
      <c r="S136" s="56"/>
      <c r="T136" s="56"/>
      <c r="U136" s="56"/>
      <c r="V136" s="56"/>
      <c r="W136" s="57"/>
      <c r="X136" s="56"/>
      <c r="Y136" s="56"/>
      <c r="Z136" s="56"/>
      <c r="AA136" s="57"/>
      <c r="AB136" s="56"/>
      <c r="AC136" s="56"/>
      <c r="AD136" s="56"/>
      <c r="AE136" s="56"/>
      <c r="AF136" s="56"/>
      <c r="AG136" s="57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1"/>
      <c r="AV136" s="1"/>
    </row>
    <row r="137" spans="1:48" ht="15.75" customHeight="1" x14ac:dyDescent="0.2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/>
      <c r="L137" s="57"/>
      <c r="M137" s="57"/>
      <c r="N137" s="57"/>
      <c r="O137" s="56"/>
      <c r="P137" s="56"/>
      <c r="Q137" s="56"/>
      <c r="R137" s="56"/>
      <c r="S137" s="56"/>
      <c r="T137" s="56"/>
      <c r="U137" s="56"/>
      <c r="V137" s="56"/>
      <c r="W137" s="57"/>
      <c r="X137" s="56"/>
      <c r="Y137" s="56"/>
      <c r="Z137" s="56"/>
      <c r="AA137" s="57"/>
      <c r="AB137" s="56"/>
      <c r="AC137" s="56"/>
      <c r="AD137" s="56"/>
      <c r="AE137" s="56"/>
      <c r="AF137" s="56"/>
      <c r="AG137" s="57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1"/>
      <c r="AV137" s="1"/>
    </row>
    <row r="138" spans="1:48" ht="15.75" customHeight="1" x14ac:dyDescent="0.2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/>
      <c r="L138" s="57"/>
      <c r="M138" s="57"/>
      <c r="N138" s="57"/>
      <c r="O138" s="56"/>
      <c r="P138" s="56"/>
      <c r="Q138" s="56"/>
      <c r="R138" s="56"/>
      <c r="S138" s="56"/>
      <c r="T138" s="56"/>
      <c r="U138" s="56"/>
      <c r="V138" s="56"/>
      <c r="W138" s="57"/>
      <c r="X138" s="56"/>
      <c r="Y138" s="56"/>
      <c r="Z138" s="56"/>
      <c r="AA138" s="57"/>
      <c r="AB138" s="56"/>
      <c r="AC138" s="56"/>
      <c r="AD138" s="56"/>
      <c r="AE138" s="56"/>
      <c r="AF138" s="56"/>
      <c r="AG138" s="57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1"/>
      <c r="AV138" s="1"/>
    </row>
    <row r="139" spans="1:48" ht="15.75" customHeight="1" x14ac:dyDescent="0.2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7"/>
      <c r="M139" s="57"/>
      <c r="N139" s="57"/>
      <c r="O139" s="56"/>
      <c r="P139" s="56"/>
      <c r="Q139" s="56"/>
      <c r="R139" s="56"/>
      <c r="S139" s="56"/>
      <c r="T139" s="56"/>
      <c r="U139" s="56"/>
      <c r="V139" s="56"/>
      <c r="W139" s="57"/>
      <c r="X139" s="56"/>
      <c r="Y139" s="56"/>
      <c r="Z139" s="56"/>
      <c r="AA139" s="57"/>
      <c r="AB139" s="56"/>
      <c r="AC139" s="56"/>
      <c r="AD139" s="56"/>
      <c r="AE139" s="56"/>
      <c r="AF139" s="56"/>
      <c r="AG139" s="57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1"/>
      <c r="AV139" s="1"/>
    </row>
    <row r="140" spans="1:48" ht="15.75" customHeight="1" x14ac:dyDescent="0.2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7"/>
      <c r="M140" s="57"/>
      <c r="N140" s="57"/>
      <c r="O140" s="56"/>
      <c r="P140" s="56"/>
      <c r="Q140" s="56"/>
      <c r="R140" s="56"/>
      <c r="S140" s="56"/>
      <c r="T140" s="56"/>
      <c r="U140" s="56"/>
      <c r="V140" s="56"/>
      <c r="W140" s="57"/>
      <c r="X140" s="56"/>
      <c r="Y140" s="56"/>
      <c r="Z140" s="56"/>
      <c r="AA140" s="57"/>
      <c r="AB140" s="56"/>
      <c r="AC140" s="56"/>
      <c r="AD140" s="56"/>
      <c r="AE140" s="56"/>
      <c r="AF140" s="56"/>
      <c r="AG140" s="57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1"/>
      <c r="AV140" s="1"/>
    </row>
    <row r="141" spans="1:48" ht="15.75" customHeight="1" x14ac:dyDescent="0.2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7"/>
      <c r="M141" s="57"/>
      <c r="N141" s="57"/>
      <c r="O141" s="56"/>
      <c r="P141" s="56"/>
      <c r="Q141" s="56"/>
      <c r="R141" s="56"/>
      <c r="S141" s="56"/>
      <c r="T141" s="56"/>
      <c r="U141" s="56"/>
      <c r="V141" s="56"/>
      <c r="W141" s="57"/>
      <c r="X141" s="56"/>
      <c r="Y141" s="56"/>
      <c r="Z141" s="56"/>
      <c r="AA141" s="57"/>
      <c r="AB141" s="56"/>
      <c r="AC141" s="56"/>
      <c r="AD141" s="56"/>
      <c r="AE141" s="56"/>
      <c r="AF141" s="56"/>
      <c r="AG141" s="57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1"/>
      <c r="AV141" s="1"/>
    </row>
    <row r="142" spans="1:48" ht="15.75" customHeight="1" x14ac:dyDescent="0.2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7"/>
      <c r="M142" s="57"/>
      <c r="N142" s="57"/>
      <c r="O142" s="56"/>
      <c r="P142" s="56"/>
      <c r="Q142" s="56"/>
      <c r="R142" s="56"/>
      <c r="S142" s="56"/>
      <c r="T142" s="56"/>
      <c r="U142" s="56"/>
      <c r="V142" s="56"/>
      <c r="W142" s="57"/>
      <c r="X142" s="56"/>
      <c r="Y142" s="56"/>
      <c r="Z142" s="56"/>
      <c r="AA142" s="57"/>
      <c r="AB142" s="56"/>
      <c r="AC142" s="56"/>
      <c r="AD142" s="56"/>
      <c r="AE142" s="56"/>
      <c r="AF142" s="56"/>
      <c r="AG142" s="57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1"/>
      <c r="AV142" s="1"/>
    </row>
    <row r="143" spans="1:48" ht="15.75" customHeight="1" x14ac:dyDescent="0.2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7"/>
      <c r="M143" s="57"/>
      <c r="N143" s="57"/>
      <c r="O143" s="56"/>
      <c r="P143" s="56"/>
      <c r="Q143" s="56"/>
      <c r="R143" s="56"/>
      <c r="S143" s="56"/>
      <c r="T143" s="56"/>
      <c r="U143" s="56"/>
      <c r="V143" s="56"/>
      <c r="W143" s="57"/>
      <c r="X143" s="56"/>
      <c r="Y143" s="56"/>
      <c r="Z143" s="56"/>
      <c r="AA143" s="57"/>
      <c r="AB143" s="56"/>
      <c r="AC143" s="56"/>
      <c r="AD143" s="56"/>
      <c r="AE143" s="56"/>
      <c r="AF143" s="56"/>
      <c r="AG143" s="57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1"/>
      <c r="AV143" s="1"/>
    </row>
    <row r="144" spans="1:48" ht="15.75" customHeight="1" x14ac:dyDescent="0.2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7"/>
      <c r="M144" s="57"/>
      <c r="N144" s="57"/>
      <c r="O144" s="56"/>
      <c r="P144" s="56"/>
      <c r="Q144" s="56"/>
      <c r="R144" s="56"/>
      <c r="S144" s="56"/>
      <c r="T144" s="56"/>
      <c r="U144" s="56"/>
      <c r="V144" s="56"/>
      <c r="W144" s="57"/>
      <c r="X144" s="56"/>
      <c r="Y144" s="56"/>
      <c r="Z144" s="56"/>
      <c r="AA144" s="57"/>
      <c r="AB144" s="56"/>
      <c r="AC144" s="56"/>
      <c r="AD144" s="56"/>
      <c r="AE144" s="56"/>
      <c r="AF144" s="56"/>
      <c r="AG144" s="57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1"/>
      <c r="AV144" s="1"/>
    </row>
    <row r="145" spans="1:48" ht="15.75" customHeight="1" x14ac:dyDescent="0.2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7"/>
      <c r="M145" s="57"/>
      <c r="N145" s="57"/>
      <c r="O145" s="56"/>
      <c r="P145" s="56"/>
      <c r="Q145" s="56"/>
      <c r="R145" s="56"/>
      <c r="S145" s="56"/>
      <c r="T145" s="56"/>
      <c r="U145" s="56"/>
      <c r="V145" s="56"/>
      <c r="W145" s="57"/>
      <c r="X145" s="56"/>
      <c r="Y145" s="56"/>
      <c r="Z145" s="56"/>
      <c r="AA145" s="57"/>
      <c r="AB145" s="56"/>
      <c r="AC145" s="56"/>
      <c r="AD145" s="56"/>
      <c r="AE145" s="56"/>
      <c r="AF145" s="56"/>
      <c r="AG145" s="57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1"/>
      <c r="AV145" s="1"/>
    </row>
    <row r="146" spans="1:48" ht="15.75" customHeight="1" x14ac:dyDescent="0.2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7"/>
      <c r="M146" s="57"/>
      <c r="N146" s="57"/>
      <c r="O146" s="56"/>
      <c r="P146" s="56"/>
      <c r="Q146" s="56"/>
      <c r="R146" s="56"/>
      <c r="S146" s="56"/>
      <c r="T146" s="56"/>
      <c r="U146" s="56"/>
      <c r="V146" s="56"/>
      <c r="W146" s="57"/>
      <c r="X146" s="56"/>
      <c r="Y146" s="56"/>
      <c r="Z146" s="56"/>
      <c r="AA146" s="57"/>
      <c r="AB146" s="56"/>
      <c r="AC146" s="56"/>
      <c r="AD146" s="56"/>
      <c r="AE146" s="56"/>
      <c r="AF146" s="56"/>
      <c r="AG146" s="57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1"/>
      <c r="AV146" s="1"/>
    </row>
    <row r="147" spans="1:48" ht="15.75" customHeight="1" x14ac:dyDescent="0.2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7"/>
      <c r="M147" s="57"/>
      <c r="N147" s="57"/>
      <c r="O147" s="56"/>
      <c r="P147" s="56"/>
      <c r="Q147" s="56"/>
      <c r="R147" s="56"/>
      <c r="S147" s="56"/>
      <c r="T147" s="56"/>
      <c r="U147" s="56"/>
      <c r="V147" s="56"/>
      <c r="W147" s="57"/>
      <c r="X147" s="56"/>
      <c r="Y147" s="56"/>
      <c r="Z147" s="56"/>
      <c r="AA147" s="57"/>
      <c r="AB147" s="56"/>
      <c r="AC147" s="56"/>
      <c r="AD147" s="56"/>
      <c r="AE147" s="56"/>
      <c r="AF147" s="56"/>
      <c r="AG147" s="57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1"/>
      <c r="AV147" s="1"/>
    </row>
    <row r="148" spans="1:48" ht="15.75" customHeight="1" x14ac:dyDescent="0.2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7"/>
      <c r="M148" s="57"/>
      <c r="N148" s="57"/>
      <c r="O148" s="56"/>
      <c r="P148" s="56"/>
      <c r="Q148" s="56"/>
      <c r="R148" s="56"/>
      <c r="S148" s="56"/>
      <c r="T148" s="56"/>
      <c r="U148" s="56"/>
      <c r="V148" s="56"/>
      <c r="W148" s="57"/>
      <c r="X148" s="56"/>
      <c r="Y148" s="56"/>
      <c r="Z148" s="56"/>
      <c r="AA148" s="57"/>
      <c r="AB148" s="56"/>
      <c r="AC148" s="56"/>
      <c r="AD148" s="56"/>
      <c r="AE148" s="56"/>
      <c r="AF148" s="56"/>
      <c r="AG148" s="57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1"/>
      <c r="AV148" s="1"/>
    </row>
    <row r="149" spans="1:48" ht="15.75" customHeight="1" x14ac:dyDescent="0.2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7"/>
      <c r="M149" s="57"/>
      <c r="N149" s="57"/>
      <c r="O149" s="56"/>
      <c r="P149" s="56"/>
      <c r="Q149" s="56"/>
      <c r="R149" s="56"/>
      <c r="S149" s="56"/>
      <c r="T149" s="56"/>
      <c r="U149" s="56"/>
      <c r="V149" s="56"/>
      <c r="W149" s="57"/>
      <c r="X149" s="56"/>
      <c r="Y149" s="56"/>
      <c r="Z149" s="56"/>
      <c r="AA149" s="57"/>
      <c r="AB149" s="56"/>
      <c r="AC149" s="56"/>
      <c r="AD149" s="56"/>
      <c r="AE149" s="56"/>
      <c r="AF149" s="56"/>
      <c r="AG149" s="57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1"/>
      <c r="AV149" s="1"/>
    </row>
    <row r="150" spans="1:48" ht="15.75" customHeight="1" x14ac:dyDescent="0.2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7"/>
      <c r="M150" s="57"/>
      <c r="N150" s="57"/>
      <c r="O150" s="56"/>
      <c r="P150" s="56"/>
      <c r="Q150" s="56"/>
      <c r="R150" s="56"/>
      <c r="S150" s="56"/>
      <c r="T150" s="56"/>
      <c r="U150" s="56"/>
      <c r="V150" s="56"/>
      <c r="W150" s="57"/>
      <c r="X150" s="56"/>
      <c r="Y150" s="56"/>
      <c r="Z150" s="56"/>
      <c r="AA150" s="57"/>
      <c r="AB150" s="56"/>
      <c r="AC150" s="56"/>
      <c r="AD150" s="56"/>
      <c r="AE150" s="56"/>
      <c r="AF150" s="56"/>
      <c r="AG150" s="57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1"/>
      <c r="AV150" s="1"/>
    </row>
    <row r="151" spans="1:48" ht="15.75" customHeight="1" x14ac:dyDescent="0.2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/>
      <c r="L151" s="57"/>
      <c r="M151" s="57"/>
      <c r="N151" s="57"/>
      <c r="O151" s="56"/>
      <c r="P151" s="56"/>
      <c r="Q151" s="56"/>
      <c r="R151" s="56"/>
      <c r="S151" s="56"/>
      <c r="T151" s="56"/>
      <c r="U151" s="56"/>
      <c r="V151" s="56"/>
      <c r="W151" s="57"/>
      <c r="X151" s="56"/>
      <c r="Y151" s="56"/>
      <c r="Z151" s="56"/>
      <c r="AA151" s="57"/>
      <c r="AB151" s="56"/>
      <c r="AC151" s="56"/>
      <c r="AD151" s="56"/>
      <c r="AE151" s="56"/>
      <c r="AF151" s="56"/>
      <c r="AG151" s="57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1"/>
      <c r="AV151" s="1"/>
    </row>
    <row r="152" spans="1:48" ht="15.75" customHeight="1" x14ac:dyDescent="0.2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/>
      <c r="L152" s="57"/>
      <c r="M152" s="57"/>
      <c r="N152" s="57"/>
      <c r="O152" s="56"/>
      <c r="P152" s="56"/>
      <c r="Q152" s="56"/>
      <c r="R152" s="56"/>
      <c r="S152" s="56"/>
      <c r="T152" s="56"/>
      <c r="U152" s="56"/>
      <c r="V152" s="56"/>
      <c r="W152" s="57"/>
      <c r="X152" s="56"/>
      <c r="Y152" s="56"/>
      <c r="Z152" s="56"/>
      <c r="AA152" s="57"/>
      <c r="AB152" s="56"/>
      <c r="AC152" s="56"/>
      <c r="AD152" s="56"/>
      <c r="AE152" s="56"/>
      <c r="AF152" s="56"/>
      <c r="AG152" s="57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1"/>
      <c r="AV152" s="1"/>
    </row>
    <row r="153" spans="1:48" ht="15.75" customHeight="1" x14ac:dyDescent="0.2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/>
      <c r="L153" s="57"/>
      <c r="M153" s="57"/>
      <c r="N153" s="57"/>
      <c r="O153" s="56"/>
      <c r="P153" s="56"/>
      <c r="Q153" s="56"/>
      <c r="R153" s="56"/>
      <c r="S153" s="56"/>
      <c r="T153" s="56"/>
      <c r="U153" s="56"/>
      <c r="V153" s="56"/>
      <c r="W153" s="57"/>
      <c r="X153" s="56"/>
      <c r="Y153" s="56"/>
      <c r="Z153" s="56"/>
      <c r="AA153" s="57"/>
      <c r="AB153" s="56"/>
      <c r="AC153" s="56"/>
      <c r="AD153" s="56"/>
      <c r="AE153" s="56"/>
      <c r="AF153" s="56"/>
      <c r="AG153" s="57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1"/>
      <c r="AV153" s="1"/>
    </row>
    <row r="154" spans="1:48" ht="15.75" customHeight="1" x14ac:dyDescent="0.2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/>
      <c r="L154" s="57"/>
      <c r="M154" s="57"/>
      <c r="N154" s="57"/>
      <c r="O154" s="56"/>
      <c r="P154" s="56"/>
      <c r="Q154" s="56"/>
      <c r="R154" s="56"/>
      <c r="S154" s="56"/>
      <c r="T154" s="56"/>
      <c r="U154" s="56"/>
      <c r="V154" s="56"/>
      <c r="W154" s="57"/>
      <c r="X154" s="56"/>
      <c r="Y154" s="56"/>
      <c r="Z154" s="56"/>
      <c r="AA154" s="57"/>
      <c r="AB154" s="56"/>
      <c r="AC154" s="56"/>
      <c r="AD154" s="56"/>
      <c r="AE154" s="56"/>
      <c r="AF154" s="56"/>
      <c r="AG154" s="57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1"/>
      <c r="AV154" s="1"/>
    </row>
    <row r="155" spans="1:48" ht="15.75" customHeight="1" x14ac:dyDescent="0.2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/>
      <c r="L155" s="57"/>
      <c r="M155" s="57"/>
      <c r="N155" s="57"/>
      <c r="O155" s="56"/>
      <c r="P155" s="56"/>
      <c r="Q155" s="56"/>
      <c r="R155" s="56"/>
      <c r="S155" s="56"/>
      <c r="T155" s="56"/>
      <c r="U155" s="56"/>
      <c r="V155" s="56"/>
      <c r="W155" s="57"/>
      <c r="X155" s="56"/>
      <c r="Y155" s="56"/>
      <c r="Z155" s="56"/>
      <c r="AA155" s="57"/>
      <c r="AB155" s="56"/>
      <c r="AC155" s="56"/>
      <c r="AD155" s="56"/>
      <c r="AE155" s="56"/>
      <c r="AF155" s="56"/>
      <c r="AG155" s="57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1"/>
      <c r="AV155" s="1"/>
    </row>
    <row r="156" spans="1:48" ht="15.75" customHeight="1" x14ac:dyDescent="0.2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/>
      <c r="L156" s="57"/>
      <c r="M156" s="57"/>
      <c r="N156" s="57"/>
      <c r="O156" s="56"/>
      <c r="P156" s="56"/>
      <c r="Q156" s="56"/>
      <c r="R156" s="56"/>
      <c r="S156" s="56"/>
      <c r="T156" s="56"/>
      <c r="U156" s="56"/>
      <c r="V156" s="56"/>
      <c r="W156" s="57"/>
      <c r="X156" s="56"/>
      <c r="Y156" s="56"/>
      <c r="Z156" s="56"/>
      <c r="AA156" s="57"/>
      <c r="AB156" s="56"/>
      <c r="AC156" s="56"/>
      <c r="AD156" s="56"/>
      <c r="AE156" s="56"/>
      <c r="AF156" s="56"/>
      <c r="AG156" s="57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1"/>
      <c r="AV156" s="1"/>
    </row>
    <row r="157" spans="1:48" ht="15.75" customHeight="1" x14ac:dyDescent="0.2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/>
      <c r="L157" s="57"/>
      <c r="M157" s="57"/>
      <c r="N157" s="57"/>
      <c r="O157" s="56"/>
      <c r="P157" s="56"/>
      <c r="Q157" s="56"/>
      <c r="R157" s="56"/>
      <c r="S157" s="56"/>
      <c r="T157" s="56"/>
      <c r="U157" s="56"/>
      <c r="V157" s="56"/>
      <c r="W157" s="57"/>
      <c r="X157" s="56"/>
      <c r="Y157" s="56"/>
      <c r="Z157" s="56"/>
      <c r="AA157" s="57"/>
      <c r="AB157" s="56"/>
      <c r="AC157" s="56"/>
      <c r="AD157" s="56"/>
      <c r="AE157" s="56"/>
      <c r="AF157" s="56"/>
      <c r="AG157" s="57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1"/>
      <c r="AV157" s="1"/>
    </row>
    <row r="158" spans="1:48" ht="15.75" customHeight="1" x14ac:dyDescent="0.2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/>
      <c r="L158" s="57"/>
      <c r="M158" s="57"/>
      <c r="N158" s="57"/>
      <c r="O158" s="56"/>
      <c r="P158" s="56"/>
      <c r="Q158" s="56"/>
      <c r="R158" s="56"/>
      <c r="S158" s="56"/>
      <c r="T158" s="56"/>
      <c r="U158" s="56"/>
      <c r="V158" s="56"/>
      <c r="W158" s="57"/>
      <c r="X158" s="56"/>
      <c r="Y158" s="56"/>
      <c r="Z158" s="56"/>
      <c r="AA158" s="57"/>
      <c r="AB158" s="56"/>
      <c r="AC158" s="56"/>
      <c r="AD158" s="56"/>
      <c r="AE158" s="56"/>
      <c r="AF158" s="56"/>
      <c r="AG158" s="57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1"/>
      <c r="AV158" s="1"/>
    </row>
    <row r="159" spans="1:48" ht="15.75" customHeight="1" x14ac:dyDescent="0.2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/>
      <c r="L159" s="57"/>
      <c r="M159" s="57"/>
      <c r="N159" s="57"/>
      <c r="O159" s="56"/>
      <c r="P159" s="56"/>
      <c r="Q159" s="56"/>
      <c r="R159" s="56"/>
      <c r="S159" s="56"/>
      <c r="T159" s="56"/>
      <c r="U159" s="56"/>
      <c r="V159" s="56"/>
      <c r="W159" s="57"/>
      <c r="X159" s="56"/>
      <c r="Y159" s="56"/>
      <c r="Z159" s="56"/>
      <c r="AA159" s="57"/>
      <c r="AB159" s="56"/>
      <c r="AC159" s="56"/>
      <c r="AD159" s="56"/>
      <c r="AE159" s="56"/>
      <c r="AF159" s="56"/>
      <c r="AG159" s="57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1"/>
      <c r="AV159" s="1"/>
    </row>
    <row r="160" spans="1:48" ht="15.75" customHeight="1" x14ac:dyDescent="0.2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/>
      <c r="L160" s="57"/>
      <c r="M160" s="57"/>
      <c r="N160" s="57"/>
      <c r="O160" s="56"/>
      <c r="P160" s="56"/>
      <c r="Q160" s="56"/>
      <c r="R160" s="56"/>
      <c r="S160" s="56"/>
      <c r="T160" s="56"/>
      <c r="U160" s="56"/>
      <c r="V160" s="56"/>
      <c r="W160" s="57"/>
      <c r="X160" s="56"/>
      <c r="Y160" s="56"/>
      <c r="Z160" s="56"/>
      <c r="AA160" s="57"/>
      <c r="AB160" s="56"/>
      <c r="AC160" s="56"/>
      <c r="AD160" s="56"/>
      <c r="AE160" s="56"/>
      <c r="AF160" s="56"/>
      <c r="AG160" s="57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1"/>
      <c r="AV160" s="1"/>
    </row>
    <row r="161" spans="1:48" ht="15.75" customHeight="1" x14ac:dyDescent="0.2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/>
      <c r="L161" s="57"/>
      <c r="M161" s="57"/>
      <c r="N161" s="57"/>
      <c r="O161" s="56"/>
      <c r="P161" s="56"/>
      <c r="Q161" s="56"/>
      <c r="R161" s="56"/>
      <c r="S161" s="56"/>
      <c r="T161" s="56"/>
      <c r="U161" s="56"/>
      <c r="V161" s="56"/>
      <c r="W161" s="57"/>
      <c r="X161" s="56"/>
      <c r="Y161" s="56"/>
      <c r="Z161" s="56"/>
      <c r="AA161" s="57"/>
      <c r="AB161" s="56"/>
      <c r="AC161" s="56"/>
      <c r="AD161" s="56"/>
      <c r="AE161" s="56"/>
      <c r="AF161" s="56"/>
      <c r="AG161" s="57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1"/>
      <c r="AV161" s="1"/>
    </row>
    <row r="162" spans="1:48" ht="15.75" customHeight="1" x14ac:dyDescent="0.2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/>
      <c r="L162" s="57"/>
      <c r="M162" s="57"/>
      <c r="N162" s="57"/>
      <c r="O162" s="56"/>
      <c r="P162" s="56"/>
      <c r="Q162" s="56"/>
      <c r="R162" s="56"/>
      <c r="S162" s="56"/>
      <c r="T162" s="56"/>
      <c r="U162" s="56"/>
      <c r="V162" s="56"/>
      <c r="W162" s="57"/>
      <c r="X162" s="56"/>
      <c r="Y162" s="56"/>
      <c r="Z162" s="56"/>
      <c r="AA162" s="57"/>
      <c r="AB162" s="56"/>
      <c r="AC162" s="56"/>
      <c r="AD162" s="56"/>
      <c r="AE162" s="56"/>
      <c r="AF162" s="56"/>
      <c r="AG162" s="57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1"/>
      <c r="AV162" s="1"/>
    </row>
    <row r="163" spans="1:48" ht="15.75" customHeight="1" x14ac:dyDescent="0.2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/>
      <c r="L163" s="57"/>
      <c r="M163" s="57"/>
      <c r="N163" s="57"/>
      <c r="O163" s="56"/>
      <c r="P163" s="56"/>
      <c r="Q163" s="56"/>
      <c r="R163" s="56"/>
      <c r="S163" s="56"/>
      <c r="T163" s="56"/>
      <c r="U163" s="56"/>
      <c r="V163" s="56"/>
      <c r="W163" s="57"/>
      <c r="X163" s="56"/>
      <c r="Y163" s="56"/>
      <c r="Z163" s="56"/>
      <c r="AA163" s="57"/>
      <c r="AB163" s="56"/>
      <c r="AC163" s="56"/>
      <c r="AD163" s="56"/>
      <c r="AE163" s="56"/>
      <c r="AF163" s="56"/>
      <c r="AG163" s="57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1"/>
      <c r="AV163" s="1"/>
    </row>
    <row r="164" spans="1:48" ht="15.75" customHeight="1" x14ac:dyDescent="0.2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/>
      <c r="L164" s="57"/>
      <c r="M164" s="57"/>
      <c r="N164" s="57"/>
      <c r="O164" s="56"/>
      <c r="P164" s="56"/>
      <c r="Q164" s="56"/>
      <c r="R164" s="56"/>
      <c r="S164" s="56"/>
      <c r="T164" s="56"/>
      <c r="U164" s="56"/>
      <c r="V164" s="56"/>
      <c r="W164" s="57"/>
      <c r="X164" s="56"/>
      <c r="Y164" s="56"/>
      <c r="Z164" s="56"/>
      <c r="AA164" s="57"/>
      <c r="AB164" s="56"/>
      <c r="AC164" s="56"/>
      <c r="AD164" s="56"/>
      <c r="AE164" s="56"/>
      <c r="AF164" s="56"/>
      <c r="AG164" s="57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1"/>
      <c r="AV164" s="1"/>
    </row>
    <row r="165" spans="1:48" ht="15.75" customHeight="1" x14ac:dyDescent="0.2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/>
      <c r="L165" s="57"/>
      <c r="M165" s="57"/>
      <c r="N165" s="57"/>
      <c r="O165" s="56"/>
      <c r="P165" s="56"/>
      <c r="Q165" s="56"/>
      <c r="R165" s="56"/>
      <c r="S165" s="56"/>
      <c r="T165" s="56"/>
      <c r="U165" s="56"/>
      <c r="V165" s="56"/>
      <c r="W165" s="57"/>
      <c r="X165" s="56"/>
      <c r="Y165" s="56"/>
      <c r="Z165" s="56"/>
      <c r="AA165" s="57"/>
      <c r="AB165" s="56"/>
      <c r="AC165" s="56"/>
      <c r="AD165" s="56"/>
      <c r="AE165" s="56"/>
      <c r="AF165" s="56"/>
      <c r="AG165" s="57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1"/>
      <c r="AV165" s="1"/>
    </row>
    <row r="166" spans="1:48" ht="15.75" customHeight="1" x14ac:dyDescent="0.2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/>
      <c r="L166" s="57"/>
      <c r="M166" s="57"/>
      <c r="N166" s="57"/>
      <c r="O166" s="56"/>
      <c r="P166" s="56"/>
      <c r="Q166" s="56"/>
      <c r="R166" s="56"/>
      <c r="S166" s="56"/>
      <c r="T166" s="56"/>
      <c r="U166" s="56"/>
      <c r="V166" s="56"/>
      <c r="W166" s="57"/>
      <c r="X166" s="56"/>
      <c r="Y166" s="56"/>
      <c r="Z166" s="56"/>
      <c r="AA166" s="57"/>
      <c r="AB166" s="56"/>
      <c r="AC166" s="56"/>
      <c r="AD166" s="56"/>
      <c r="AE166" s="56"/>
      <c r="AF166" s="56"/>
      <c r="AG166" s="57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1"/>
      <c r="AV166" s="1"/>
    </row>
    <row r="167" spans="1:48" ht="15.75" customHeight="1" x14ac:dyDescent="0.2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/>
      <c r="L167" s="57"/>
      <c r="M167" s="57"/>
      <c r="N167" s="57"/>
      <c r="O167" s="56"/>
      <c r="P167" s="56"/>
      <c r="Q167" s="56"/>
      <c r="R167" s="56"/>
      <c r="S167" s="56"/>
      <c r="T167" s="56"/>
      <c r="U167" s="56"/>
      <c r="V167" s="56"/>
      <c r="W167" s="57"/>
      <c r="X167" s="56"/>
      <c r="Y167" s="56"/>
      <c r="Z167" s="56"/>
      <c r="AA167" s="57"/>
      <c r="AB167" s="56"/>
      <c r="AC167" s="56"/>
      <c r="AD167" s="56"/>
      <c r="AE167" s="56"/>
      <c r="AF167" s="56"/>
      <c r="AG167" s="57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1"/>
      <c r="AV167" s="1"/>
    </row>
    <row r="168" spans="1:48" ht="15.75" customHeight="1" x14ac:dyDescent="0.2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/>
      <c r="L168" s="57"/>
      <c r="M168" s="57"/>
      <c r="N168" s="57"/>
      <c r="O168" s="56"/>
      <c r="P168" s="56"/>
      <c r="Q168" s="56"/>
      <c r="R168" s="56"/>
      <c r="S168" s="56"/>
      <c r="T168" s="56"/>
      <c r="U168" s="56"/>
      <c r="V168" s="56"/>
      <c r="W168" s="57"/>
      <c r="X168" s="56"/>
      <c r="Y168" s="56"/>
      <c r="Z168" s="56"/>
      <c r="AA168" s="57"/>
      <c r="AB168" s="56"/>
      <c r="AC168" s="56"/>
      <c r="AD168" s="56"/>
      <c r="AE168" s="56"/>
      <c r="AF168" s="56"/>
      <c r="AG168" s="57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1"/>
      <c r="AV168" s="1"/>
    </row>
    <row r="169" spans="1:48" ht="15.75" customHeight="1" x14ac:dyDescent="0.2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/>
      <c r="L169" s="57"/>
      <c r="M169" s="57"/>
      <c r="N169" s="57"/>
      <c r="O169" s="56"/>
      <c r="P169" s="56"/>
      <c r="Q169" s="56"/>
      <c r="R169" s="56"/>
      <c r="S169" s="56"/>
      <c r="T169" s="56"/>
      <c r="U169" s="56"/>
      <c r="V169" s="56"/>
      <c r="W169" s="57"/>
      <c r="X169" s="56"/>
      <c r="Y169" s="56"/>
      <c r="Z169" s="56"/>
      <c r="AA169" s="57"/>
      <c r="AB169" s="56"/>
      <c r="AC169" s="56"/>
      <c r="AD169" s="56"/>
      <c r="AE169" s="56"/>
      <c r="AF169" s="56"/>
      <c r="AG169" s="57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1"/>
      <c r="AV169" s="1"/>
    </row>
    <row r="170" spans="1:48" ht="15.75" customHeight="1" x14ac:dyDescent="0.2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/>
      <c r="L170" s="57"/>
      <c r="M170" s="57"/>
      <c r="N170" s="57"/>
      <c r="O170" s="56"/>
      <c r="P170" s="56"/>
      <c r="Q170" s="56"/>
      <c r="R170" s="56"/>
      <c r="S170" s="56"/>
      <c r="T170" s="56"/>
      <c r="U170" s="56"/>
      <c r="V170" s="56"/>
      <c r="W170" s="57"/>
      <c r="X170" s="56"/>
      <c r="Y170" s="56"/>
      <c r="Z170" s="56"/>
      <c r="AA170" s="57"/>
      <c r="AB170" s="56"/>
      <c r="AC170" s="56"/>
      <c r="AD170" s="56"/>
      <c r="AE170" s="56"/>
      <c r="AF170" s="56"/>
      <c r="AG170" s="57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1"/>
      <c r="AV170" s="1"/>
    </row>
    <row r="171" spans="1:48" ht="15.75" customHeight="1" x14ac:dyDescent="0.2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/>
      <c r="L171" s="57"/>
      <c r="M171" s="57"/>
      <c r="N171" s="57"/>
      <c r="O171" s="56"/>
      <c r="P171" s="56"/>
      <c r="Q171" s="56"/>
      <c r="R171" s="56"/>
      <c r="S171" s="56"/>
      <c r="T171" s="56"/>
      <c r="U171" s="56"/>
      <c r="V171" s="56"/>
      <c r="W171" s="57"/>
      <c r="X171" s="56"/>
      <c r="Y171" s="56"/>
      <c r="Z171" s="56"/>
      <c r="AA171" s="57"/>
      <c r="AB171" s="56"/>
      <c r="AC171" s="56"/>
      <c r="AD171" s="56"/>
      <c r="AE171" s="56"/>
      <c r="AF171" s="56"/>
      <c r="AG171" s="57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1"/>
      <c r="AV171" s="1"/>
    </row>
    <row r="172" spans="1:48" ht="15.75" customHeight="1" x14ac:dyDescent="0.2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/>
      <c r="L172" s="57"/>
      <c r="M172" s="57"/>
      <c r="N172" s="57"/>
      <c r="O172" s="56"/>
      <c r="P172" s="56"/>
      <c r="Q172" s="56"/>
      <c r="R172" s="56"/>
      <c r="S172" s="56"/>
      <c r="T172" s="56"/>
      <c r="U172" s="56"/>
      <c r="V172" s="56"/>
      <c r="W172" s="57"/>
      <c r="X172" s="56"/>
      <c r="Y172" s="56"/>
      <c r="Z172" s="56"/>
      <c r="AA172" s="57"/>
      <c r="AB172" s="56"/>
      <c r="AC172" s="56"/>
      <c r="AD172" s="56"/>
      <c r="AE172" s="56"/>
      <c r="AF172" s="56"/>
      <c r="AG172" s="57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1"/>
      <c r="AV172" s="1"/>
    </row>
    <row r="173" spans="1:48" ht="15.75" customHeight="1" x14ac:dyDescent="0.2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/>
      <c r="L173" s="57"/>
      <c r="M173" s="57"/>
      <c r="N173" s="57"/>
      <c r="O173" s="56"/>
      <c r="P173" s="56"/>
      <c r="Q173" s="56"/>
      <c r="R173" s="56"/>
      <c r="S173" s="56"/>
      <c r="T173" s="56"/>
      <c r="U173" s="56"/>
      <c r="V173" s="56"/>
      <c r="W173" s="57"/>
      <c r="X173" s="56"/>
      <c r="Y173" s="56"/>
      <c r="Z173" s="56"/>
      <c r="AA173" s="57"/>
      <c r="AB173" s="56"/>
      <c r="AC173" s="56"/>
      <c r="AD173" s="56"/>
      <c r="AE173" s="56"/>
      <c r="AF173" s="56"/>
      <c r="AG173" s="57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1"/>
      <c r="AV173" s="1"/>
    </row>
    <row r="174" spans="1:48" ht="15.75" customHeight="1" x14ac:dyDescent="0.2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/>
      <c r="L174" s="57"/>
      <c r="M174" s="57"/>
      <c r="N174" s="57"/>
      <c r="O174" s="56"/>
      <c r="P174" s="56"/>
      <c r="Q174" s="56"/>
      <c r="R174" s="56"/>
      <c r="S174" s="56"/>
      <c r="T174" s="56"/>
      <c r="U174" s="56"/>
      <c r="V174" s="56"/>
      <c r="W174" s="57"/>
      <c r="X174" s="56"/>
      <c r="Y174" s="56"/>
      <c r="Z174" s="56"/>
      <c r="AA174" s="57"/>
      <c r="AB174" s="56"/>
      <c r="AC174" s="56"/>
      <c r="AD174" s="56"/>
      <c r="AE174" s="56"/>
      <c r="AF174" s="56"/>
      <c r="AG174" s="57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1"/>
      <c r="AV174" s="1"/>
    </row>
    <row r="175" spans="1:48" ht="15.75" customHeight="1" x14ac:dyDescent="0.2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/>
      <c r="L175" s="57"/>
      <c r="M175" s="57"/>
      <c r="N175" s="57"/>
      <c r="O175" s="56"/>
      <c r="P175" s="56"/>
      <c r="Q175" s="56"/>
      <c r="R175" s="56"/>
      <c r="S175" s="56"/>
      <c r="T175" s="56"/>
      <c r="U175" s="56"/>
      <c r="V175" s="56"/>
      <c r="W175" s="57"/>
      <c r="X175" s="56"/>
      <c r="Y175" s="56"/>
      <c r="Z175" s="56"/>
      <c r="AA175" s="57"/>
      <c r="AB175" s="56"/>
      <c r="AC175" s="56"/>
      <c r="AD175" s="56"/>
      <c r="AE175" s="56"/>
      <c r="AF175" s="56"/>
      <c r="AG175" s="57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1"/>
      <c r="AV175" s="1"/>
    </row>
    <row r="176" spans="1:48" ht="15.75" customHeight="1" x14ac:dyDescent="0.2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/>
      <c r="L176" s="57"/>
      <c r="M176" s="57"/>
      <c r="N176" s="57"/>
      <c r="O176" s="56"/>
      <c r="P176" s="56"/>
      <c r="Q176" s="56"/>
      <c r="R176" s="56"/>
      <c r="S176" s="56"/>
      <c r="T176" s="56"/>
      <c r="U176" s="56"/>
      <c r="V176" s="56"/>
      <c r="W176" s="57"/>
      <c r="X176" s="56"/>
      <c r="Y176" s="56"/>
      <c r="Z176" s="56"/>
      <c r="AA176" s="57"/>
      <c r="AB176" s="56"/>
      <c r="AC176" s="56"/>
      <c r="AD176" s="56"/>
      <c r="AE176" s="56"/>
      <c r="AF176" s="56"/>
      <c r="AG176" s="57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1"/>
      <c r="AV176" s="1"/>
    </row>
    <row r="177" spans="1:48" ht="15.75" customHeight="1" x14ac:dyDescent="0.2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/>
      <c r="L177" s="57"/>
      <c r="M177" s="57"/>
      <c r="N177" s="57"/>
      <c r="O177" s="56"/>
      <c r="P177" s="56"/>
      <c r="Q177" s="56"/>
      <c r="R177" s="56"/>
      <c r="S177" s="56"/>
      <c r="T177" s="56"/>
      <c r="U177" s="56"/>
      <c r="V177" s="56"/>
      <c r="W177" s="57"/>
      <c r="X177" s="56"/>
      <c r="Y177" s="56"/>
      <c r="Z177" s="56"/>
      <c r="AA177" s="57"/>
      <c r="AB177" s="56"/>
      <c r="AC177" s="56"/>
      <c r="AD177" s="56"/>
      <c r="AE177" s="56"/>
      <c r="AF177" s="56"/>
      <c r="AG177" s="57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1"/>
      <c r="AV177" s="1"/>
    </row>
    <row r="178" spans="1:48" ht="15.75" customHeight="1" x14ac:dyDescent="0.2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/>
      <c r="L178" s="57"/>
      <c r="M178" s="57"/>
      <c r="N178" s="57"/>
      <c r="O178" s="56"/>
      <c r="P178" s="56"/>
      <c r="Q178" s="56"/>
      <c r="R178" s="56"/>
      <c r="S178" s="56"/>
      <c r="T178" s="56"/>
      <c r="U178" s="56"/>
      <c r="V178" s="56"/>
      <c r="W178" s="57"/>
      <c r="X178" s="56"/>
      <c r="Y178" s="56"/>
      <c r="Z178" s="56"/>
      <c r="AA178" s="57"/>
      <c r="AB178" s="56"/>
      <c r="AC178" s="56"/>
      <c r="AD178" s="56"/>
      <c r="AE178" s="56"/>
      <c r="AF178" s="56"/>
      <c r="AG178" s="57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1"/>
      <c r="AV178" s="1"/>
    </row>
    <row r="179" spans="1:48" ht="15.75" customHeight="1" x14ac:dyDescent="0.2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/>
      <c r="L179" s="57"/>
      <c r="M179" s="57"/>
      <c r="N179" s="57"/>
      <c r="O179" s="56"/>
      <c r="P179" s="56"/>
      <c r="Q179" s="56"/>
      <c r="R179" s="56"/>
      <c r="S179" s="56"/>
      <c r="T179" s="56"/>
      <c r="U179" s="56"/>
      <c r="V179" s="56"/>
      <c r="W179" s="57"/>
      <c r="X179" s="56"/>
      <c r="Y179" s="56"/>
      <c r="Z179" s="56"/>
      <c r="AA179" s="57"/>
      <c r="AB179" s="56"/>
      <c r="AC179" s="56"/>
      <c r="AD179" s="56"/>
      <c r="AE179" s="56"/>
      <c r="AF179" s="56"/>
      <c r="AG179" s="57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1"/>
      <c r="AV179" s="1"/>
    </row>
    <row r="180" spans="1:48" ht="15.75" customHeight="1" x14ac:dyDescent="0.2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/>
      <c r="L180" s="57"/>
      <c r="M180" s="57"/>
      <c r="N180" s="57"/>
      <c r="O180" s="56"/>
      <c r="P180" s="56"/>
      <c r="Q180" s="56"/>
      <c r="R180" s="56"/>
      <c r="S180" s="56"/>
      <c r="T180" s="56"/>
      <c r="U180" s="56"/>
      <c r="V180" s="56"/>
      <c r="W180" s="57"/>
      <c r="X180" s="56"/>
      <c r="Y180" s="56"/>
      <c r="Z180" s="56"/>
      <c r="AA180" s="57"/>
      <c r="AB180" s="56"/>
      <c r="AC180" s="56"/>
      <c r="AD180" s="56"/>
      <c r="AE180" s="56"/>
      <c r="AF180" s="56"/>
      <c r="AG180" s="57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1"/>
      <c r="AV180" s="1"/>
    </row>
    <row r="181" spans="1:48" ht="15.75" customHeight="1" x14ac:dyDescent="0.2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/>
      <c r="L181" s="57"/>
      <c r="M181" s="57"/>
      <c r="N181" s="57"/>
      <c r="O181" s="56"/>
      <c r="P181" s="56"/>
      <c r="Q181" s="56"/>
      <c r="R181" s="56"/>
      <c r="S181" s="56"/>
      <c r="T181" s="56"/>
      <c r="U181" s="56"/>
      <c r="V181" s="56"/>
      <c r="W181" s="57"/>
      <c r="X181" s="56"/>
      <c r="Y181" s="56"/>
      <c r="Z181" s="56"/>
      <c r="AA181" s="57"/>
      <c r="AB181" s="56"/>
      <c r="AC181" s="56"/>
      <c r="AD181" s="56"/>
      <c r="AE181" s="56"/>
      <c r="AF181" s="56"/>
      <c r="AG181" s="57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1"/>
      <c r="AV181" s="1"/>
    </row>
    <row r="182" spans="1:48" ht="15.75" customHeight="1" x14ac:dyDescent="0.2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/>
      <c r="L182" s="57"/>
      <c r="M182" s="57"/>
      <c r="N182" s="57"/>
      <c r="O182" s="56"/>
      <c r="P182" s="56"/>
      <c r="Q182" s="56"/>
      <c r="R182" s="56"/>
      <c r="S182" s="56"/>
      <c r="T182" s="56"/>
      <c r="U182" s="56"/>
      <c r="V182" s="56"/>
      <c r="W182" s="57"/>
      <c r="X182" s="56"/>
      <c r="Y182" s="56"/>
      <c r="Z182" s="56"/>
      <c r="AA182" s="57"/>
      <c r="AB182" s="56"/>
      <c r="AC182" s="56"/>
      <c r="AD182" s="56"/>
      <c r="AE182" s="56"/>
      <c r="AF182" s="56"/>
      <c r="AG182" s="57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1"/>
      <c r="AV182" s="1"/>
    </row>
    <row r="183" spans="1:48" ht="15.75" customHeight="1" x14ac:dyDescent="0.2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/>
      <c r="L183" s="57"/>
      <c r="M183" s="57"/>
      <c r="N183" s="57"/>
      <c r="O183" s="56"/>
      <c r="P183" s="56"/>
      <c r="Q183" s="56"/>
      <c r="R183" s="56"/>
      <c r="S183" s="56"/>
      <c r="T183" s="56"/>
      <c r="U183" s="56"/>
      <c r="V183" s="56"/>
      <c r="W183" s="57"/>
      <c r="X183" s="56"/>
      <c r="Y183" s="56"/>
      <c r="Z183" s="56"/>
      <c r="AA183" s="57"/>
      <c r="AB183" s="56"/>
      <c r="AC183" s="56"/>
      <c r="AD183" s="56"/>
      <c r="AE183" s="56"/>
      <c r="AF183" s="56"/>
      <c r="AG183" s="57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1"/>
      <c r="AV183" s="1"/>
    </row>
    <row r="184" spans="1:48" ht="15.75" customHeight="1" x14ac:dyDescent="0.2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/>
      <c r="L184" s="57"/>
      <c r="M184" s="57"/>
      <c r="N184" s="57"/>
      <c r="O184" s="56"/>
      <c r="P184" s="56"/>
      <c r="Q184" s="56"/>
      <c r="R184" s="56"/>
      <c r="S184" s="56"/>
      <c r="T184" s="56"/>
      <c r="U184" s="56"/>
      <c r="V184" s="56"/>
      <c r="W184" s="57"/>
      <c r="X184" s="56"/>
      <c r="Y184" s="56"/>
      <c r="Z184" s="56"/>
      <c r="AA184" s="57"/>
      <c r="AB184" s="56"/>
      <c r="AC184" s="56"/>
      <c r="AD184" s="56"/>
      <c r="AE184" s="56"/>
      <c r="AF184" s="56"/>
      <c r="AG184" s="57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1"/>
      <c r="AV184" s="1"/>
    </row>
    <row r="185" spans="1:48" ht="15.75" customHeight="1" x14ac:dyDescent="0.2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/>
      <c r="L185" s="57"/>
      <c r="M185" s="57"/>
      <c r="N185" s="57"/>
      <c r="O185" s="56"/>
      <c r="P185" s="56"/>
      <c r="Q185" s="56"/>
      <c r="R185" s="56"/>
      <c r="S185" s="56"/>
      <c r="T185" s="56"/>
      <c r="U185" s="56"/>
      <c r="V185" s="56"/>
      <c r="W185" s="57"/>
      <c r="X185" s="56"/>
      <c r="Y185" s="56"/>
      <c r="Z185" s="56"/>
      <c r="AA185" s="57"/>
      <c r="AB185" s="56"/>
      <c r="AC185" s="56"/>
      <c r="AD185" s="56"/>
      <c r="AE185" s="56"/>
      <c r="AF185" s="56"/>
      <c r="AG185" s="57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1"/>
      <c r="AV185" s="1"/>
    </row>
    <row r="186" spans="1:48" ht="15.75" customHeight="1" x14ac:dyDescent="0.2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/>
      <c r="L186" s="57"/>
      <c r="M186" s="57"/>
      <c r="N186" s="57"/>
      <c r="O186" s="56"/>
      <c r="P186" s="56"/>
      <c r="Q186" s="56"/>
      <c r="R186" s="56"/>
      <c r="S186" s="56"/>
      <c r="T186" s="56"/>
      <c r="U186" s="56"/>
      <c r="V186" s="56"/>
      <c r="W186" s="57"/>
      <c r="X186" s="56"/>
      <c r="Y186" s="56"/>
      <c r="Z186" s="56"/>
      <c r="AA186" s="57"/>
      <c r="AB186" s="56"/>
      <c r="AC186" s="56"/>
      <c r="AD186" s="56"/>
      <c r="AE186" s="56"/>
      <c r="AF186" s="56"/>
      <c r="AG186" s="57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1"/>
      <c r="AV186" s="1"/>
    </row>
    <row r="187" spans="1:48" ht="15.75" customHeight="1" x14ac:dyDescent="0.2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/>
      <c r="L187" s="57"/>
      <c r="M187" s="57"/>
      <c r="N187" s="57"/>
      <c r="O187" s="56"/>
      <c r="P187" s="56"/>
      <c r="Q187" s="56"/>
      <c r="R187" s="56"/>
      <c r="S187" s="56"/>
      <c r="T187" s="56"/>
      <c r="U187" s="56"/>
      <c r="V187" s="56"/>
      <c r="W187" s="57"/>
      <c r="X187" s="56"/>
      <c r="Y187" s="56"/>
      <c r="Z187" s="56"/>
      <c r="AA187" s="57"/>
      <c r="AB187" s="56"/>
      <c r="AC187" s="56"/>
      <c r="AD187" s="56"/>
      <c r="AE187" s="56"/>
      <c r="AF187" s="56"/>
      <c r="AG187" s="57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1"/>
      <c r="AV187" s="1"/>
    </row>
    <row r="188" spans="1:48" ht="15.75" customHeight="1" x14ac:dyDescent="0.2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/>
      <c r="L188" s="57"/>
      <c r="M188" s="57"/>
      <c r="N188" s="57"/>
      <c r="O188" s="56"/>
      <c r="P188" s="56"/>
      <c r="Q188" s="56"/>
      <c r="R188" s="56"/>
      <c r="S188" s="56"/>
      <c r="T188" s="56"/>
      <c r="U188" s="56"/>
      <c r="V188" s="56"/>
      <c r="W188" s="57"/>
      <c r="X188" s="56"/>
      <c r="Y188" s="56"/>
      <c r="Z188" s="56"/>
      <c r="AA188" s="57"/>
      <c r="AB188" s="56"/>
      <c r="AC188" s="56"/>
      <c r="AD188" s="56"/>
      <c r="AE188" s="56"/>
      <c r="AF188" s="56"/>
      <c r="AG188" s="57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1"/>
      <c r="AV188" s="1"/>
    </row>
    <row r="189" spans="1:48" ht="15.75" customHeight="1" x14ac:dyDescent="0.2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/>
      <c r="L189" s="57"/>
      <c r="M189" s="57"/>
      <c r="N189" s="57"/>
      <c r="O189" s="56"/>
      <c r="P189" s="56"/>
      <c r="Q189" s="56"/>
      <c r="R189" s="56"/>
      <c r="S189" s="56"/>
      <c r="T189" s="56"/>
      <c r="U189" s="56"/>
      <c r="V189" s="56"/>
      <c r="W189" s="57"/>
      <c r="X189" s="56"/>
      <c r="Y189" s="56"/>
      <c r="Z189" s="56"/>
      <c r="AA189" s="57"/>
      <c r="AB189" s="56"/>
      <c r="AC189" s="56"/>
      <c r="AD189" s="56"/>
      <c r="AE189" s="56"/>
      <c r="AF189" s="56"/>
      <c r="AG189" s="57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1"/>
      <c r="AV189" s="1"/>
    </row>
    <row r="190" spans="1:48" ht="15.75" customHeight="1" x14ac:dyDescent="0.2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/>
      <c r="L190" s="57"/>
      <c r="M190" s="57"/>
      <c r="N190" s="57"/>
      <c r="O190" s="56"/>
      <c r="P190" s="56"/>
      <c r="Q190" s="56"/>
      <c r="R190" s="56"/>
      <c r="S190" s="56"/>
      <c r="T190" s="56"/>
      <c r="U190" s="56"/>
      <c r="V190" s="56"/>
      <c r="W190" s="57"/>
      <c r="X190" s="56"/>
      <c r="Y190" s="56"/>
      <c r="Z190" s="56"/>
      <c r="AA190" s="57"/>
      <c r="AB190" s="56"/>
      <c r="AC190" s="56"/>
      <c r="AD190" s="56"/>
      <c r="AE190" s="56"/>
      <c r="AF190" s="56"/>
      <c r="AG190" s="57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1"/>
      <c r="AV190" s="1"/>
    </row>
    <row r="191" spans="1:48" ht="15.75" customHeight="1" x14ac:dyDescent="0.2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/>
      <c r="L191" s="57"/>
      <c r="M191" s="57"/>
      <c r="N191" s="57"/>
      <c r="O191" s="56"/>
      <c r="P191" s="56"/>
      <c r="Q191" s="56"/>
      <c r="R191" s="56"/>
      <c r="S191" s="56"/>
      <c r="T191" s="56"/>
      <c r="U191" s="56"/>
      <c r="V191" s="56"/>
      <c r="W191" s="57"/>
      <c r="X191" s="56"/>
      <c r="Y191" s="56"/>
      <c r="Z191" s="56"/>
      <c r="AA191" s="57"/>
      <c r="AB191" s="56"/>
      <c r="AC191" s="56"/>
      <c r="AD191" s="56"/>
      <c r="AE191" s="56"/>
      <c r="AF191" s="56"/>
      <c r="AG191" s="57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1"/>
      <c r="AV191" s="1"/>
    </row>
    <row r="192" spans="1:48" ht="15.75" customHeight="1" x14ac:dyDescent="0.2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/>
      <c r="L192" s="57"/>
      <c r="M192" s="57"/>
      <c r="N192" s="57"/>
      <c r="O192" s="56"/>
      <c r="P192" s="56"/>
      <c r="Q192" s="56"/>
      <c r="R192" s="56"/>
      <c r="S192" s="56"/>
      <c r="T192" s="56"/>
      <c r="U192" s="56"/>
      <c r="V192" s="56"/>
      <c r="W192" s="57"/>
      <c r="X192" s="56"/>
      <c r="Y192" s="56"/>
      <c r="Z192" s="56"/>
      <c r="AA192" s="57"/>
      <c r="AB192" s="56"/>
      <c r="AC192" s="56"/>
      <c r="AD192" s="56"/>
      <c r="AE192" s="56"/>
      <c r="AF192" s="56"/>
      <c r="AG192" s="57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1"/>
      <c r="AV192" s="1"/>
    </row>
    <row r="193" spans="1:48" ht="15.75" customHeight="1" x14ac:dyDescent="0.2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/>
      <c r="L193" s="57"/>
      <c r="M193" s="57"/>
      <c r="N193" s="57"/>
      <c r="O193" s="56"/>
      <c r="P193" s="56"/>
      <c r="Q193" s="56"/>
      <c r="R193" s="56"/>
      <c r="S193" s="56"/>
      <c r="T193" s="56"/>
      <c r="U193" s="56"/>
      <c r="V193" s="56"/>
      <c r="W193" s="57"/>
      <c r="X193" s="56"/>
      <c r="Y193" s="56"/>
      <c r="Z193" s="56"/>
      <c r="AA193" s="57"/>
      <c r="AB193" s="56"/>
      <c r="AC193" s="56"/>
      <c r="AD193" s="56"/>
      <c r="AE193" s="56"/>
      <c r="AF193" s="56"/>
      <c r="AG193" s="57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1"/>
      <c r="AV193" s="1"/>
    </row>
    <row r="194" spans="1:48" ht="15.75" customHeight="1" x14ac:dyDescent="0.2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/>
      <c r="L194" s="57"/>
      <c r="M194" s="57"/>
      <c r="N194" s="57"/>
      <c r="O194" s="56"/>
      <c r="P194" s="56"/>
      <c r="Q194" s="56"/>
      <c r="R194" s="56"/>
      <c r="S194" s="56"/>
      <c r="T194" s="56"/>
      <c r="U194" s="56"/>
      <c r="V194" s="56"/>
      <c r="W194" s="57"/>
      <c r="X194" s="56"/>
      <c r="Y194" s="56"/>
      <c r="Z194" s="56"/>
      <c r="AA194" s="57"/>
      <c r="AB194" s="56"/>
      <c r="AC194" s="56"/>
      <c r="AD194" s="56"/>
      <c r="AE194" s="56"/>
      <c r="AF194" s="56"/>
      <c r="AG194" s="57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1"/>
      <c r="AV194" s="1"/>
    </row>
    <row r="195" spans="1:48" ht="15.75" customHeight="1" x14ac:dyDescent="0.2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/>
      <c r="L195" s="57"/>
      <c r="M195" s="57"/>
      <c r="N195" s="57"/>
      <c r="O195" s="56"/>
      <c r="P195" s="56"/>
      <c r="Q195" s="56"/>
      <c r="R195" s="56"/>
      <c r="S195" s="56"/>
      <c r="T195" s="56"/>
      <c r="U195" s="56"/>
      <c r="V195" s="56"/>
      <c r="W195" s="57"/>
      <c r="X195" s="56"/>
      <c r="Y195" s="56"/>
      <c r="Z195" s="56"/>
      <c r="AA195" s="57"/>
      <c r="AB195" s="56"/>
      <c r="AC195" s="56"/>
      <c r="AD195" s="56"/>
      <c r="AE195" s="56"/>
      <c r="AF195" s="56"/>
      <c r="AG195" s="57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1"/>
      <c r="AV195" s="1"/>
    </row>
    <row r="196" spans="1:48" ht="15.75" customHeight="1" x14ac:dyDescent="0.2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/>
      <c r="L196" s="57"/>
      <c r="M196" s="57"/>
      <c r="N196" s="57"/>
      <c r="O196" s="56"/>
      <c r="P196" s="56"/>
      <c r="Q196" s="56"/>
      <c r="R196" s="56"/>
      <c r="S196" s="56"/>
      <c r="T196" s="56"/>
      <c r="U196" s="56"/>
      <c r="V196" s="56"/>
      <c r="W196" s="57"/>
      <c r="X196" s="56"/>
      <c r="Y196" s="56"/>
      <c r="Z196" s="56"/>
      <c r="AA196" s="57"/>
      <c r="AB196" s="56"/>
      <c r="AC196" s="56"/>
      <c r="AD196" s="56"/>
      <c r="AE196" s="56"/>
      <c r="AF196" s="56"/>
      <c r="AG196" s="57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1"/>
      <c r="AV196" s="1"/>
    </row>
    <row r="197" spans="1:48" ht="15.75" customHeight="1" x14ac:dyDescent="0.2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/>
      <c r="L197" s="57"/>
      <c r="M197" s="57"/>
      <c r="N197" s="57"/>
      <c r="O197" s="56"/>
      <c r="P197" s="56"/>
      <c r="Q197" s="56"/>
      <c r="R197" s="56"/>
      <c r="S197" s="56"/>
      <c r="T197" s="56"/>
      <c r="U197" s="56"/>
      <c r="V197" s="56"/>
      <c r="W197" s="57"/>
      <c r="X197" s="56"/>
      <c r="Y197" s="56"/>
      <c r="Z197" s="56"/>
      <c r="AA197" s="57"/>
      <c r="AB197" s="56"/>
      <c r="AC197" s="56"/>
      <c r="AD197" s="56"/>
      <c r="AE197" s="56"/>
      <c r="AF197" s="56"/>
      <c r="AG197" s="57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1"/>
      <c r="AV197" s="1"/>
    </row>
    <row r="198" spans="1:48" ht="15.75" customHeight="1" x14ac:dyDescent="0.2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/>
      <c r="L198" s="57"/>
      <c r="M198" s="57"/>
      <c r="N198" s="57"/>
      <c r="O198" s="56"/>
      <c r="P198" s="56"/>
      <c r="Q198" s="56"/>
      <c r="R198" s="56"/>
      <c r="S198" s="56"/>
      <c r="T198" s="56"/>
      <c r="U198" s="56"/>
      <c r="V198" s="56"/>
      <c r="W198" s="57"/>
      <c r="X198" s="56"/>
      <c r="Y198" s="56"/>
      <c r="Z198" s="56"/>
      <c r="AA198" s="57"/>
      <c r="AB198" s="56"/>
      <c r="AC198" s="56"/>
      <c r="AD198" s="56"/>
      <c r="AE198" s="56"/>
      <c r="AF198" s="56"/>
      <c r="AG198" s="57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1"/>
      <c r="AV198" s="1"/>
    </row>
    <row r="199" spans="1:48" ht="15.75" customHeight="1" x14ac:dyDescent="0.2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/>
      <c r="L199" s="57"/>
      <c r="M199" s="57"/>
      <c r="N199" s="57"/>
      <c r="O199" s="56"/>
      <c r="P199" s="56"/>
      <c r="Q199" s="56"/>
      <c r="R199" s="56"/>
      <c r="S199" s="56"/>
      <c r="T199" s="56"/>
      <c r="U199" s="56"/>
      <c r="V199" s="56"/>
      <c r="W199" s="57"/>
      <c r="X199" s="56"/>
      <c r="Y199" s="56"/>
      <c r="Z199" s="56"/>
      <c r="AA199" s="57"/>
      <c r="AB199" s="56"/>
      <c r="AC199" s="56"/>
      <c r="AD199" s="56"/>
      <c r="AE199" s="56"/>
      <c r="AF199" s="56"/>
      <c r="AG199" s="57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1"/>
      <c r="AV199" s="1"/>
    </row>
    <row r="200" spans="1:48" ht="15.75" customHeight="1" x14ac:dyDescent="0.2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/>
      <c r="L200" s="57"/>
      <c r="M200" s="57"/>
      <c r="N200" s="57"/>
      <c r="O200" s="56"/>
      <c r="P200" s="56"/>
      <c r="Q200" s="56"/>
      <c r="R200" s="56"/>
      <c r="S200" s="56"/>
      <c r="T200" s="56"/>
      <c r="U200" s="56"/>
      <c r="V200" s="56"/>
      <c r="W200" s="57"/>
      <c r="X200" s="56"/>
      <c r="Y200" s="56"/>
      <c r="Z200" s="56"/>
      <c r="AA200" s="57"/>
      <c r="AB200" s="56"/>
      <c r="AC200" s="56"/>
      <c r="AD200" s="56"/>
      <c r="AE200" s="56"/>
      <c r="AF200" s="56"/>
      <c r="AG200" s="57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1"/>
      <c r="AV200" s="1"/>
    </row>
    <row r="201" spans="1:48" ht="15.75" customHeight="1" x14ac:dyDescent="0.2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/>
      <c r="L201" s="57"/>
      <c r="M201" s="57"/>
      <c r="N201" s="57"/>
      <c r="O201" s="56"/>
      <c r="P201" s="56"/>
      <c r="Q201" s="56"/>
      <c r="R201" s="56"/>
      <c r="S201" s="56"/>
      <c r="T201" s="56"/>
      <c r="U201" s="56"/>
      <c r="V201" s="56"/>
      <c r="W201" s="57"/>
      <c r="X201" s="56"/>
      <c r="Y201" s="56"/>
      <c r="Z201" s="56"/>
      <c r="AA201" s="57"/>
      <c r="AB201" s="56"/>
      <c r="AC201" s="56"/>
      <c r="AD201" s="56"/>
      <c r="AE201" s="56"/>
      <c r="AF201" s="56"/>
      <c r="AG201" s="57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1"/>
      <c r="AV201" s="1"/>
    </row>
    <row r="202" spans="1:48" ht="15.75" customHeight="1" x14ac:dyDescent="0.2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/>
      <c r="L202" s="57"/>
      <c r="M202" s="57"/>
      <c r="N202" s="57"/>
      <c r="O202" s="56"/>
      <c r="P202" s="56"/>
      <c r="Q202" s="56"/>
      <c r="R202" s="56"/>
      <c r="S202" s="56"/>
      <c r="T202" s="56"/>
      <c r="U202" s="56"/>
      <c r="V202" s="56"/>
      <c r="W202" s="57"/>
      <c r="X202" s="56"/>
      <c r="Y202" s="56"/>
      <c r="Z202" s="56"/>
      <c r="AA202" s="57"/>
      <c r="AB202" s="56"/>
      <c r="AC202" s="56"/>
      <c r="AD202" s="56"/>
      <c r="AE202" s="56"/>
      <c r="AF202" s="56"/>
      <c r="AG202" s="57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1"/>
      <c r="AV202" s="1"/>
    </row>
    <row r="203" spans="1:48" ht="15.75" customHeight="1" x14ac:dyDescent="0.2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/>
      <c r="L203" s="57"/>
      <c r="M203" s="57"/>
      <c r="N203" s="57"/>
      <c r="O203" s="56"/>
      <c r="P203" s="56"/>
      <c r="Q203" s="56"/>
      <c r="R203" s="56"/>
      <c r="S203" s="56"/>
      <c r="T203" s="56"/>
      <c r="U203" s="56"/>
      <c r="V203" s="56"/>
      <c r="W203" s="57"/>
      <c r="X203" s="56"/>
      <c r="Y203" s="56"/>
      <c r="Z203" s="56"/>
      <c r="AA203" s="57"/>
      <c r="AB203" s="56"/>
      <c r="AC203" s="56"/>
      <c r="AD203" s="56"/>
      <c r="AE203" s="56"/>
      <c r="AF203" s="56"/>
      <c r="AG203" s="57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1"/>
      <c r="AV203" s="1"/>
    </row>
    <row r="204" spans="1:48" ht="15.75" customHeight="1" x14ac:dyDescent="0.2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/>
      <c r="L204" s="57"/>
      <c r="M204" s="57"/>
      <c r="N204" s="57"/>
      <c r="O204" s="56"/>
      <c r="P204" s="56"/>
      <c r="Q204" s="56"/>
      <c r="R204" s="56"/>
      <c r="S204" s="56"/>
      <c r="T204" s="56"/>
      <c r="U204" s="56"/>
      <c r="V204" s="56"/>
      <c r="W204" s="57"/>
      <c r="X204" s="56"/>
      <c r="Y204" s="56"/>
      <c r="Z204" s="56"/>
      <c r="AA204" s="57"/>
      <c r="AB204" s="56"/>
      <c r="AC204" s="56"/>
      <c r="AD204" s="56"/>
      <c r="AE204" s="56"/>
      <c r="AF204" s="56"/>
      <c r="AG204" s="57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1"/>
      <c r="AV204" s="1"/>
    </row>
    <row r="205" spans="1:48" ht="15.75" customHeight="1" x14ac:dyDescent="0.2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/>
      <c r="L205" s="57"/>
      <c r="M205" s="57"/>
      <c r="N205" s="57"/>
      <c r="O205" s="56"/>
      <c r="P205" s="56"/>
      <c r="Q205" s="56"/>
      <c r="R205" s="56"/>
      <c r="S205" s="56"/>
      <c r="T205" s="56"/>
      <c r="U205" s="56"/>
      <c r="V205" s="56"/>
      <c r="W205" s="57"/>
      <c r="X205" s="56"/>
      <c r="Y205" s="56"/>
      <c r="Z205" s="56"/>
      <c r="AA205" s="57"/>
      <c r="AB205" s="56"/>
      <c r="AC205" s="56"/>
      <c r="AD205" s="56"/>
      <c r="AE205" s="56"/>
      <c r="AF205" s="56"/>
      <c r="AG205" s="57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1"/>
      <c r="AV205" s="1"/>
    </row>
    <row r="206" spans="1:48" ht="15.75" customHeight="1" x14ac:dyDescent="0.2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/>
      <c r="L206" s="57"/>
      <c r="M206" s="57"/>
      <c r="N206" s="57"/>
      <c r="O206" s="56"/>
      <c r="P206" s="56"/>
      <c r="Q206" s="56"/>
      <c r="R206" s="56"/>
      <c r="S206" s="56"/>
      <c r="T206" s="56"/>
      <c r="U206" s="56"/>
      <c r="V206" s="56"/>
      <c r="W206" s="57"/>
      <c r="X206" s="56"/>
      <c r="Y206" s="56"/>
      <c r="Z206" s="56"/>
      <c r="AA206" s="57"/>
      <c r="AB206" s="56"/>
      <c r="AC206" s="56"/>
      <c r="AD206" s="56"/>
      <c r="AE206" s="56"/>
      <c r="AF206" s="56"/>
      <c r="AG206" s="57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1"/>
      <c r="AV206" s="1"/>
    </row>
    <row r="207" spans="1:48" ht="15.75" customHeight="1" x14ac:dyDescent="0.2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/>
      <c r="L207" s="57"/>
      <c r="M207" s="57"/>
      <c r="N207" s="57"/>
      <c r="O207" s="56"/>
      <c r="P207" s="56"/>
      <c r="Q207" s="56"/>
      <c r="R207" s="56"/>
      <c r="S207" s="56"/>
      <c r="T207" s="56"/>
      <c r="U207" s="56"/>
      <c r="V207" s="56"/>
      <c r="W207" s="57"/>
      <c r="X207" s="56"/>
      <c r="Y207" s="56"/>
      <c r="Z207" s="56"/>
      <c r="AA207" s="57"/>
      <c r="AB207" s="56"/>
      <c r="AC207" s="56"/>
      <c r="AD207" s="56"/>
      <c r="AE207" s="56"/>
      <c r="AF207" s="56"/>
      <c r="AG207" s="57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1"/>
      <c r="AV207" s="1"/>
    </row>
    <row r="208" spans="1:48" ht="15.75" customHeight="1" x14ac:dyDescent="0.2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/>
      <c r="L208" s="57"/>
      <c r="M208" s="57"/>
      <c r="N208" s="57"/>
      <c r="O208" s="56"/>
      <c r="P208" s="56"/>
      <c r="Q208" s="56"/>
      <c r="R208" s="56"/>
      <c r="S208" s="56"/>
      <c r="T208" s="56"/>
      <c r="U208" s="56"/>
      <c r="V208" s="56"/>
      <c r="W208" s="57"/>
      <c r="X208" s="56"/>
      <c r="Y208" s="56"/>
      <c r="Z208" s="56"/>
      <c r="AA208" s="57"/>
      <c r="AB208" s="56"/>
      <c r="AC208" s="56"/>
      <c r="AD208" s="56"/>
      <c r="AE208" s="56"/>
      <c r="AF208" s="56"/>
      <c r="AG208" s="57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1"/>
      <c r="AV208" s="1"/>
    </row>
    <row r="209" spans="1:48" ht="15.75" customHeight="1" x14ac:dyDescent="0.2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/>
      <c r="L209" s="57"/>
      <c r="M209" s="57"/>
      <c r="N209" s="57"/>
      <c r="O209" s="56"/>
      <c r="P209" s="56"/>
      <c r="Q209" s="56"/>
      <c r="R209" s="56"/>
      <c r="S209" s="56"/>
      <c r="T209" s="56"/>
      <c r="U209" s="56"/>
      <c r="V209" s="56"/>
      <c r="W209" s="57"/>
      <c r="X209" s="56"/>
      <c r="Y209" s="56"/>
      <c r="Z209" s="56"/>
      <c r="AA209" s="57"/>
      <c r="AB209" s="56"/>
      <c r="AC209" s="56"/>
      <c r="AD209" s="56"/>
      <c r="AE209" s="56"/>
      <c r="AF209" s="56"/>
      <c r="AG209" s="57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1"/>
      <c r="AV209" s="1"/>
    </row>
    <row r="210" spans="1:48" ht="15.75" customHeight="1" x14ac:dyDescent="0.2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  <c r="L210" s="57"/>
      <c r="M210" s="57"/>
      <c r="N210" s="57"/>
      <c r="O210" s="56"/>
      <c r="P210" s="56"/>
      <c r="Q210" s="56"/>
      <c r="R210" s="56"/>
      <c r="S210" s="56"/>
      <c r="T210" s="56"/>
      <c r="U210" s="56"/>
      <c r="V210" s="56"/>
      <c r="W210" s="57"/>
      <c r="X210" s="56"/>
      <c r="Y210" s="56"/>
      <c r="Z210" s="56"/>
      <c r="AA210" s="57"/>
      <c r="AB210" s="56"/>
      <c r="AC210" s="56"/>
      <c r="AD210" s="56"/>
      <c r="AE210" s="56"/>
      <c r="AF210" s="56"/>
      <c r="AG210" s="57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1"/>
      <c r="AV210" s="1"/>
    </row>
    <row r="211" spans="1:48" ht="15.75" customHeight="1" x14ac:dyDescent="0.2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/>
      <c r="L211" s="57"/>
      <c r="M211" s="57"/>
      <c r="N211" s="57"/>
      <c r="O211" s="56"/>
      <c r="P211" s="56"/>
      <c r="Q211" s="56"/>
      <c r="R211" s="56"/>
      <c r="S211" s="56"/>
      <c r="T211" s="56"/>
      <c r="U211" s="56"/>
      <c r="V211" s="56"/>
      <c r="W211" s="57"/>
      <c r="X211" s="56"/>
      <c r="Y211" s="56"/>
      <c r="Z211" s="56"/>
      <c r="AA211" s="57"/>
      <c r="AB211" s="56"/>
      <c r="AC211" s="56"/>
      <c r="AD211" s="56"/>
      <c r="AE211" s="56"/>
      <c r="AF211" s="56"/>
      <c r="AG211" s="57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1"/>
      <c r="AV211" s="1"/>
    </row>
    <row r="212" spans="1:48" ht="15.75" customHeight="1" x14ac:dyDescent="0.2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56"/>
      <c r="L212" s="57"/>
      <c r="M212" s="57"/>
      <c r="N212" s="57"/>
      <c r="O212" s="56"/>
      <c r="P212" s="56"/>
      <c r="Q212" s="56"/>
      <c r="R212" s="56"/>
      <c r="S212" s="56"/>
      <c r="T212" s="56"/>
      <c r="U212" s="56"/>
      <c r="V212" s="56"/>
      <c r="W212" s="57"/>
      <c r="X212" s="56"/>
      <c r="Y212" s="56"/>
      <c r="Z212" s="56"/>
      <c r="AA212" s="57"/>
      <c r="AB212" s="56"/>
      <c r="AC212" s="56"/>
      <c r="AD212" s="56"/>
      <c r="AE212" s="56"/>
      <c r="AF212" s="56"/>
      <c r="AG212" s="57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1"/>
      <c r="AV212" s="1"/>
    </row>
    <row r="213" spans="1:48" ht="15.75" customHeight="1" x14ac:dyDescent="0.2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/>
      <c r="L213" s="57"/>
      <c r="M213" s="57"/>
      <c r="N213" s="57"/>
      <c r="O213" s="56"/>
      <c r="P213" s="56"/>
      <c r="Q213" s="56"/>
      <c r="R213" s="56"/>
      <c r="S213" s="56"/>
      <c r="T213" s="56"/>
      <c r="U213" s="56"/>
      <c r="V213" s="56"/>
      <c r="W213" s="57"/>
      <c r="X213" s="56"/>
      <c r="Y213" s="56"/>
      <c r="Z213" s="56"/>
      <c r="AA213" s="57"/>
      <c r="AB213" s="56"/>
      <c r="AC213" s="56"/>
      <c r="AD213" s="56"/>
      <c r="AE213" s="56"/>
      <c r="AF213" s="56"/>
      <c r="AG213" s="57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1"/>
      <c r="AV213" s="1"/>
    </row>
    <row r="214" spans="1:48" ht="15.75" customHeight="1" x14ac:dyDescent="0.2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/>
      <c r="L214" s="57"/>
      <c r="M214" s="57"/>
      <c r="N214" s="57"/>
      <c r="O214" s="56"/>
      <c r="P214" s="56"/>
      <c r="Q214" s="56"/>
      <c r="R214" s="56"/>
      <c r="S214" s="56"/>
      <c r="T214" s="56"/>
      <c r="U214" s="56"/>
      <c r="V214" s="56"/>
      <c r="W214" s="57"/>
      <c r="X214" s="56"/>
      <c r="Y214" s="56"/>
      <c r="Z214" s="56"/>
      <c r="AA214" s="57"/>
      <c r="AB214" s="56"/>
      <c r="AC214" s="56"/>
      <c r="AD214" s="56"/>
      <c r="AE214" s="56"/>
      <c r="AF214" s="56"/>
      <c r="AG214" s="57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1"/>
      <c r="AV214" s="1"/>
    </row>
    <row r="215" spans="1:48" ht="15.75" customHeight="1" x14ac:dyDescent="0.2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/>
      <c r="L215" s="57"/>
      <c r="M215" s="57"/>
      <c r="N215" s="57"/>
      <c r="O215" s="56"/>
      <c r="P215" s="56"/>
      <c r="Q215" s="56"/>
      <c r="R215" s="56"/>
      <c r="S215" s="56"/>
      <c r="T215" s="56"/>
      <c r="U215" s="56"/>
      <c r="V215" s="56"/>
      <c r="W215" s="57"/>
      <c r="X215" s="56"/>
      <c r="Y215" s="56"/>
      <c r="Z215" s="56"/>
      <c r="AA215" s="57"/>
      <c r="AB215" s="56"/>
      <c r="AC215" s="56"/>
      <c r="AD215" s="56"/>
      <c r="AE215" s="56"/>
      <c r="AF215" s="56"/>
      <c r="AG215" s="57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1"/>
      <c r="AV215" s="1"/>
    </row>
    <row r="216" spans="1:48" ht="15.75" customHeight="1" x14ac:dyDescent="0.2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/>
      <c r="L216" s="57"/>
      <c r="M216" s="57"/>
      <c r="N216" s="57"/>
      <c r="O216" s="56"/>
      <c r="P216" s="56"/>
      <c r="Q216" s="56"/>
      <c r="R216" s="56"/>
      <c r="S216" s="56"/>
      <c r="T216" s="56"/>
      <c r="U216" s="56"/>
      <c r="V216" s="56"/>
      <c r="W216" s="57"/>
      <c r="X216" s="56"/>
      <c r="Y216" s="56"/>
      <c r="Z216" s="56"/>
      <c r="AA216" s="57"/>
      <c r="AB216" s="56"/>
      <c r="AC216" s="56"/>
      <c r="AD216" s="56"/>
      <c r="AE216" s="56"/>
      <c r="AF216" s="56"/>
      <c r="AG216" s="57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1"/>
      <c r="AV216" s="1"/>
    </row>
    <row r="217" spans="1:48" ht="15.75" customHeight="1" x14ac:dyDescent="0.2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/>
      <c r="L217" s="57"/>
      <c r="M217" s="57"/>
      <c r="N217" s="57"/>
      <c r="O217" s="56"/>
      <c r="P217" s="56"/>
      <c r="Q217" s="56"/>
      <c r="R217" s="56"/>
      <c r="S217" s="56"/>
      <c r="T217" s="56"/>
      <c r="U217" s="56"/>
      <c r="V217" s="56"/>
      <c r="W217" s="57"/>
      <c r="X217" s="56"/>
      <c r="Y217" s="56"/>
      <c r="Z217" s="56"/>
      <c r="AA217" s="57"/>
      <c r="AB217" s="56"/>
      <c r="AC217" s="56"/>
      <c r="AD217" s="56"/>
      <c r="AE217" s="56"/>
      <c r="AF217" s="56"/>
      <c r="AG217" s="57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1"/>
      <c r="AV217" s="1"/>
    </row>
    <row r="218" spans="1:48" ht="15.75" customHeight="1" x14ac:dyDescent="0.2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/>
      <c r="L218" s="57"/>
      <c r="M218" s="57"/>
      <c r="N218" s="57"/>
      <c r="O218" s="56"/>
      <c r="P218" s="56"/>
      <c r="Q218" s="56"/>
      <c r="R218" s="56"/>
      <c r="S218" s="56"/>
      <c r="T218" s="56"/>
      <c r="U218" s="56"/>
      <c r="V218" s="56"/>
      <c r="W218" s="57"/>
      <c r="X218" s="56"/>
      <c r="Y218" s="56"/>
      <c r="Z218" s="56"/>
      <c r="AA218" s="57"/>
      <c r="AB218" s="56"/>
      <c r="AC218" s="56"/>
      <c r="AD218" s="56"/>
      <c r="AE218" s="56"/>
      <c r="AF218" s="56"/>
      <c r="AG218" s="57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1"/>
      <c r="AV218" s="1"/>
    </row>
    <row r="219" spans="1:48" ht="15.75" customHeight="1" x14ac:dyDescent="0.2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/>
      <c r="L219" s="57"/>
      <c r="M219" s="57"/>
      <c r="N219" s="57"/>
      <c r="O219" s="56"/>
      <c r="P219" s="56"/>
      <c r="Q219" s="56"/>
      <c r="R219" s="56"/>
      <c r="S219" s="56"/>
      <c r="T219" s="56"/>
      <c r="U219" s="56"/>
      <c r="V219" s="56"/>
      <c r="W219" s="57"/>
      <c r="X219" s="56"/>
      <c r="Y219" s="56"/>
      <c r="Z219" s="56"/>
      <c r="AA219" s="57"/>
      <c r="AB219" s="56"/>
      <c r="AC219" s="56"/>
      <c r="AD219" s="56"/>
      <c r="AE219" s="56"/>
      <c r="AF219" s="56"/>
      <c r="AG219" s="57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1"/>
      <c r="AV219" s="1"/>
    </row>
    <row r="220" spans="1:48" ht="15.75" customHeight="1" x14ac:dyDescent="0.2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/>
      <c r="L220" s="57"/>
      <c r="M220" s="57"/>
      <c r="N220" s="57"/>
      <c r="O220" s="56"/>
      <c r="P220" s="56"/>
      <c r="Q220" s="56"/>
      <c r="R220" s="56"/>
      <c r="S220" s="56"/>
      <c r="T220" s="56"/>
      <c r="U220" s="56"/>
      <c r="V220" s="56"/>
      <c r="W220" s="57"/>
      <c r="X220" s="56"/>
      <c r="Y220" s="56"/>
      <c r="Z220" s="56"/>
      <c r="AA220" s="57"/>
      <c r="AB220" s="56"/>
      <c r="AC220" s="56"/>
      <c r="AD220" s="56"/>
      <c r="AE220" s="56"/>
      <c r="AF220" s="56"/>
      <c r="AG220" s="57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1"/>
      <c r="AV220" s="1"/>
    </row>
    <row r="221" spans="1:48" ht="15.75" customHeight="1" x14ac:dyDescent="0.2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/>
      <c r="L221" s="57"/>
      <c r="M221" s="57"/>
      <c r="N221" s="57"/>
      <c r="O221" s="56"/>
      <c r="P221" s="56"/>
      <c r="Q221" s="56"/>
      <c r="R221" s="56"/>
      <c r="S221" s="56"/>
      <c r="T221" s="56"/>
      <c r="U221" s="56"/>
      <c r="V221" s="56"/>
      <c r="W221" s="57"/>
      <c r="X221" s="56"/>
      <c r="Y221" s="56"/>
      <c r="Z221" s="56"/>
      <c r="AA221" s="57"/>
      <c r="AB221" s="56"/>
      <c r="AC221" s="56"/>
      <c r="AD221" s="56"/>
      <c r="AE221" s="56"/>
      <c r="AF221" s="56"/>
      <c r="AG221" s="57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1"/>
      <c r="AV221" s="1"/>
    </row>
    <row r="222" spans="1:48" ht="15.75" customHeight="1" x14ac:dyDescent="0.2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/>
      <c r="L222" s="57"/>
      <c r="M222" s="57"/>
      <c r="N222" s="57"/>
      <c r="O222" s="56"/>
      <c r="P222" s="56"/>
      <c r="Q222" s="56"/>
      <c r="R222" s="56"/>
      <c r="S222" s="56"/>
      <c r="T222" s="56"/>
      <c r="U222" s="56"/>
      <c r="V222" s="56"/>
      <c r="W222" s="57"/>
      <c r="X222" s="56"/>
      <c r="Y222" s="56"/>
      <c r="Z222" s="56"/>
      <c r="AA222" s="57"/>
      <c r="AB222" s="56"/>
      <c r="AC222" s="56"/>
      <c r="AD222" s="56"/>
      <c r="AE222" s="56"/>
      <c r="AF222" s="56"/>
      <c r="AG222" s="57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1"/>
      <c r="AV222" s="1"/>
    </row>
    <row r="223" spans="1:48" ht="15.75" customHeight="1" x14ac:dyDescent="0.2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/>
      <c r="L223" s="57"/>
      <c r="M223" s="57"/>
      <c r="N223" s="57"/>
      <c r="O223" s="56"/>
      <c r="P223" s="56"/>
      <c r="Q223" s="56"/>
      <c r="R223" s="56"/>
      <c r="S223" s="56"/>
      <c r="T223" s="56"/>
      <c r="U223" s="56"/>
      <c r="V223" s="56"/>
      <c r="W223" s="57"/>
      <c r="X223" s="56"/>
      <c r="Y223" s="56"/>
      <c r="Z223" s="56"/>
      <c r="AA223" s="57"/>
      <c r="AB223" s="56"/>
      <c r="AC223" s="56"/>
      <c r="AD223" s="56"/>
      <c r="AE223" s="56"/>
      <c r="AF223" s="56"/>
      <c r="AG223" s="57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1"/>
      <c r="AV223" s="1"/>
    </row>
    <row r="224" spans="1:48" ht="15.75" customHeight="1" x14ac:dyDescent="0.2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/>
      <c r="L224" s="57"/>
      <c r="M224" s="57"/>
      <c r="N224" s="57"/>
      <c r="O224" s="56"/>
      <c r="P224" s="56"/>
      <c r="Q224" s="56"/>
      <c r="R224" s="56"/>
      <c r="S224" s="56"/>
      <c r="T224" s="56"/>
      <c r="U224" s="56"/>
      <c r="V224" s="56"/>
      <c r="W224" s="57"/>
      <c r="X224" s="56"/>
      <c r="Y224" s="56"/>
      <c r="Z224" s="56"/>
      <c r="AA224" s="57"/>
      <c r="AB224" s="56"/>
      <c r="AC224" s="56"/>
      <c r="AD224" s="56"/>
      <c r="AE224" s="56"/>
      <c r="AF224" s="56"/>
      <c r="AG224" s="57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1"/>
      <c r="AV224" s="1"/>
    </row>
    <row r="225" spans="1:48" ht="15.75" customHeight="1" x14ac:dyDescent="0.2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/>
      <c r="L225" s="57"/>
      <c r="M225" s="57"/>
      <c r="N225" s="57"/>
      <c r="O225" s="56"/>
      <c r="P225" s="56"/>
      <c r="Q225" s="56"/>
      <c r="R225" s="56"/>
      <c r="S225" s="56"/>
      <c r="T225" s="56"/>
      <c r="U225" s="56"/>
      <c r="V225" s="56"/>
      <c r="W225" s="57"/>
      <c r="X225" s="56"/>
      <c r="Y225" s="56"/>
      <c r="Z225" s="56"/>
      <c r="AA225" s="57"/>
      <c r="AB225" s="56"/>
      <c r="AC225" s="56"/>
      <c r="AD225" s="56"/>
      <c r="AE225" s="56"/>
      <c r="AF225" s="56"/>
      <c r="AG225" s="57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1"/>
      <c r="AV225" s="1"/>
    </row>
    <row r="226" spans="1:48" ht="15.75" customHeight="1" x14ac:dyDescent="0.2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/>
      <c r="L226" s="57"/>
      <c r="M226" s="57"/>
      <c r="N226" s="57"/>
      <c r="O226" s="56"/>
      <c r="P226" s="56"/>
      <c r="Q226" s="56"/>
      <c r="R226" s="56"/>
      <c r="S226" s="56"/>
      <c r="T226" s="56"/>
      <c r="U226" s="56"/>
      <c r="V226" s="56"/>
      <c r="W226" s="57"/>
      <c r="X226" s="56"/>
      <c r="Y226" s="56"/>
      <c r="Z226" s="56"/>
      <c r="AA226" s="57"/>
      <c r="AB226" s="56"/>
      <c r="AC226" s="56"/>
      <c r="AD226" s="56"/>
      <c r="AE226" s="56"/>
      <c r="AF226" s="56"/>
      <c r="AG226" s="57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1"/>
      <c r="AV226" s="1"/>
    </row>
    <row r="227" spans="1:48" ht="15.75" customHeight="1" x14ac:dyDescent="0.2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/>
      <c r="L227" s="57"/>
      <c r="M227" s="57"/>
      <c r="N227" s="57"/>
      <c r="O227" s="56"/>
      <c r="P227" s="56"/>
      <c r="Q227" s="56"/>
      <c r="R227" s="56"/>
      <c r="S227" s="56"/>
      <c r="T227" s="56"/>
      <c r="U227" s="56"/>
      <c r="V227" s="56"/>
      <c r="W227" s="57"/>
      <c r="X227" s="56"/>
      <c r="Y227" s="56"/>
      <c r="Z227" s="56"/>
      <c r="AA227" s="57"/>
      <c r="AB227" s="56"/>
      <c r="AC227" s="56"/>
      <c r="AD227" s="56"/>
      <c r="AE227" s="56"/>
      <c r="AF227" s="56"/>
      <c r="AG227" s="57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1"/>
      <c r="AV227" s="1"/>
    </row>
    <row r="228" spans="1:48" ht="15.75" customHeight="1" x14ac:dyDescent="0.2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/>
      <c r="L228" s="57"/>
      <c r="M228" s="57"/>
      <c r="N228" s="57"/>
      <c r="O228" s="56"/>
      <c r="P228" s="56"/>
      <c r="Q228" s="56"/>
      <c r="R228" s="56"/>
      <c r="S228" s="56"/>
      <c r="T228" s="56"/>
      <c r="U228" s="56"/>
      <c r="V228" s="56"/>
      <c r="W228" s="57"/>
      <c r="X228" s="56"/>
      <c r="Y228" s="56"/>
      <c r="Z228" s="56"/>
      <c r="AA228" s="57"/>
      <c r="AB228" s="56"/>
      <c r="AC228" s="56"/>
      <c r="AD228" s="56"/>
      <c r="AE228" s="56"/>
      <c r="AF228" s="56"/>
      <c r="AG228" s="57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1"/>
      <c r="AV228" s="1"/>
    </row>
    <row r="229" spans="1:48" ht="15.75" customHeight="1" x14ac:dyDescent="0.2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/>
      <c r="L229" s="57"/>
      <c r="M229" s="57"/>
      <c r="N229" s="57"/>
      <c r="O229" s="56"/>
      <c r="P229" s="56"/>
      <c r="Q229" s="56"/>
      <c r="R229" s="56"/>
      <c r="S229" s="56"/>
      <c r="T229" s="56"/>
      <c r="U229" s="56"/>
      <c r="V229" s="56"/>
      <c r="W229" s="57"/>
      <c r="X229" s="56"/>
      <c r="Y229" s="56"/>
      <c r="Z229" s="56"/>
      <c r="AA229" s="57"/>
      <c r="AB229" s="56"/>
      <c r="AC229" s="56"/>
      <c r="AD229" s="56"/>
      <c r="AE229" s="56"/>
      <c r="AF229" s="56"/>
      <c r="AG229" s="57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1"/>
      <c r="AV229" s="1"/>
    </row>
    <row r="230" spans="1:48" ht="15.75" customHeight="1" x14ac:dyDescent="0.2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/>
      <c r="L230" s="57"/>
      <c r="M230" s="57"/>
      <c r="N230" s="57"/>
      <c r="O230" s="56"/>
      <c r="P230" s="56"/>
      <c r="Q230" s="56"/>
      <c r="R230" s="56"/>
      <c r="S230" s="56"/>
      <c r="T230" s="56"/>
      <c r="U230" s="56"/>
      <c r="V230" s="56"/>
      <c r="W230" s="57"/>
      <c r="X230" s="56"/>
      <c r="Y230" s="56"/>
      <c r="Z230" s="56"/>
      <c r="AA230" s="57"/>
      <c r="AB230" s="56"/>
      <c r="AC230" s="56"/>
      <c r="AD230" s="56"/>
      <c r="AE230" s="56"/>
      <c r="AF230" s="56"/>
      <c r="AG230" s="57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1"/>
      <c r="AV230" s="1"/>
    </row>
    <row r="231" spans="1:48" ht="15.75" customHeight="1" x14ac:dyDescent="0.2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/>
      <c r="L231" s="57"/>
      <c r="M231" s="57"/>
      <c r="N231" s="57"/>
      <c r="O231" s="56"/>
      <c r="P231" s="56"/>
      <c r="Q231" s="56"/>
      <c r="R231" s="56"/>
      <c r="S231" s="56"/>
      <c r="T231" s="56"/>
      <c r="U231" s="56"/>
      <c r="V231" s="56"/>
      <c r="W231" s="57"/>
      <c r="X231" s="56"/>
      <c r="Y231" s="56"/>
      <c r="Z231" s="56"/>
      <c r="AA231" s="57"/>
      <c r="AB231" s="56"/>
      <c r="AC231" s="56"/>
      <c r="AD231" s="56"/>
      <c r="AE231" s="56"/>
      <c r="AF231" s="56"/>
      <c r="AG231" s="57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1"/>
      <c r="AV231" s="1"/>
    </row>
    <row r="232" spans="1:48" ht="15.75" customHeight="1" x14ac:dyDescent="0.2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/>
      <c r="L232" s="57"/>
      <c r="M232" s="57"/>
      <c r="N232" s="57"/>
      <c r="O232" s="56"/>
      <c r="P232" s="56"/>
      <c r="Q232" s="56"/>
      <c r="R232" s="56"/>
      <c r="S232" s="56"/>
      <c r="T232" s="56"/>
      <c r="U232" s="56"/>
      <c r="V232" s="56"/>
      <c r="W232" s="57"/>
      <c r="X232" s="56"/>
      <c r="Y232" s="56"/>
      <c r="Z232" s="56"/>
      <c r="AA232" s="57"/>
      <c r="AB232" s="56"/>
      <c r="AC232" s="56"/>
      <c r="AD232" s="56"/>
      <c r="AE232" s="56"/>
      <c r="AF232" s="56"/>
      <c r="AG232" s="57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1"/>
      <c r="AV232" s="1"/>
    </row>
    <row r="233" spans="1:48" ht="15.75" customHeight="1" x14ac:dyDescent="0.2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/>
      <c r="L233" s="57"/>
      <c r="M233" s="57"/>
      <c r="N233" s="57"/>
      <c r="O233" s="56"/>
      <c r="P233" s="56"/>
      <c r="Q233" s="56"/>
      <c r="R233" s="56"/>
      <c r="S233" s="56"/>
      <c r="T233" s="56"/>
      <c r="U233" s="56"/>
      <c r="V233" s="56"/>
      <c r="W233" s="57"/>
      <c r="X233" s="56"/>
      <c r="Y233" s="56"/>
      <c r="Z233" s="56"/>
      <c r="AA233" s="57"/>
      <c r="AB233" s="56"/>
      <c r="AC233" s="56"/>
      <c r="AD233" s="56"/>
      <c r="AE233" s="56"/>
      <c r="AF233" s="56"/>
      <c r="AG233" s="57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1"/>
      <c r="AV233" s="1"/>
    </row>
    <row r="234" spans="1:48" ht="15.75" customHeight="1" x14ac:dyDescent="0.2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/>
      <c r="L234" s="57"/>
      <c r="M234" s="57"/>
      <c r="N234" s="57"/>
      <c r="O234" s="56"/>
      <c r="P234" s="56"/>
      <c r="Q234" s="56"/>
      <c r="R234" s="56"/>
      <c r="S234" s="56"/>
      <c r="T234" s="56"/>
      <c r="U234" s="56"/>
      <c r="V234" s="56"/>
      <c r="W234" s="57"/>
      <c r="X234" s="56"/>
      <c r="Y234" s="56"/>
      <c r="Z234" s="56"/>
      <c r="AA234" s="57"/>
      <c r="AB234" s="56"/>
      <c r="AC234" s="56"/>
      <c r="AD234" s="56"/>
      <c r="AE234" s="56"/>
      <c r="AF234" s="56"/>
      <c r="AG234" s="57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1"/>
      <c r="AV234" s="1"/>
    </row>
    <row r="235" spans="1:48" ht="15.75" customHeight="1" x14ac:dyDescent="0.2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/>
      <c r="L235" s="57"/>
      <c r="M235" s="57"/>
      <c r="N235" s="57"/>
      <c r="O235" s="56"/>
      <c r="P235" s="56"/>
      <c r="Q235" s="56"/>
      <c r="R235" s="56"/>
      <c r="S235" s="56"/>
      <c r="T235" s="56"/>
      <c r="U235" s="56"/>
      <c r="V235" s="56"/>
      <c r="W235" s="57"/>
      <c r="X235" s="56"/>
      <c r="Y235" s="56"/>
      <c r="Z235" s="56"/>
      <c r="AA235" s="57"/>
      <c r="AB235" s="56"/>
      <c r="AC235" s="56"/>
      <c r="AD235" s="56"/>
      <c r="AE235" s="56"/>
      <c r="AF235" s="56"/>
      <c r="AG235" s="57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1"/>
      <c r="AV235" s="1"/>
    </row>
    <row r="236" spans="1:48" ht="15.75" customHeight="1" x14ac:dyDescent="0.2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/>
      <c r="L236" s="57"/>
      <c r="M236" s="57"/>
      <c r="N236" s="57"/>
      <c r="O236" s="56"/>
      <c r="P236" s="56"/>
      <c r="Q236" s="56"/>
      <c r="R236" s="56"/>
      <c r="S236" s="56"/>
      <c r="T236" s="56"/>
      <c r="U236" s="56"/>
      <c r="V236" s="56"/>
      <c r="W236" s="57"/>
      <c r="X236" s="56"/>
      <c r="Y236" s="56"/>
      <c r="Z236" s="56"/>
      <c r="AA236" s="57"/>
      <c r="AB236" s="56"/>
      <c r="AC236" s="56"/>
      <c r="AD236" s="56"/>
      <c r="AE236" s="56"/>
      <c r="AF236" s="56"/>
      <c r="AG236" s="57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1"/>
      <c r="AV236" s="1"/>
    </row>
    <row r="237" spans="1:48" ht="15.75" customHeight="1" x14ac:dyDescent="0.2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/>
      <c r="L237" s="57"/>
      <c r="M237" s="57"/>
      <c r="N237" s="57"/>
      <c r="O237" s="56"/>
      <c r="P237" s="56"/>
      <c r="Q237" s="56"/>
      <c r="R237" s="56"/>
      <c r="S237" s="56"/>
      <c r="T237" s="56"/>
      <c r="U237" s="56"/>
      <c r="V237" s="56"/>
      <c r="W237" s="57"/>
      <c r="X237" s="56"/>
      <c r="Y237" s="56"/>
      <c r="Z237" s="56"/>
      <c r="AA237" s="57"/>
      <c r="AB237" s="56"/>
      <c r="AC237" s="56"/>
      <c r="AD237" s="56"/>
      <c r="AE237" s="56"/>
      <c r="AF237" s="56"/>
      <c r="AG237" s="57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1"/>
      <c r="AV237" s="1"/>
    </row>
    <row r="238" spans="1:48" ht="15.75" customHeight="1" x14ac:dyDescent="0.2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/>
      <c r="L238" s="57"/>
      <c r="M238" s="57"/>
      <c r="N238" s="57"/>
      <c r="O238" s="56"/>
      <c r="P238" s="56"/>
      <c r="Q238" s="56"/>
      <c r="R238" s="56"/>
      <c r="S238" s="56"/>
      <c r="T238" s="56"/>
      <c r="U238" s="56"/>
      <c r="V238" s="56"/>
      <c r="W238" s="57"/>
      <c r="X238" s="56"/>
      <c r="Y238" s="56"/>
      <c r="Z238" s="56"/>
      <c r="AA238" s="57"/>
      <c r="AB238" s="56"/>
      <c r="AC238" s="56"/>
      <c r="AD238" s="56"/>
      <c r="AE238" s="56"/>
      <c r="AF238" s="56"/>
      <c r="AG238" s="57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1"/>
      <c r="AV238" s="1"/>
    </row>
    <row r="239" spans="1:48" ht="15.75" customHeight="1" x14ac:dyDescent="0.2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/>
      <c r="L239" s="57"/>
      <c r="M239" s="57"/>
      <c r="N239" s="57"/>
      <c r="O239" s="56"/>
      <c r="P239" s="56"/>
      <c r="Q239" s="56"/>
      <c r="R239" s="56"/>
      <c r="S239" s="56"/>
      <c r="T239" s="56"/>
      <c r="U239" s="56"/>
      <c r="V239" s="56"/>
      <c r="W239" s="57"/>
      <c r="X239" s="56"/>
      <c r="Y239" s="56"/>
      <c r="Z239" s="56"/>
      <c r="AA239" s="57"/>
      <c r="AB239" s="56"/>
      <c r="AC239" s="56"/>
      <c r="AD239" s="56"/>
      <c r="AE239" s="56"/>
      <c r="AF239" s="56"/>
      <c r="AG239" s="57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1"/>
      <c r="AV239" s="1"/>
    </row>
    <row r="240" spans="1:48" ht="15.75" customHeight="1" x14ac:dyDescent="0.2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/>
      <c r="L240" s="57"/>
      <c r="M240" s="57"/>
      <c r="N240" s="57"/>
      <c r="O240" s="56"/>
      <c r="P240" s="56"/>
      <c r="Q240" s="56"/>
      <c r="R240" s="56"/>
      <c r="S240" s="56"/>
      <c r="T240" s="56"/>
      <c r="U240" s="56"/>
      <c r="V240" s="56"/>
      <c r="W240" s="57"/>
      <c r="X240" s="56"/>
      <c r="Y240" s="56"/>
      <c r="Z240" s="56"/>
      <c r="AA240" s="57"/>
      <c r="AB240" s="56"/>
      <c r="AC240" s="56"/>
      <c r="AD240" s="56"/>
      <c r="AE240" s="56"/>
      <c r="AF240" s="56"/>
      <c r="AG240" s="57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1"/>
      <c r="AV240" s="1"/>
    </row>
    <row r="241" spans="1:48" ht="15.75" customHeight="1" x14ac:dyDescent="0.2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/>
      <c r="L241" s="57"/>
      <c r="M241" s="57"/>
      <c r="N241" s="57"/>
      <c r="O241" s="56"/>
      <c r="P241" s="56"/>
      <c r="Q241" s="56"/>
      <c r="R241" s="56"/>
      <c r="S241" s="56"/>
      <c r="T241" s="56"/>
      <c r="U241" s="56"/>
      <c r="V241" s="56"/>
      <c r="W241" s="57"/>
      <c r="X241" s="56"/>
      <c r="Y241" s="56"/>
      <c r="Z241" s="56"/>
      <c r="AA241" s="57"/>
      <c r="AB241" s="56"/>
      <c r="AC241" s="56"/>
      <c r="AD241" s="56"/>
      <c r="AE241" s="56"/>
      <c r="AF241" s="56"/>
      <c r="AG241" s="57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1"/>
      <c r="AV241" s="1"/>
    </row>
    <row r="242" spans="1:48" ht="15.75" customHeight="1" x14ac:dyDescent="0.2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/>
      <c r="L242" s="57"/>
      <c r="M242" s="57"/>
      <c r="N242" s="57"/>
      <c r="O242" s="56"/>
      <c r="P242" s="56"/>
      <c r="Q242" s="56"/>
      <c r="R242" s="56"/>
      <c r="S242" s="56"/>
      <c r="T242" s="56"/>
      <c r="U242" s="56"/>
      <c r="V242" s="56"/>
      <c r="W242" s="57"/>
      <c r="X242" s="56"/>
      <c r="Y242" s="56"/>
      <c r="Z242" s="56"/>
      <c r="AA242" s="57"/>
      <c r="AB242" s="56"/>
      <c r="AC242" s="56"/>
      <c r="AD242" s="56"/>
      <c r="AE242" s="56"/>
      <c r="AF242" s="56"/>
      <c r="AG242" s="57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1"/>
      <c r="AV242" s="1"/>
    </row>
    <row r="243" spans="1:48" ht="15.75" customHeight="1" x14ac:dyDescent="0.2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/>
      <c r="L243" s="57"/>
      <c r="M243" s="57"/>
      <c r="N243" s="57"/>
      <c r="O243" s="56"/>
      <c r="P243" s="56"/>
      <c r="Q243" s="56"/>
      <c r="R243" s="56"/>
      <c r="S243" s="56"/>
      <c r="T243" s="56"/>
      <c r="U243" s="56"/>
      <c r="V243" s="56"/>
      <c r="W243" s="57"/>
      <c r="X243" s="56"/>
      <c r="Y243" s="56"/>
      <c r="Z243" s="56"/>
      <c r="AA243" s="57"/>
      <c r="AB243" s="56"/>
      <c r="AC243" s="56"/>
      <c r="AD243" s="56"/>
      <c r="AE243" s="56"/>
      <c r="AF243" s="56"/>
      <c r="AG243" s="57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1"/>
      <c r="AV243" s="1"/>
    </row>
    <row r="244" spans="1:48" ht="15.75" customHeight="1" x14ac:dyDescent="0.2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/>
      <c r="L244" s="57"/>
      <c r="M244" s="57"/>
      <c r="N244" s="57"/>
      <c r="O244" s="56"/>
      <c r="P244" s="56"/>
      <c r="Q244" s="56"/>
      <c r="R244" s="56"/>
      <c r="S244" s="56"/>
      <c r="T244" s="56"/>
      <c r="U244" s="56"/>
      <c r="V244" s="56"/>
      <c r="W244" s="57"/>
      <c r="X244" s="56"/>
      <c r="Y244" s="56"/>
      <c r="Z244" s="56"/>
      <c r="AA244" s="57"/>
      <c r="AB244" s="56"/>
      <c r="AC244" s="56"/>
      <c r="AD244" s="56"/>
      <c r="AE244" s="56"/>
      <c r="AF244" s="56"/>
      <c r="AG244" s="57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1"/>
      <c r="AV244" s="1"/>
    </row>
    <row r="245" spans="1:48" ht="15.75" customHeight="1" x14ac:dyDescent="0.2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/>
      <c r="L245" s="57"/>
      <c r="M245" s="57"/>
      <c r="N245" s="57"/>
      <c r="O245" s="56"/>
      <c r="P245" s="56"/>
      <c r="Q245" s="56"/>
      <c r="R245" s="56"/>
      <c r="S245" s="56"/>
      <c r="T245" s="56"/>
      <c r="U245" s="56"/>
      <c r="V245" s="56"/>
      <c r="W245" s="57"/>
      <c r="X245" s="56"/>
      <c r="Y245" s="56"/>
      <c r="Z245" s="56"/>
      <c r="AA245" s="57"/>
      <c r="AB245" s="56"/>
      <c r="AC245" s="56"/>
      <c r="AD245" s="56"/>
      <c r="AE245" s="56"/>
      <c r="AF245" s="56"/>
      <c r="AG245" s="57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1"/>
      <c r="AV245" s="1"/>
    </row>
    <row r="246" spans="1:48" ht="15.75" customHeight="1" x14ac:dyDescent="0.2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/>
      <c r="L246" s="57"/>
      <c r="M246" s="57"/>
      <c r="N246" s="57"/>
      <c r="O246" s="56"/>
      <c r="P246" s="56"/>
      <c r="Q246" s="56"/>
      <c r="R246" s="56"/>
      <c r="S246" s="56"/>
      <c r="T246" s="56"/>
      <c r="U246" s="56"/>
      <c r="V246" s="56"/>
      <c r="W246" s="57"/>
      <c r="X246" s="56"/>
      <c r="Y246" s="56"/>
      <c r="Z246" s="56"/>
      <c r="AA246" s="57"/>
      <c r="AB246" s="56"/>
      <c r="AC246" s="56"/>
      <c r="AD246" s="56"/>
      <c r="AE246" s="56"/>
      <c r="AF246" s="56"/>
      <c r="AG246" s="57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1"/>
      <c r="AV246" s="1"/>
    </row>
    <row r="247" spans="1:48" ht="15.75" customHeight="1" x14ac:dyDescent="0.2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/>
      <c r="L247" s="57"/>
      <c r="M247" s="57"/>
      <c r="N247" s="57"/>
      <c r="O247" s="56"/>
      <c r="P247" s="56"/>
      <c r="Q247" s="56"/>
      <c r="R247" s="56"/>
      <c r="S247" s="56"/>
      <c r="T247" s="56"/>
      <c r="U247" s="56"/>
      <c r="V247" s="56"/>
      <c r="W247" s="57"/>
      <c r="X247" s="56"/>
      <c r="Y247" s="56"/>
      <c r="Z247" s="56"/>
      <c r="AA247" s="57"/>
      <c r="AB247" s="56"/>
      <c r="AC247" s="56"/>
      <c r="AD247" s="56"/>
      <c r="AE247" s="56"/>
      <c r="AF247" s="56"/>
      <c r="AG247" s="57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1"/>
      <c r="AV247" s="1"/>
    </row>
    <row r="248" spans="1:48" ht="15.75" customHeight="1" x14ac:dyDescent="0.2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/>
      <c r="L248" s="57"/>
      <c r="M248" s="57"/>
      <c r="N248" s="57"/>
      <c r="O248" s="56"/>
      <c r="P248" s="56"/>
      <c r="Q248" s="56"/>
      <c r="R248" s="56"/>
      <c r="S248" s="56"/>
      <c r="T248" s="56"/>
      <c r="U248" s="56"/>
      <c r="V248" s="56"/>
      <c r="W248" s="57"/>
      <c r="X248" s="56"/>
      <c r="Y248" s="56"/>
      <c r="Z248" s="56"/>
      <c r="AA248" s="57"/>
      <c r="AB248" s="56"/>
      <c r="AC248" s="56"/>
      <c r="AD248" s="56"/>
      <c r="AE248" s="56"/>
      <c r="AF248" s="56"/>
      <c r="AG248" s="57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1"/>
      <c r="AV248" s="1"/>
    </row>
    <row r="249" spans="1:48" ht="15.75" customHeight="1" x14ac:dyDescent="0.2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/>
      <c r="L249" s="57"/>
      <c r="M249" s="57"/>
      <c r="N249" s="57"/>
      <c r="O249" s="56"/>
      <c r="P249" s="56"/>
      <c r="Q249" s="56"/>
      <c r="R249" s="56"/>
      <c r="S249" s="56"/>
      <c r="T249" s="56"/>
      <c r="U249" s="56"/>
      <c r="V249" s="56"/>
      <c r="W249" s="57"/>
      <c r="X249" s="56"/>
      <c r="Y249" s="56"/>
      <c r="Z249" s="56"/>
      <c r="AA249" s="57"/>
      <c r="AB249" s="56"/>
      <c r="AC249" s="56"/>
      <c r="AD249" s="56"/>
      <c r="AE249" s="56"/>
      <c r="AF249" s="56"/>
      <c r="AG249" s="57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1"/>
      <c r="AV249" s="1"/>
    </row>
    <row r="250" spans="1:48" ht="15.75" customHeight="1" x14ac:dyDescent="0.2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/>
      <c r="L250" s="57"/>
      <c r="M250" s="57"/>
      <c r="N250" s="57"/>
      <c r="O250" s="56"/>
      <c r="P250" s="56"/>
      <c r="Q250" s="56"/>
      <c r="R250" s="56"/>
      <c r="S250" s="56"/>
      <c r="T250" s="56"/>
      <c r="U250" s="56"/>
      <c r="V250" s="56"/>
      <c r="W250" s="57"/>
      <c r="X250" s="56"/>
      <c r="Y250" s="56"/>
      <c r="Z250" s="56"/>
      <c r="AA250" s="57"/>
      <c r="AB250" s="56"/>
      <c r="AC250" s="56"/>
      <c r="AD250" s="56"/>
      <c r="AE250" s="56"/>
      <c r="AF250" s="56"/>
      <c r="AG250" s="57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1"/>
      <c r="AV250" s="1"/>
    </row>
    <row r="251" spans="1:48" ht="15.75" customHeight="1" x14ac:dyDescent="0.2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/>
      <c r="L251" s="57"/>
      <c r="M251" s="57"/>
      <c r="N251" s="57"/>
      <c r="O251" s="56"/>
      <c r="P251" s="56"/>
      <c r="Q251" s="56"/>
      <c r="R251" s="56"/>
      <c r="S251" s="56"/>
      <c r="T251" s="56"/>
      <c r="U251" s="56"/>
      <c r="V251" s="56"/>
      <c r="W251" s="57"/>
      <c r="X251" s="56"/>
      <c r="Y251" s="56"/>
      <c r="Z251" s="56"/>
      <c r="AA251" s="57"/>
      <c r="AB251" s="56"/>
      <c r="AC251" s="56"/>
      <c r="AD251" s="56"/>
      <c r="AE251" s="56"/>
      <c r="AF251" s="56"/>
      <c r="AG251" s="57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1"/>
      <c r="AV251" s="1"/>
    </row>
    <row r="252" spans="1:48" ht="15.75" customHeight="1" x14ac:dyDescent="0.2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/>
      <c r="L252" s="57"/>
      <c r="M252" s="57"/>
      <c r="N252" s="57"/>
      <c r="O252" s="56"/>
      <c r="P252" s="56"/>
      <c r="Q252" s="56"/>
      <c r="R252" s="56"/>
      <c r="S252" s="56"/>
      <c r="T252" s="56"/>
      <c r="U252" s="56"/>
      <c r="V252" s="56"/>
      <c r="W252" s="57"/>
      <c r="X252" s="56"/>
      <c r="Y252" s="56"/>
      <c r="Z252" s="56"/>
      <c r="AA252" s="57"/>
      <c r="AB252" s="56"/>
      <c r="AC252" s="56"/>
      <c r="AD252" s="56"/>
      <c r="AE252" s="56"/>
      <c r="AF252" s="56"/>
      <c r="AG252" s="57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1"/>
      <c r="AV252" s="1"/>
    </row>
    <row r="253" spans="1:48" ht="15.75" customHeight="1" x14ac:dyDescent="0.2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/>
      <c r="L253" s="57"/>
      <c r="M253" s="57"/>
      <c r="N253" s="57"/>
      <c r="O253" s="56"/>
      <c r="P253" s="56"/>
      <c r="Q253" s="56"/>
      <c r="R253" s="56"/>
      <c r="S253" s="56"/>
      <c r="T253" s="56"/>
      <c r="U253" s="56"/>
      <c r="V253" s="56"/>
      <c r="W253" s="57"/>
      <c r="X253" s="56"/>
      <c r="Y253" s="56"/>
      <c r="Z253" s="56"/>
      <c r="AA253" s="57"/>
      <c r="AB253" s="56"/>
      <c r="AC253" s="56"/>
      <c r="AD253" s="56"/>
      <c r="AE253" s="56"/>
      <c r="AF253" s="56"/>
      <c r="AG253" s="57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1"/>
      <c r="AV253" s="1"/>
    </row>
    <row r="254" spans="1:48" ht="15.75" customHeight="1" x14ac:dyDescent="0.2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/>
      <c r="L254" s="57"/>
      <c r="M254" s="57"/>
      <c r="N254" s="57"/>
      <c r="O254" s="56"/>
      <c r="P254" s="56"/>
      <c r="Q254" s="56"/>
      <c r="R254" s="56"/>
      <c r="S254" s="56"/>
      <c r="T254" s="56"/>
      <c r="U254" s="56"/>
      <c r="V254" s="56"/>
      <c r="W254" s="57"/>
      <c r="X254" s="56"/>
      <c r="Y254" s="56"/>
      <c r="Z254" s="56"/>
      <c r="AA254" s="57"/>
      <c r="AB254" s="56"/>
      <c r="AC254" s="56"/>
      <c r="AD254" s="56"/>
      <c r="AE254" s="56"/>
      <c r="AF254" s="56"/>
      <c r="AG254" s="57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1"/>
      <c r="AV254" s="1"/>
    </row>
    <row r="255" spans="1:48" ht="15.75" customHeight="1" x14ac:dyDescent="0.2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/>
      <c r="L255" s="57"/>
      <c r="M255" s="57"/>
      <c r="N255" s="57"/>
      <c r="O255" s="56"/>
      <c r="P255" s="56"/>
      <c r="Q255" s="56"/>
      <c r="R255" s="56"/>
      <c r="S255" s="56"/>
      <c r="T255" s="56"/>
      <c r="U255" s="56"/>
      <c r="V255" s="56"/>
      <c r="W255" s="57"/>
      <c r="X255" s="56"/>
      <c r="Y255" s="56"/>
      <c r="Z255" s="56"/>
      <c r="AA255" s="57"/>
      <c r="AB255" s="56"/>
      <c r="AC255" s="56"/>
      <c r="AD255" s="56"/>
      <c r="AE255" s="56"/>
      <c r="AF255" s="56"/>
      <c r="AG255" s="57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1"/>
      <c r="AV255" s="1"/>
    </row>
    <row r="256" spans="1:48" ht="15.75" customHeight="1" x14ac:dyDescent="0.2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/>
      <c r="L256" s="57"/>
      <c r="M256" s="57"/>
      <c r="N256" s="57"/>
      <c r="O256" s="56"/>
      <c r="P256" s="56"/>
      <c r="Q256" s="56"/>
      <c r="R256" s="56"/>
      <c r="S256" s="56"/>
      <c r="T256" s="56"/>
      <c r="U256" s="56"/>
      <c r="V256" s="56"/>
      <c r="W256" s="57"/>
      <c r="X256" s="56"/>
      <c r="Y256" s="56"/>
      <c r="Z256" s="56"/>
      <c r="AA256" s="57"/>
      <c r="AB256" s="56"/>
      <c r="AC256" s="56"/>
      <c r="AD256" s="56"/>
      <c r="AE256" s="56"/>
      <c r="AF256" s="56"/>
      <c r="AG256" s="57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1"/>
      <c r="AV256" s="1"/>
    </row>
    <row r="257" spans="1:48" ht="15.75" customHeight="1" x14ac:dyDescent="0.2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/>
      <c r="L257" s="57"/>
      <c r="M257" s="57"/>
      <c r="N257" s="57"/>
      <c r="O257" s="56"/>
      <c r="P257" s="56"/>
      <c r="Q257" s="56"/>
      <c r="R257" s="56"/>
      <c r="S257" s="56"/>
      <c r="T257" s="56"/>
      <c r="U257" s="56"/>
      <c r="V257" s="56"/>
      <c r="W257" s="57"/>
      <c r="X257" s="56"/>
      <c r="Y257" s="56"/>
      <c r="Z257" s="56"/>
      <c r="AA257" s="57"/>
      <c r="AB257" s="56"/>
      <c r="AC257" s="56"/>
      <c r="AD257" s="56"/>
      <c r="AE257" s="56"/>
      <c r="AF257" s="56"/>
      <c r="AG257" s="57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1"/>
      <c r="AV257" s="1"/>
    </row>
    <row r="258" spans="1:48" ht="15.75" customHeight="1" x14ac:dyDescent="0.2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/>
      <c r="L258" s="57"/>
      <c r="M258" s="57"/>
      <c r="N258" s="57"/>
      <c r="O258" s="56"/>
      <c r="P258" s="56"/>
      <c r="Q258" s="56"/>
      <c r="R258" s="56"/>
      <c r="S258" s="56"/>
      <c r="T258" s="56"/>
      <c r="U258" s="56"/>
      <c r="V258" s="56"/>
      <c r="W258" s="57"/>
      <c r="X258" s="56"/>
      <c r="Y258" s="56"/>
      <c r="Z258" s="56"/>
      <c r="AA258" s="57"/>
      <c r="AB258" s="56"/>
      <c r="AC258" s="56"/>
      <c r="AD258" s="56"/>
      <c r="AE258" s="56"/>
      <c r="AF258" s="56"/>
      <c r="AG258" s="57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1"/>
      <c r="AV258" s="1"/>
    </row>
    <row r="259" spans="1:48" ht="15.75" customHeight="1" x14ac:dyDescent="0.2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/>
      <c r="L259" s="57"/>
      <c r="M259" s="57"/>
      <c r="N259" s="57"/>
      <c r="O259" s="56"/>
      <c r="P259" s="56"/>
      <c r="Q259" s="56"/>
      <c r="R259" s="56"/>
      <c r="S259" s="56"/>
      <c r="T259" s="56"/>
      <c r="U259" s="56"/>
      <c r="V259" s="56"/>
      <c r="W259" s="57"/>
      <c r="X259" s="56"/>
      <c r="Y259" s="56"/>
      <c r="Z259" s="56"/>
      <c r="AA259" s="57"/>
      <c r="AB259" s="56"/>
      <c r="AC259" s="56"/>
      <c r="AD259" s="56"/>
      <c r="AE259" s="56"/>
      <c r="AF259" s="56"/>
      <c r="AG259" s="57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1"/>
      <c r="AV259" s="1"/>
    </row>
    <row r="260" spans="1:48" ht="15.75" customHeight="1" x14ac:dyDescent="0.2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/>
      <c r="L260" s="57"/>
      <c r="M260" s="57"/>
      <c r="N260" s="57"/>
      <c r="O260" s="56"/>
      <c r="P260" s="56"/>
      <c r="Q260" s="56"/>
      <c r="R260" s="56"/>
      <c r="S260" s="56"/>
      <c r="T260" s="56"/>
      <c r="U260" s="56"/>
      <c r="V260" s="56"/>
      <c r="W260" s="57"/>
      <c r="X260" s="56"/>
      <c r="Y260" s="56"/>
      <c r="Z260" s="56"/>
      <c r="AA260" s="57"/>
      <c r="AB260" s="56"/>
      <c r="AC260" s="56"/>
      <c r="AD260" s="56"/>
      <c r="AE260" s="56"/>
      <c r="AF260" s="56"/>
      <c r="AG260" s="57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1"/>
      <c r="AV260" s="1"/>
    </row>
    <row r="261" spans="1:48" ht="15.75" customHeight="1" x14ac:dyDescent="0.2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/>
      <c r="L261" s="57"/>
      <c r="M261" s="57"/>
      <c r="N261" s="57"/>
      <c r="O261" s="56"/>
      <c r="P261" s="56"/>
      <c r="Q261" s="56"/>
      <c r="R261" s="56"/>
      <c r="S261" s="56"/>
      <c r="T261" s="56"/>
      <c r="U261" s="56"/>
      <c r="V261" s="56"/>
      <c r="W261" s="57"/>
      <c r="X261" s="56"/>
      <c r="Y261" s="56"/>
      <c r="Z261" s="56"/>
      <c r="AA261" s="57"/>
      <c r="AB261" s="56"/>
      <c r="AC261" s="56"/>
      <c r="AD261" s="56"/>
      <c r="AE261" s="56"/>
      <c r="AF261" s="56"/>
      <c r="AG261" s="57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1"/>
      <c r="AV261" s="1"/>
    </row>
    <row r="262" spans="1:48" ht="15.75" customHeight="1" x14ac:dyDescent="0.2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/>
      <c r="L262" s="57"/>
      <c r="M262" s="57"/>
      <c r="N262" s="57"/>
      <c r="O262" s="56"/>
      <c r="P262" s="56"/>
      <c r="Q262" s="56"/>
      <c r="R262" s="56"/>
      <c r="S262" s="56"/>
      <c r="T262" s="56"/>
      <c r="U262" s="56"/>
      <c r="V262" s="56"/>
      <c r="W262" s="57"/>
      <c r="X262" s="56"/>
      <c r="Y262" s="56"/>
      <c r="Z262" s="56"/>
      <c r="AA262" s="57"/>
      <c r="AB262" s="56"/>
      <c r="AC262" s="56"/>
      <c r="AD262" s="56"/>
      <c r="AE262" s="56"/>
      <c r="AF262" s="56"/>
      <c r="AG262" s="57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1"/>
      <c r="AV262" s="1"/>
    </row>
    <row r="263" spans="1:48" ht="15.75" customHeight="1" x14ac:dyDescent="0.2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/>
      <c r="L263" s="57"/>
      <c r="M263" s="57"/>
      <c r="N263" s="57"/>
      <c r="O263" s="56"/>
      <c r="P263" s="56"/>
      <c r="Q263" s="56"/>
      <c r="R263" s="56"/>
      <c r="S263" s="56"/>
      <c r="T263" s="56"/>
      <c r="U263" s="56"/>
      <c r="V263" s="56"/>
      <c r="W263" s="57"/>
      <c r="X263" s="56"/>
      <c r="Y263" s="56"/>
      <c r="Z263" s="56"/>
      <c r="AA263" s="57"/>
      <c r="AB263" s="56"/>
      <c r="AC263" s="56"/>
      <c r="AD263" s="56"/>
      <c r="AE263" s="56"/>
      <c r="AF263" s="56"/>
      <c r="AG263" s="57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1"/>
      <c r="AV263" s="1"/>
    </row>
    <row r="264" spans="1:48" ht="15.75" customHeight="1" x14ac:dyDescent="0.2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/>
      <c r="L264" s="57"/>
      <c r="M264" s="57"/>
      <c r="N264" s="57"/>
      <c r="O264" s="56"/>
      <c r="P264" s="56"/>
      <c r="Q264" s="56"/>
      <c r="R264" s="56"/>
      <c r="S264" s="56"/>
      <c r="T264" s="56"/>
      <c r="U264" s="56"/>
      <c r="V264" s="56"/>
      <c r="W264" s="57"/>
      <c r="X264" s="56"/>
      <c r="Y264" s="56"/>
      <c r="Z264" s="56"/>
      <c r="AA264" s="57"/>
      <c r="AB264" s="56"/>
      <c r="AC264" s="56"/>
      <c r="AD264" s="56"/>
      <c r="AE264" s="56"/>
      <c r="AF264" s="56"/>
      <c r="AG264" s="57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1"/>
      <c r="AV264" s="1"/>
    </row>
    <row r="265" spans="1:48" ht="15.75" customHeight="1" x14ac:dyDescent="0.2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/>
      <c r="L265" s="57"/>
      <c r="M265" s="57"/>
      <c r="N265" s="57"/>
      <c r="O265" s="56"/>
      <c r="P265" s="56"/>
      <c r="Q265" s="56"/>
      <c r="R265" s="56"/>
      <c r="S265" s="56"/>
      <c r="T265" s="56"/>
      <c r="U265" s="56"/>
      <c r="V265" s="56"/>
      <c r="W265" s="57"/>
      <c r="X265" s="56"/>
      <c r="Y265" s="56"/>
      <c r="Z265" s="56"/>
      <c r="AA265" s="57"/>
      <c r="AB265" s="56"/>
      <c r="AC265" s="56"/>
      <c r="AD265" s="56"/>
      <c r="AE265" s="56"/>
      <c r="AF265" s="56"/>
      <c r="AG265" s="57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1"/>
      <c r="AV265" s="1"/>
    </row>
    <row r="266" spans="1:48" ht="15.75" customHeight="1" x14ac:dyDescent="0.2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/>
      <c r="L266" s="57"/>
      <c r="M266" s="57"/>
      <c r="N266" s="57"/>
      <c r="O266" s="56"/>
      <c r="P266" s="56"/>
      <c r="Q266" s="56"/>
      <c r="R266" s="56"/>
      <c r="S266" s="56"/>
      <c r="T266" s="56"/>
      <c r="U266" s="56"/>
      <c r="V266" s="56"/>
      <c r="W266" s="57"/>
      <c r="X266" s="56"/>
      <c r="Y266" s="56"/>
      <c r="Z266" s="56"/>
      <c r="AA266" s="57"/>
      <c r="AB266" s="56"/>
      <c r="AC266" s="56"/>
      <c r="AD266" s="56"/>
      <c r="AE266" s="56"/>
      <c r="AF266" s="56"/>
      <c r="AG266" s="57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1"/>
      <c r="AV266" s="1"/>
    </row>
    <row r="267" spans="1:48" ht="15.75" customHeight="1" x14ac:dyDescent="0.2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/>
      <c r="L267" s="57"/>
      <c r="M267" s="57"/>
      <c r="N267" s="57"/>
      <c r="O267" s="56"/>
      <c r="P267" s="56"/>
      <c r="Q267" s="56"/>
      <c r="R267" s="56"/>
      <c r="S267" s="56"/>
      <c r="T267" s="56"/>
      <c r="U267" s="56"/>
      <c r="V267" s="56"/>
      <c r="W267" s="57"/>
      <c r="X267" s="56"/>
      <c r="Y267" s="56"/>
      <c r="Z267" s="56"/>
      <c r="AA267" s="57"/>
      <c r="AB267" s="56"/>
      <c r="AC267" s="56"/>
      <c r="AD267" s="56"/>
      <c r="AE267" s="56"/>
      <c r="AF267" s="56"/>
      <c r="AG267" s="57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1"/>
      <c r="AV267" s="1"/>
    </row>
    <row r="268" spans="1:48" ht="15.75" customHeight="1" x14ac:dyDescent="0.2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/>
      <c r="L268" s="57"/>
      <c r="M268" s="57"/>
      <c r="N268" s="57"/>
      <c r="O268" s="56"/>
      <c r="P268" s="56"/>
      <c r="Q268" s="56"/>
      <c r="R268" s="56"/>
      <c r="S268" s="56"/>
      <c r="T268" s="56"/>
      <c r="U268" s="56"/>
      <c r="V268" s="56"/>
      <c r="W268" s="57"/>
      <c r="X268" s="56"/>
      <c r="Y268" s="56"/>
      <c r="Z268" s="56"/>
      <c r="AA268" s="57"/>
      <c r="AB268" s="56"/>
      <c r="AC268" s="56"/>
      <c r="AD268" s="56"/>
      <c r="AE268" s="56"/>
      <c r="AF268" s="56"/>
      <c r="AG268" s="57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1"/>
      <c r="AV268" s="1"/>
    </row>
    <row r="269" spans="1:48" ht="15.75" customHeight="1" x14ac:dyDescent="0.2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/>
      <c r="L269" s="57"/>
      <c r="M269" s="57"/>
      <c r="N269" s="57"/>
      <c r="O269" s="56"/>
      <c r="P269" s="56"/>
      <c r="Q269" s="56"/>
      <c r="R269" s="56"/>
      <c r="S269" s="56"/>
      <c r="T269" s="56"/>
      <c r="U269" s="56"/>
      <c r="V269" s="56"/>
      <c r="W269" s="57"/>
      <c r="X269" s="56"/>
      <c r="Y269" s="56"/>
      <c r="Z269" s="56"/>
      <c r="AA269" s="57"/>
      <c r="AB269" s="56"/>
      <c r="AC269" s="56"/>
      <c r="AD269" s="56"/>
      <c r="AE269" s="56"/>
      <c r="AF269" s="56"/>
      <c r="AG269" s="57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1"/>
      <c r="AV269" s="1"/>
    </row>
    <row r="270" spans="1:48" ht="15.75" customHeight="1" x14ac:dyDescent="0.2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/>
      <c r="L270" s="57"/>
      <c r="M270" s="57"/>
      <c r="N270" s="57"/>
      <c r="O270" s="56"/>
      <c r="P270" s="56"/>
      <c r="Q270" s="56"/>
      <c r="R270" s="56"/>
      <c r="S270" s="56"/>
      <c r="T270" s="56"/>
      <c r="U270" s="56"/>
      <c r="V270" s="56"/>
      <c r="W270" s="57"/>
      <c r="X270" s="56"/>
      <c r="Y270" s="56"/>
      <c r="Z270" s="56"/>
      <c r="AA270" s="57"/>
      <c r="AB270" s="56"/>
      <c r="AC270" s="56"/>
      <c r="AD270" s="56"/>
      <c r="AE270" s="56"/>
      <c r="AF270" s="56"/>
      <c r="AG270" s="57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1"/>
      <c r="AV270" s="1"/>
    </row>
    <row r="271" spans="1:48" ht="15.75" customHeight="1" x14ac:dyDescent="0.2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/>
      <c r="L271" s="57"/>
      <c r="M271" s="57"/>
      <c r="N271" s="57"/>
      <c r="O271" s="56"/>
      <c r="P271" s="56"/>
      <c r="Q271" s="56"/>
      <c r="R271" s="56"/>
      <c r="S271" s="56"/>
      <c r="T271" s="56"/>
      <c r="U271" s="56"/>
      <c r="V271" s="56"/>
      <c r="W271" s="57"/>
      <c r="X271" s="56"/>
      <c r="Y271" s="56"/>
      <c r="Z271" s="56"/>
      <c r="AA271" s="57"/>
      <c r="AB271" s="56"/>
      <c r="AC271" s="56"/>
      <c r="AD271" s="56"/>
      <c r="AE271" s="56"/>
      <c r="AF271" s="56"/>
      <c r="AG271" s="57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1"/>
      <c r="AV271" s="1"/>
    </row>
    <row r="272" spans="1:48" ht="15.75" customHeight="1" x14ac:dyDescent="0.2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/>
      <c r="L272" s="57"/>
      <c r="M272" s="57"/>
      <c r="N272" s="57"/>
      <c r="O272" s="56"/>
      <c r="P272" s="56"/>
      <c r="Q272" s="56"/>
      <c r="R272" s="56"/>
      <c r="S272" s="56"/>
      <c r="T272" s="56"/>
      <c r="U272" s="56"/>
      <c r="V272" s="56"/>
      <c r="W272" s="57"/>
      <c r="X272" s="56"/>
      <c r="Y272" s="56"/>
      <c r="Z272" s="56"/>
      <c r="AA272" s="57"/>
      <c r="AB272" s="56"/>
      <c r="AC272" s="56"/>
      <c r="AD272" s="56"/>
      <c r="AE272" s="56"/>
      <c r="AF272" s="56"/>
      <c r="AG272" s="57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1"/>
      <c r="AV272" s="1"/>
    </row>
    <row r="273" spans="1:48" ht="15.75" customHeight="1" x14ac:dyDescent="0.2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/>
      <c r="L273" s="57"/>
      <c r="M273" s="57"/>
      <c r="N273" s="57"/>
      <c r="O273" s="56"/>
      <c r="P273" s="56"/>
      <c r="Q273" s="56"/>
      <c r="R273" s="56"/>
      <c r="S273" s="56"/>
      <c r="T273" s="56"/>
      <c r="U273" s="56"/>
      <c r="V273" s="56"/>
      <c r="W273" s="57"/>
      <c r="X273" s="56"/>
      <c r="Y273" s="56"/>
      <c r="Z273" s="56"/>
      <c r="AA273" s="57"/>
      <c r="AB273" s="56"/>
      <c r="AC273" s="56"/>
      <c r="AD273" s="56"/>
      <c r="AE273" s="56"/>
      <c r="AF273" s="56"/>
      <c r="AG273" s="57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1"/>
      <c r="AV273" s="1"/>
    </row>
    <row r="274" spans="1:48" ht="15.75" customHeight="1" x14ac:dyDescent="0.2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/>
      <c r="L274" s="57"/>
      <c r="M274" s="57"/>
      <c r="N274" s="57"/>
      <c r="O274" s="56"/>
      <c r="P274" s="56"/>
      <c r="Q274" s="56"/>
      <c r="R274" s="56"/>
      <c r="S274" s="56"/>
      <c r="T274" s="56"/>
      <c r="U274" s="56"/>
      <c r="V274" s="56"/>
      <c r="W274" s="57"/>
      <c r="X274" s="56"/>
      <c r="Y274" s="56"/>
      <c r="Z274" s="56"/>
      <c r="AA274" s="57"/>
      <c r="AB274" s="56"/>
      <c r="AC274" s="56"/>
      <c r="AD274" s="56"/>
      <c r="AE274" s="56"/>
      <c r="AF274" s="56"/>
      <c r="AG274" s="57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1"/>
      <c r="AV274" s="1"/>
    </row>
    <row r="275" spans="1:48" ht="15.75" customHeight="1" x14ac:dyDescent="0.2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/>
      <c r="L275" s="57"/>
      <c r="M275" s="57"/>
      <c r="N275" s="57"/>
      <c r="O275" s="56"/>
      <c r="P275" s="56"/>
      <c r="Q275" s="56"/>
      <c r="R275" s="56"/>
      <c r="S275" s="56"/>
      <c r="T275" s="56"/>
      <c r="U275" s="56"/>
      <c r="V275" s="56"/>
      <c r="W275" s="57"/>
      <c r="X275" s="56"/>
      <c r="Y275" s="56"/>
      <c r="Z275" s="56"/>
      <c r="AA275" s="57"/>
      <c r="AB275" s="56"/>
      <c r="AC275" s="56"/>
      <c r="AD275" s="56"/>
      <c r="AE275" s="56"/>
      <c r="AF275" s="56"/>
      <c r="AG275" s="57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1"/>
      <c r="AV275" s="1"/>
    </row>
    <row r="276" spans="1:48" ht="15.75" customHeight="1" x14ac:dyDescent="0.2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/>
      <c r="L276" s="57"/>
      <c r="M276" s="57"/>
      <c r="N276" s="57"/>
      <c r="O276" s="56"/>
      <c r="P276" s="56"/>
      <c r="Q276" s="56"/>
      <c r="R276" s="56"/>
      <c r="S276" s="56"/>
      <c r="T276" s="56"/>
      <c r="U276" s="56"/>
      <c r="V276" s="56"/>
      <c r="W276" s="57"/>
      <c r="X276" s="56"/>
      <c r="Y276" s="56"/>
      <c r="Z276" s="56"/>
      <c r="AA276" s="57"/>
      <c r="AB276" s="56"/>
      <c r="AC276" s="56"/>
      <c r="AD276" s="56"/>
      <c r="AE276" s="56"/>
      <c r="AF276" s="56"/>
      <c r="AG276" s="57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1"/>
      <c r="AV276" s="1"/>
    </row>
    <row r="277" spans="1:48" ht="15.75" customHeight="1" x14ac:dyDescent="0.2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  <c r="L277" s="57"/>
      <c r="M277" s="57"/>
      <c r="N277" s="57"/>
      <c r="O277" s="56"/>
      <c r="P277" s="56"/>
      <c r="Q277" s="56"/>
      <c r="R277" s="56"/>
      <c r="S277" s="56"/>
      <c r="T277" s="56"/>
      <c r="U277" s="56"/>
      <c r="V277" s="56"/>
      <c r="W277" s="57"/>
      <c r="X277" s="56"/>
      <c r="Y277" s="56"/>
      <c r="Z277" s="56"/>
      <c r="AA277" s="57"/>
      <c r="AB277" s="56"/>
      <c r="AC277" s="56"/>
      <c r="AD277" s="56"/>
      <c r="AE277" s="56"/>
      <c r="AF277" s="56"/>
      <c r="AG277" s="57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1"/>
      <c r="AV277" s="1"/>
    </row>
    <row r="278" spans="1:48" ht="15.75" customHeight="1" x14ac:dyDescent="0.2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  <c r="L278" s="57"/>
      <c r="M278" s="57"/>
      <c r="N278" s="57"/>
      <c r="O278" s="56"/>
      <c r="P278" s="56"/>
      <c r="Q278" s="56"/>
      <c r="R278" s="56"/>
      <c r="S278" s="56"/>
      <c r="T278" s="56"/>
      <c r="U278" s="56"/>
      <c r="V278" s="56"/>
      <c r="W278" s="57"/>
      <c r="X278" s="56"/>
      <c r="Y278" s="56"/>
      <c r="Z278" s="56"/>
      <c r="AA278" s="57"/>
      <c r="AB278" s="56"/>
      <c r="AC278" s="56"/>
      <c r="AD278" s="56"/>
      <c r="AE278" s="56"/>
      <c r="AF278" s="56"/>
      <c r="AG278" s="57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1"/>
      <c r="AV278" s="1"/>
    </row>
    <row r="279" spans="1:48" ht="15.75" customHeight="1" x14ac:dyDescent="0.2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  <c r="L279" s="57"/>
      <c r="M279" s="57"/>
      <c r="N279" s="57"/>
      <c r="O279" s="56"/>
      <c r="P279" s="56"/>
      <c r="Q279" s="56"/>
      <c r="R279" s="56"/>
      <c r="S279" s="56"/>
      <c r="T279" s="56"/>
      <c r="U279" s="56"/>
      <c r="V279" s="56"/>
      <c r="W279" s="57"/>
      <c r="X279" s="56"/>
      <c r="Y279" s="56"/>
      <c r="Z279" s="56"/>
      <c r="AA279" s="57"/>
      <c r="AB279" s="56"/>
      <c r="AC279" s="56"/>
      <c r="AD279" s="56"/>
      <c r="AE279" s="56"/>
      <c r="AF279" s="56"/>
      <c r="AG279" s="57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1"/>
      <c r="AV279" s="1"/>
    </row>
    <row r="280" spans="1:48" ht="15.75" customHeight="1" x14ac:dyDescent="0.2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  <c r="L280" s="57"/>
      <c r="M280" s="57"/>
      <c r="N280" s="57"/>
      <c r="O280" s="56"/>
      <c r="P280" s="56"/>
      <c r="Q280" s="56"/>
      <c r="R280" s="56"/>
      <c r="S280" s="56"/>
      <c r="T280" s="56"/>
      <c r="U280" s="56"/>
      <c r="V280" s="56"/>
      <c r="W280" s="57"/>
      <c r="X280" s="56"/>
      <c r="Y280" s="56"/>
      <c r="Z280" s="56"/>
      <c r="AA280" s="57"/>
      <c r="AB280" s="56"/>
      <c r="AC280" s="56"/>
      <c r="AD280" s="56"/>
      <c r="AE280" s="56"/>
      <c r="AF280" s="56"/>
      <c r="AG280" s="57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1"/>
      <c r="AV280" s="1"/>
    </row>
    <row r="281" spans="1:48" ht="15.75" customHeight="1" x14ac:dyDescent="0.2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  <c r="L281" s="57"/>
      <c r="M281" s="57"/>
      <c r="N281" s="57"/>
      <c r="O281" s="56"/>
      <c r="P281" s="56"/>
      <c r="Q281" s="56"/>
      <c r="R281" s="56"/>
      <c r="S281" s="56"/>
      <c r="T281" s="56"/>
      <c r="U281" s="56"/>
      <c r="V281" s="56"/>
      <c r="W281" s="57"/>
      <c r="X281" s="56"/>
      <c r="Y281" s="56"/>
      <c r="Z281" s="56"/>
      <c r="AA281" s="57"/>
      <c r="AB281" s="56"/>
      <c r="AC281" s="56"/>
      <c r="AD281" s="56"/>
      <c r="AE281" s="56"/>
      <c r="AF281" s="56"/>
      <c r="AG281" s="57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1"/>
      <c r="AV281" s="1"/>
    </row>
    <row r="282" spans="1:48" ht="15.75" customHeight="1" x14ac:dyDescent="0.2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/>
      <c r="L282" s="57"/>
      <c r="M282" s="57"/>
      <c r="N282" s="57"/>
      <c r="O282" s="56"/>
      <c r="P282" s="56"/>
      <c r="Q282" s="56"/>
      <c r="R282" s="56"/>
      <c r="S282" s="56"/>
      <c r="T282" s="56"/>
      <c r="U282" s="56"/>
      <c r="V282" s="56"/>
      <c r="W282" s="57"/>
      <c r="X282" s="56"/>
      <c r="Y282" s="56"/>
      <c r="Z282" s="56"/>
      <c r="AA282" s="57"/>
      <c r="AB282" s="56"/>
      <c r="AC282" s="56"/>
      <c r="AD282" s="56"/>
      <c r="AE282" s="56"/>
      <c r="AF282" s="56"/>
      <c r="AG282" s="57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1"/>
      <c r="AV282" s="1"/>
    </row>
    <row r="283" spans="1:48" ht="15.75" customHeight="1" x14ac:dyDescent="0.2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/>
      <c r="L283" s="57"/>
      <c r="M283" s="57"/>
      <c r="N283" s="57"/>
      <c r="O283" s="56"/>
      <c r="P283" s="56"/>
      <c r="Q283" s="56"/>
      <c r="R283" s="56"/>
      <c r="S283" s="56"/>
      <c r="T283" s="56"/>
      <c r="U283" s="56"/>
      <c r="V283" s="56"/>
      <c r="W283" s="57"/>
      <c r="X283" s="56"/>
      <c r="Y283" s="56"/>
      <c r="Z283" s="56"/>
      <c r="AA283" s="57"/>
      <c r="AB283" s="56"/>
      <c r="AC283" s="56"/>
      <c r="AD283" s="56"/>
      <c r="AE283" s="56"/>
      <c r="AF283" s="56"/>
      <c r="AG283" s="57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1"/>
      <c r="AV283" s="1"/>
    </row>
    <row r="284" spans="1:48" ht="15.75" customHeight="1" x14ac:dyDescent="0.2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/>
      <c r="L284" s="57"/>
      <c r="M284" s="57"/>
      <c r="N284" s="57"/>
      <c r="O284" s="56"/>
      <c r="P284" s="56"/>
      <c r="Q284" s="56"/>
      <c r="R284" s="56"/>
      <c r="S284" s="56"/>
      <c r="T284" s="56"/>
      <c r="U284" s="56"/>
      <c r="V284" s="56"/>
      <c r="W284" s="57"/>
      <c r="X284" s="56"/>
      <c r="Y284" s="56"/>
      <c r="Z284" s="56"/>
      <c r="AA284" s="57"/>
      <c r="AB284" s="56"/>
      <c r="AC284" s="56"/>
      <c r="AD284" s="56"/>
      <c r="AE284" s="56"/>
      <c r="AF284" s="56"/>
      <c r="AG284" s="57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1"/>
      <c r="AV284" s="1"/>
    </row>
    <row r="285" spans="1:48" ht="15.75" customHeight="1" x14ac:dyDescent="0.2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/>
      <c r="L285" s="57"/>
      <c r="M285" s="57"/>
      <c r="N285" s="57"/>
      <c r="O285" s="56"/>
      <c r="P285" s="56"/>
      <c r="Q285" s="56"/>
      <c r="R285" s="56"/>
      <c r="S285" s="56"/>
      <c r="T285" s="56"/>
      <c r="U285" s="56"/>
      <c r="V285" s="56"/>
      <c r="W285" s="57"/>
      <c r="X285" s="56"/>
      <c r="Y285" s="56"/>
      <c r="Z285" s="56"/>
      <c r="AA285" s="57"/>
      <c r="AB285" s="56"/>
      <c r="AC285" s="56"/>
      <c r="AD285" s="56"/>
      <c r="AE285" s="56"/>
      <c r="AF285" s="56"/>
      <c r="AG285" s="57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1"/>
      <c r="AV285" s="1"/>
    </row>
    <row r="286" spans="1:48" ht="15.75" customHeight="1" x14ac:dyDescent="0.2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/>
      <c r="L286" s="57"/>
      <c r="M286" s="57"/>
      <c r="N286" s="57"/>
      <c r="O286" s="56"/>
      <c r="P286" s="56"/>
      <c r="Q286" s="56"/>
      <c r="R286" s="56"/>
      <c r="S286" s="56"/>
      <c r="T286" s="56"/>
      <c r="U286" s="56"/>
      <c r="V286" s="56"/>
      <c r="W286" s="57"/>
      <c r="X286" s="56"/>
      <c r="Y286" s="56"/>
      <c r="Z286" s="56"/>
      <c r="AA286" s="57"/>
      <c r="AB286" s="56"/>
      <c r="AC286" s="56"/>
      <c r="AD286" s="56"/>
      <c r="AE286" s="56"/>
      <c r="AF286" s="56"/>
      <c r="AG286" s="57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1"/>
      <c r="AV286" s="1"/>
    </row>
    <row r="287" spans="1:48" ht="15.75" customHeight="1" x14ac:dyDescent="0.2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/>
      <c r="L287" s="57"/>
      <c r="M287" s="57"/>
      <c r="N287" s="57"/>
      <c r="O287" s="56"/>
      <c r="P287" s="56"/>
      <c r="Q287" s="56"/>
      <c r="R287" s="56"/>
      <c r="S287" s="56"/>
      <c r="T287" s="56"/>
      <c r="U287" s="56"/>
      <c r="V287" s="56"/>
      <c r="W287" s="57"/>
      <c r="X287" s="56"/>
      <c r="Y287" s="56"/>
      <c r="Z287" s="56"/>
      <c r="AA287" s="57"/>
      <c r="AB287" s="56"/>
      <c r="AC287" s="56"/>
      <c r="AD287" s="56"/>
      <c r="AE287" s="56"/>
      <c r="AF287" s="56"/>
      <c r="AG287" s="57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1"/>
      <c r="AV287" s="1"/>
    </row>
    <row r="288" spans="1:48" ht="15.75" customHeight="1" x14ac:dyDescent="0.2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/>
      <c r="L288" s="57"/>
      <c r="M288" s="57"/>
      <c r="N288" s="57"/>
      <c r="O288" s="56"/>
      <c r="P288" s="56"/>
      <c r="Q288" s="56"/>
      <c r="R288" s="56"/>
      <c r="S288" s="56"/>
      <c r="T288" s="56"/>
      <c r="U288" s="56"/>
      <c r="V288" s="56"/>
      <c r="W288" s="57"/>
      <c r="X288" s="56"/>
      <c r="Y288" s="56"/>
      <c r="Z288" s="56"/>
      <c r="AA288" s="57"/>
      <c r="AB288" s="56"/>
      <c r="AC288" s="56"/>
      <c r="AD288" s="56"/>
      <c r="AE288" s="56"/>
      <c r="AF288" s="56"/>
      <c r="AG288" s="57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1"/>
      <c r="AV288" s="1"/>
    </row>
    <row r="289" spans="1:48" ht="15.75" customHeight="1" x14ac:dyDescent="0.2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/>
      <c r="L289" s="57"/>
      <c r="M289" s="57"/>
      <c r="N289" s="57"/>
      <c r="O289" s="56"/>
      <c r="P289" s="56"/>
      <c r="Q289" s="56"/>
      <c r="R289" s="56"/>
      <c r="S289" s="56"/>
      <c r="T289" s="56"/>
      <c r="U289" s="56"/>
      <c r="V289" s="56"/>
      <c r="W289" s="57"/>
      <c r="X289" s="56"/>
      <c r="Y289" s="56"/>
      <c r="Z289" s="56"/>
      <c r="AA289" s="57"/>
      <c r="AB289" s="56"/>
      <c r="AC289" s="56"/>
      <c r="AD289" s="56"/>
      <c r="AE289" s="56"/>
      <c r="AF289" s="56"/>
      <c r="AG289" s="57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1"/>
      <c r="AV289" s="1"/>
    </row>
    <row r="290" spans="1:48" ht="15.75" customHeight="1" x14ac:dyDescent="0.2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/>
      <c r="L290" s="57"/>
      <c r="M290" s="57"/>
      <c r="N290" s="57"/>
      <c r="O290" s="56"/>
      <c r="P290" s="56"/>
      <c r="Q290" s="56"/>
      <c r="R290" s="56"/>
      <c r="S290" s="56"/>
      <c r="T290" s="56"/>
      <c r="U290" s="56"/>
      <c r="V290" s="56"/>
      <c r="W290" s="57"/>
      <c r="X290" s="56"/>
      <c r="Y290" s="56"/>
      <c r="Z290" s="56"/>
      <c r="AA290" s="57"/>
      <c r="AB290" s="56"/>
      <c r="AC290" s="56"/>
      <c r="AD290" s="56"/>
      <c r="AE290" s="56"/>
      <c r="AF290" s="56"/>
      <c r="AG290" s="57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1"/>
      <c r="AV290" s="1"/>
    </row>
    <row r="291" spans="1:48" ht="15.75" customHeight="1" x14ac:dyDescent="0.2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/>
      <c r="L291" s="57"/>
      <c r="M291" s="57"/>
      <c r="N291" s="57"/>
      <c r="O291" s="56"/>
      <c r="P291" s="56"/>
      <c r="Q291" s="56"/>
      <c r="R291" s="56"/>
      <c r="S291" s="56"/>
      <c r="T291" s="56"/>
      <c r="U291" s="56"/>
      <c r="V291" s="56"/>
      <c r="W291" s="57"/>
      <c r="X291" s="56"/>
      <c r="Y291" s="56"/>
      <c r="Z291" s="56"/>
      <c r="AA291" s="57"/>
      <c r="AB291" s="56"/>
      <c r="AC291" s="56"/>
      <c r="AD291" s="56"/>
      <c r="AE291" s="56"/>
      <c r="AF291" s="56"/>
      <c r="AG291" s="57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1"/>
      <c r="AV291" s="1"/>
    </row>
    <row r="292" spans="1:48" ht="15.75" customHeight="1" x14ac:dyDescent="0.2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/>
      <c r="L292" s="57"/>
      <c r="M292" s="57"/>
      <c r="N292" s="57"/>
      <c r="O292" s="56"/>
      <c r="P292" s="56"/>
      <c r="Q292" s="56"/>
      <c r="R292" s="56"/>
      <c r="S292" s="56"/>
      <c r="T292" s="56"/>
      <c r="U292" s="56"/>
      <c r="V292" s="56"/>
      <c r="W292" s="57"/>
      <c r="X292" s="56"/>
      <c r="Y292" s="56"/>
      <c r="Z292" s="56"/>
      <c r="AA292" s="57"/>
      <c r="AB292" s="56"/>
      <c r="AC292" s="56"/>
      <c r="AD292" s="56"/>
      <c r="AE292" s="56"/>
      <c r="AF292" s="56"/>
      <c r="AG292" s="57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1"/>
      <c r="AV292" s="1"/>
    </row>
    <row r="293" spans="1:48" ht="15.75" customHeight="1" x14ac:dyDescent="0.2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/>
      <c r="L293" s="57"/>
      <c r="M293" s="57"/>
      <c r="N293" s="57"/>
      <c r="O293" s="56"/>
      <c r="P293" s="56"/>
      <c r="Q293" s="56"/>
      <c r="R293" s="56"/>
      <c r="S293" s="56"/>
      <c r="T293" s="56"/>
      <c r="U293" s="56"/>
      <c r="V293" s="56"/>
      <c r="W293" s="57"/>
      <c r="X293" s="56"/>
      <c r="Y293" s="56"/>
      <c r="Z293" s="56"/>
      <c r="AA293" s="57"/>
      <c r="AB293" s="56"/>
      <c r="AC293" s="56"/>
      <c r="AD293" s="56"/>
      <c r="AE293" s="56"/>
      <c r="AF293" s="56"/>
      <c r="AG293" s="57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1"/>
      <c r="AV293" s="1"/>
    </row>
    <row r="294" spans="1:48" ht="15.75" customHeight="1" x14ac:dyDescent="0.2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/>
      <c r="L294" s="57"/>
      <c r="M294" s="57"/>
      <c r="N294" s="57"/>
      <c r="O294" s="56"/>
      <c r="P294" s="56"/>
      <c r="Q294" s="56"/>
      <c r="R294" s="56"/>
      <c r="S294" s="56"/>
      <c r="T294" s="56"/>
      <c r="U294" s="56"/>
      <c r="V294" s="56"/>
      <c r="W294" s="57"/>
      <c r="X294" s="56"/>
      <c r="Y294" s="56"/>
      <c r="Z294" s="56"/>
      <c r="AA294" s="57"/>
      <c r="AB294" s="56"/>
      <c r="AC294" s="56"/>
      <c r="AD294" s="56"/>
      <c r="AE294" s="56"/>
      <c r="AF294" s="56"/>
      <c r="AG294" s="57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1"/>
      <c r="AV294" s="1"/>
    </row>
    <row r="295" spans="1:48" ht="15.75" customHeight="1" x14ac:dyDescent="0.2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/>
      <c r="L295" s="57"/>
      <c r="M295" s="57"/>
      <c r="N295" s="57"/>
      <c r="O295" s="56"/>
      <c r="P295" s="56"/>
      <c r="Q295" s="56"/>
      <c r="R295" s="56"/>
      <c r="S295" s="56"/>
      <c r="T295" s="56"/>
      <c r="U295" s="56"/>
      <c r="V295" s="56"/>
      <c r="W295" s="57"/>
      <c r="X295" s="56"/>
      <c r="Y295" s="56"/>
      <c r="Z295" s="56"/>
      <c r="AA295" s="57"/>
      <c r="AB295" s="56"/>
      <c r="AC295" s="56"/>
      <c r="AD295" s="56"/>
      <c r="AE295" s="56"/>
      <c r="AF295" s="56"/>
      <c r="AG295" s="57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1"/>
      <c r="AV295" s="1"/>
    </row>
    <row r="296" spans="1:48" ht="15.75" customHeight="1" x14ac:dyDescent="0.2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/>
      <c r="L296" s="57"/>
      <c r="M296" s="57"/>
      <c r="N296" s="57"/>
      <c r="O296" s="56"/>
      <c r="P296" s="56"/>
      <c r="Q296" s="56"/>
      <c r="R296" s="56"/>
      <c r="S296" s="56"/>
      <c r="T296" s="56"/>
      <c r="U296" s="56"/>
      <c r="V296" s="56"/>
      <c r="W296" s="57"/>
      <c r="X296" s="56"/>
      <c r="Y296" s="56"/>
      <c r="Z296" s="56"/>
      <c r="AA296" s="57"/>
      <c r="AB296" s="56"/>
      <c r="AC296" s="56"/>
      <c r="AD296" s="56"/>
      <c r="AE296" s="56"/>
      <c r="AF296" s="56"/>
      <c r="AG296" s="57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1"/>
      <c r="AV296" s="1"/>
    </row>
    <row r="297" spans="1:48" ht="15.75" customHeight="1" x14ac:dyDescent="0.2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/>
      <c r="L297" s="57"/>
      <c r="M297" s="57"/>
      <c r="N297" s="57"/>
      <c r="O297" s="56"/>
      <c r="P297" s="56"/>
      <c r="Q297" s="56"/>
      <c r="R297" s="56"/>
      <c r="S297" s="56"/>
      <c r="T297" s="56"/>
      <c r="U297" s="56"/>
      <c r="V297" s="56"/>
      <c r="W297" s="57"/>
      <c r="X297" s="56"/>
      <c r="Y297" s="56"/>
      <c r="Z297" s="56"/>
      <c r="AA297" s="57"/>
      <c r="AB297" s="56"/>
      <c r="AC297" s="56"/>
      <c r="AD297" s="56"/>
      <c r="AE297" s="56"/>
      <c r="AF297" s="56"/>
      <c r="AG297" s="57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1"/>
      <c r="AV297" s="1"/>
    </row>
    <row r="298" spans="1:48" ht="15.75" customHeight="1" x14ac:dyDescent="0.2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/>
      <c r="L298" s="57"/>
      <c r="M298" s="57"/>
      <c r="N298" s="57"/>
      <c r="O298" s="56"/>
      <c r="P298" s="56"/>
      <c r="Q298" s="56"/>
      <c r="R298" s="56"/>
      <c r="S298" s="56"/>
      <c r="T298" s="56"/>
      <c r="U298" s="56"/>
      <c r="V298" s="56"/>
      <c r="W298" s="57"/>
      <c r="X298" s="56"/>
      <c r="Y298" s="56"/>
      <c r="Z298" s="56"/>
      <c r="AA298" s="57"/>
      <c r="AB298" s="56"/>
      <c r="AC298" s="56"/>
      <c r="AD298" s="56"/>
      <c r="AE298" s="56"/>
      <c r="AF298" s="56"/>
      <c r="AG298" s="57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1"/>
      <c r="AV298" s="1"/>
    </row>
    <row r="299" spans="1:48" ht="15.75" customHeight="1" x14ac:dyDescent="0.2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/>
      <c r="L299" s="57"/>
      <c r="M299" s="57"/>
      <c r="N299" s="57"/>
      <c r="O299" s="56"/>
      <c r="P299" s="56"/>
      <c r="Q299" s="56"/>
      <c r="R299" s="56"/>
      <c r="S299" s="56"/>
      <c r="T299" s="56"/>
      <c r="U299" s="56"/>
      <c r="V299" s="56"/>
      <c r="W299" s="57"/>
      <c r="X299" s="56"/>
      <c r="Y299" s="56"/>
      <c r="Z299" s="56"/>
      <c r="AA299" s="57"/>
      <c r="AB299" s="56"/>
      <c r="AC299" s="56"/>
      <c r="AD299" s="56"/>
      <c r="AE299" s="56"/>
      <c r="AF299" s="56"/>
      <c r="AG299" s="57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1"/>
      <c r="AV299" s="1"/>
    </row>
    <row r="300" spans="1:48" ht="15.75" customHeight="1" x14ac:dyDescent="0.2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/>
      <c r="L300" s="57"/>
      <c r="M300" s="57"/>
      <c r="N300" s="57"/>
      <c r="O300" s="56"/>
      <c r="P300" s="56"/>
      <c r="Q300" s="56"/>
      <c r="R300" s="56"/>
      <c r="S300" s="56"/>
      <c r="T300" s="56"/>
      <c r="U300" s="56"/>
      <c r="V300" s="56"/>
      <c r="W300" s="57"/>
      <c r="X300" s="56"/>
      <c r="Y300" s="56"/>
      <c r="Z300" s="56"/>
      <c r="AA300" s="57"/>
      <c r="AB300" s="56"/>
      <c r="AC300" s="56"/>
      <c r="AD300" s="56"/>
      <c r="AE300" s="56"/>
      <c r="AF300" s="56"/>
      <c r="AG300" s="57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1"/>
      <c r="AV300" s="1"/>
    </row>
    <row r="301" spans="1:48" ht="15.75" customHeight="1" x14ac:dyDescent="0.2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/>
      <c r="L301" s="57"/>
      <c r="M301" s="57"/>
      <c r="N301" s="57"/>
      <c r="O301" s="56"/>
      <c r="P301" s="56"/>
      <c r="Q301" s="56"/>
      <c r="R301" s="56"/>
      <c r="S301" s="56"/>
      <c r="T301" s="56"/>
      <c r="U301" s="56"/>
      <c r="V301" s="56"/>
      <c r="W301" s="57"/>
      <c r="X301" s="56"/>
      <c r="Y301" s="56"/>
      <c r="Z301" s="56"/>
      <c r="AA301" s="57"/>
      <c r="AB301" s="56"/>
      <c r="AC301" s="56"/>
      <c r="AD301" s="56"/>
      <c r="AE301" s="56"/>
      <c r="AF301" s="56"/>
      <c r="AG301" s="57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1"/>
      <c r="AV301" s="1"/>
    </row>
    <row r="302" spans="1:48" ht="15.75" customHeight="1" x14ac:dyDescent="0.2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/>
      <c r="L302" s="57"/>
      <c r="M302" s="57"/>
      <c r="N302" s="57"/>
      <c r="O302" s="56"/>
      <c r="P302" s="56"/>
      <c r="Q302" s="56"/>
      <c r="R302" s="56"/>
      <c r="S302" s="56"/>
      <c r="T302" s="56"/>
      <c r="U302" s="56"/>
      <c r="V302" s="56"/>
      <c r="W302" s="57"/>
      <c r="X302" s="56"/>
      <c r="Y302" s="56"/>
      <c r="Z302" s="56"/>
      <c r="AA302" s="57"/>
      <c r="AB302" s="56"/>
      <c r="AC302" s="56"/>
      <c r="AD302" s="56"/>
      <c r="AE302" s="56"/>
      <c r="AF302" s="56"/>
      <c r="AG302" s="57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1"/>
      <c r="AV302" s="1"/>
    </row>
    <row r="303" spans="1:48" ht="15.75" customHeight="1" x14ac:dyDescent="0.2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/>
      <c r="L303" s="57"/>
      <c r="M303" s="57"/>
      <c r="N303" s="57"/>
      <c r="O303" s="56"/>
      <c r="P303" s="56"/>
      <c r="Q303" s="56"/>
      <c r="R303" s="56"/>
      <c r="S303" s="56"/>
      <c r="T303" s="56"/>
      <c r="U303" s="56"/>
      <c r="V303" s="56"/>
      <c r="W303" s="57"/>
      <c r="X303" s="56"/>
      <c r="Y303" s="56"/>
      <c r="Z303" s="56"/>
      <c r="AA303" s="57"/>
      <c r="AB303" s="56"/>
      <c r="AC303" s="56"/>
      <c r="AD303" s="56"/>
      <c r="AE303" s="56"/>
      <c r="AF303" s="56"/>
      <c r="AG303" s="57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1"/>
      <c r="AV303" s="1"/>
    </row>
    <row r="304" spans="1:48" ht="15.75" customHeight="1" x14ac:dyDescent="0.2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/>
      <c r="L304" s="57"/>
      <c r="M304" s="57"/>
      <c r="N304" s="57"/>
      <c r="O304" s="56"/>
      <c r="P304" s="56"/>
      <c r="Q304" s="56"/>
      <c r="R304" s="56"/>
      <c r="S304" s="56"/>
      <c r="T304" s="56"/>
      <c r="U304" s="56"/>
      <c r="V304" s="56"/>
      <c r="W304" s="57"/>
      <c r="X304" s="56"/>
      <c r="Y304" s="56"/>
      <c r="Z304" s="56"/>
      <c r="AA304" s="57"/>
      <c r="AB304" s="56"/>
      <c r="AC304" s="56"/>
      <c r="AD304" s="56"/>
      <c r="AE304" s="56"/>
      <c r="AF304" s="56"/>
      <c r="AG304" s="57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1"/>
      <c r="AV304" s="1"/>
    </row>
    <row r="305" spans="1:48" ht="15.75" customHeight="1" x14ac:dyDescent="0.2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/>
      <c r="L305" s="57"/>
      <c r="M305" s="57"/>
      <c r="N305" s="57"/>
      <c r="O305" s="56"/>
      <c r="P305" s="56"/>
      <c r="Q305" s="56"/>
      <c r="R305" s="56"/>
      <c r="S305" s="56"/>
      <c r="T305" s="56"/>
      <c r="U305" s="56"/>
      <c r="V305" s="56"/>
      <c r="W305" s="57"/>
      <c r="X305" s="56"/>
      <c r="Y305" s="56"/>
      <c r="Z305" s="56"/>
      <c r="AA305" s="57"/>
      <c r="AB305" s="56"/>
      <c r="AC305" s="56"/>
      <c r="AD305" s="56"/>
      <c r="AE305" s="56"/>
      <c r="AF305" s="56"/>
      <c r="AG305" s="57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1"/>
      <c r="AV305" s="1"/>
    </row>
    <row r="306" spans="1:48" ht="15.75" customHeight="1" x14ac:dyDescent="0.2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/>
      <c r="L306" s="57"/>
      <c r="M306" s="57"/>
      <c r="N306" s="57"/>
      <c r="O306" s="56"/>
      <c r="P306" s="56"/>
      <c r="Q306" s="56"/>
      <c r="R306" s="56"/>
      <c r="S306" s="56"/>
      <c r="T306" s="56"/>
      <c r="U306" s="56"/>
      <c r="V306" s="56"/>
      <c r="W306" s="57"/>
      <c r="X306" s="56"/>
      <c r="Y306" s="56"/>
      <c r="Z306" s="56"/>
      <c r="AA306" s="57"/>
      <c r="AB306" s="56"/>
      <c r="AC306" s="56"/>
      <c r="AD306" s="56"/>
      <c r="AE306" s="56"/>
      <c r="AF306" s="56"/>
      <c r="AG306" s="57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1"/>
      <c r="AV306" s="1"/>
    </row>
    <row r="307" spans="1:48" ht="15.75" customHeight="1" x14ac:dyDescent="0.2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/>
      <c r="L307" s="57"/>
      <c r="M307" s="57"/>
      <c r="N307" s="57"/>
      <c r="O307" s="56"/>
      <c r="P307" s="56"/>
      <c r="Q307" s="56"/>
      <c r="R307" s="56"/>
      <c r="S307" s="56"/>
      <c r="T307" s="56"/>
      <c r="U307" s="56"/>
      <c r="V307" s="56"/>
      <c r="W307" s="57"/>
      <c r="X307" s="56"/>
      <c r="Y307" s="56"/>
      <c r="Z307" s="56"/>
      <c r="AA307" s="57"/>
      <c r="AB307" s="56"/>
      <c r="AC307" s="56"/>
      <c r="AD307" s="56"/>
      <c r="AE307" s="56"/>
      <c r="AF307" s="56"/>
      <c r="AG307" s="57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1"/>
      <c r="AV307" s="1"/>
    </row>
    <row r="308" spans="1:48" ht="15.75" customHeight="1" x14ac:dyDescent="0.2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/>
      <c r="L308" s="57"/>
      <c r="M308" s="57"/>
      <c r="N308" s="57"/>
      <c r="O308" s="56"/>
      <c r="P308" s="56"/>
      <c r="Q308" s="56"/>
      <c r="R308" s="56"/>
      <c r="S308" s="56"/>
      <c r="T308" s="56"/>
      <c r="U308" s="56"/>
      <c r="V308" s="56"/>
      <c r="W308" s="57"/>
      <c r="X308" s="56"/>
      <c r="Y308" s="56"/>
      <c r="Z308" s="56"/>
      <c r="AA308" s="57"/>
      <c r="AB308" s="56"/>
      <c r="AC308" s="56"/>
      <c r="AD308" s="56"/>
      <c r="AE308" s="56"/>
      <c r="AF308" s="56"/>
      <c r="AG308" s="57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1"/>
      <c r="AV308" s="1"/>
    </row>
    <row r="309" spans="1:48" ht="15.75" customHeight="1" x14ac:dyDescent="0.2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/>
      <c r="L309" s="57"/>
      <c r="M309" s="57"/>
      <c r="N309" s="57"/>
      <c r="O309" s="56"/>
      <c r="P309" s="56"/>
      <c r="Q309" s="56"/>
      <c r="R309" s="56"/>
      <c r="S309" s="56"/>
      <c r="T309" s="56"/>
      <c r="U309" s="56"/>
      <c r="V309" s="56"/>
      <c r="W309" s="57"/>
      <c r="X309" s="56"/>
      <c r="Y309" s="56"/>
      <c r="Z309" s="56"/>
      <c r="AA309" s="57"/>
      <c r="AB309" s="56"/>
      <c r="AC309" s="56"/>
      <c r="AD309" s="56"/>
      <c r="AE309" s="56"/>
      <c r="AF309" s="56"/>
      <c r="AG309" s="57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1"/>
      <c r="AV309" s="1"/>
    </row>
    <row r="310" spans="1:48" ht="15.75" customHeight="1" x14ac:dyDescent="0.2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/>
      <c r="L310" s="57"/>
      <c r="M310" s="57"/>
      <c r="N310" s="57"/>
      <c r="O310" s="56"/>
      <c r="P310" s="56"/>
      <c r="Q310" s="56"/>
      <c r="R310" s="56"/>
      <c r="S310" s="56"/>
      <c r="T310" s="56"/>
      <c r="U310" s="56"/>
      <c r="V310" s="56"/>
      <c r="W310" s="57"/>
      <c r="X310" s="56"/>
      <c r="Y310" s="56"/>
      <c r="Z310" s="56"/>
      <c r="AA310" s="57"/>
      <c r="AB310" s="56"/>
      <c r="AC310" s="56"/>
      <c r="AD310" s="56"/>
      <c r="AE310" s="56"/>
      <c r="AF310" s="56"/>
      <c r="AG310" s="57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1"/>
      <c r="AV310" s="1"/>
    </row>
    <row r="311" spans="1:48" ht="15.75" customHeight="1" x14ac:dyDescent="0.2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/>
      <c r="L311" s="57"/>
      <c r="M311" s="57"/>
      <c r="N311" s="57"/>
      <c r="O311" s="56"/>
      <c r="P311" s="56"/>
      <c r="Q311" s="56"/>
      <c r="R311" s="56"/>
      <c r="S311" s="56"/>
      <c r="T311" s="56"/>
      <c r="U311" s="56"/>
      <c r="V311" s="56"/>
      <c r="W311" s="57"/>
      <c r="X311" s="56"/>
      <c r="Y311" s="56"/>
      <c r="Z311" s="56"/>
      <c r="AA311" s="57"/>
      <c r="AB311" s="56"/>
      <c r="AC311" s="56"/>
      <c r="AD311" s="56"/>
      <c r="AE311" s="56"/>
      <c r="AF311" s="56"/>
      <c r="AG311" s="57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1"/>
      <c r="AV311" s="1"/>
    </row>
    <row r="312" spans="1:48" ht="15.75" customHeight="1" x14ac:dyDescent="0.2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/>
      <c r="L312" s="57"/>
      <c r="M312" s="57"/>
      <c r="N312" s="57"/>
      <c r="O312" s="56"/>
      <c r="P312" s="56"/>
      <c r="Q312" s="56"/>
      <c r="R312" s="56"/>
      <c r="S312" s="56"/>
      <c r="T312" s="56"/>
      <c r="U312" s="56"/>
      <c r="V312" s="56"/>
      <c r="W312" s="57"/>
      <c r="X312" s="56"/>
      <c r="Y312" s="56"/>
      <c r="Z312" s="56"/>
      <c r="AA312" s="57"/>
      <c r="AB312" s="56"/>
      <c r="AC312" s="56"/>
      <c r="AD312" s="56"/>
      <c r="AE312" s="56"/>
      <c r="AF312" s="56"/>
      <c r="AG312" s="57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1"/>
      <c r="AV312" s="1"/>
    </row>
    <row r="313" spans="1:48" ht="15.75" customHeight="1" x14ac:dyDescent="0.2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/>
      <c r="L313" s="57"/>
      <c r="M313" s="57"/>
      <c r="N313" s="57"/>
      <c r="O313" s="56"/>
      <c r="P313" s="56"/>
      <c r="Q313" s="56"/>
      <c r="R313" s="56"/>
      <c r="S313" s="56"/>
      <c r="T313" s="56"/>
      <c r="U313" s="56"/>
      <c r="V313" s="56"/>
      <c r="W313" s="57"/>
      <c r="X313" s="56"/>
      <c r="Y313" s="56"/>
      <c r="Z313" s="56"/>
      <c r="AA313" s="57"/>
      <c r="AB313" s="56"/>
      <c r="AC313" s="56"/>
      <c r="AD313" s="56"/>
      <c r="AE313" s="56"/>
      <c r="AF313" s="56"/>
      <c r="AG313" s="57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1"/>
      <c r="AV313" s="1"/>
    </row>
    <row r="314" spans="1:48" ht="15.75" customHeight="1" x14ac:dyDescent="0.2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/>
      <c r="L314" s="57"/>
      <c r="M314" s="57"/>
      <c r="N314" s="57"/>
      <c r="O314" s="56"/>
      <c r="P314" s="56"/>
      <c r="Q314" s="56"/>
      <c r="R314" s="56"/>
      <c r="S314" s="56"/>
      <c r="T314" s="56"/>
      <c r="U314" s="56"/>
      <c r="V314" s="56"/>
      <c r="W314" s="57"/>
      <c r="X314" s="56"/>
      <c r="Y314" s="56"/>
      <c r="Z314" s="56"/>
      <c r="AA314" s="57"/>
      <c r="AB314" s="56"/>
      <c r="AC314" s="56"/>
      <c r="AD314" s="56"/>
      <c r="AE314" s="56"/>
      <c r="AF314" s="56"/>
      <c r="AG314" s="57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1"/>
      <c r="AV314" s="1"/>
    </row>
    <row r="315" spans="1:48" ht="15.75" customHeight="1" x14ac:dyDescent="0.2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/>
      <c r="L315" s="57"/>
      <c r="M315" s="57"/>
      <c r="N315" s="57"/>
      <c r="O315" s="56"/>
      <c r="P315" s="56"/>
      <c r="Q315" s="56"/>
      <c r="R315" s="56"/>
      <c r="S315" s="56"/>
      <c r="T315" s="56"/>
      <c r="U315" s="56"/>
      <c r="V315" s="56"/>
      <c r="W315" s="57"/>
      <c r="X315" s="56"/>
      <c r="Y315" s="56"/>
      <c r="Z315" s="56"/>
      <c r="AA315" s="57"/>
      <c r="AB315" s="56"/>
      <c r="AC315" s="56"/>
      <c r="AD315" s="56"/>
      <c r="AE315" s="56"/>
      <c r="AF315" s="56"/>
      <c r="AG315" s="57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1"/>
      <c r="AV315" s="1"/>
    </row>
    <row r="316" spans="1:48" ht="15.75" customHeight="1" x14ac:dyDescent="0.2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/>
      <c r="L316" s="57"/>
      <c r="M316" s="57"/>
      <c r="N316" s="57"/>
      <c r="O316" s="56"/>
      <c r="P316" s="56"/>
      <c r="Q316" s="56"/>
      <c r="R316" s="56"/>
      <c r="S316" s="56"/>
      <c r="T316" s="56"/>
      <c r="U316" s="56"/>
      <c r="V316" s="56"/>
      <c r="W316" s="57"/>
      <c r="X316" s="56"/>
      <c r="Y316" s="56"/>
      <c r="Z316" s="56"/>
      <c r="AA316" s="57"/>
      <c r="AB316" s="56"/>
      <c r="AC316" s="56"/>
      <c r="AD316" s="56"/>
      <c r="AE316" s="56"/>
      <c r="AF316" s="56"/>
      <c r="AG316" s="57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1"/>
      <c r="AV316" s="1"/>
    </row>
    <row r="317" spans="1:48" ht="15.75" customHeight="1" x14ac:dyDescent="0.2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/>
      <c r="L317" s="57"/>
      <c r="M317" s="57"/>
      <c r="N317" s="57"/>
      <c r="O317" s="56"/>
      <c r="P317" s="56"/>
      <c r="Q317" s="56"/>
      <c r="R317" s="56"/>
      <c r="S317" s="56"/>
      <c r="T317" s="56"/>
      <c r="U317" s="56"/>
      <c r="V317" s="56"/>
      <c r="W317" s="57"/>
      <c r="X317" s="56"/>
      <c r="Y317" s="56"/>
      <c r="Z317" s="56"/>
      <c r="AA317" s="57"/>
      <c r="AB317" s="56"/>
      <c r="AC317" s="56"/>
      <c r="AD317" s="56"/>
      <c r="AE317" s="56"/>
      <c r="AF317" s="56"/>
      <c r="AG317" s="57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1"/>
      <c r="AV317" s="1"/>
    </row>
    <row r="318" spans="1:48" ht="15.75" customHeight="1" x14ac:dyDescent="0.2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/>
      <c r="L318" s="57"/>
      <c r="M318" s="57"/>
      <c r="N318" s="57"/>
      <c r="O318" s="56"/>
      <c r="P318" s="56"/>
      <c r="Q318" s="56"/>
      <c r="R318" s="56"/>
      <c r="S318" s="56"/>
      <c r="T318" s="56"/>
      <c r="U318" s="56"/>
      <c r="V318" s="56"/>
      <c r="W318" s="57"/>
      <c r="X318" s="56"/>
      <c r="Y318" s="56"/>
      <c r="Z318" s="56"/>
      <c r="AA318" s="57"/>
      <c r="AB318" s="56"/>
      <c r="AC318" s="56"/>
      <c r="AD318" s="56"/>
      <c r="AE318" s="56"/>
      <c r="AF318" s="56"/>
      <c r="AG318" s="57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1"/>
      <c r="AV318" s="1"/>
    </row>
    <row r="319" spans="1:48" ht="15.75" customHeight="1" x14ac:dyDescent="0.2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/>
      <c r="L319" s="57"/>
      <c r="M319" s="57"/>
      <c r="N319" s="57"/>
      <c r="O319" s="56"/>
      <c r="P319" s="56"/>
      <c r="Q319" s="56"/>
      <c r="R319" s="56"/>
      <c r="S319" s="56"/>
      <c r="T319" s="56"/>
      <c r="U319" s="56"/>
      <c r="V319" s="56"/>
      <c r="W319" s="57"/>
      <c r="X319" s="56"/>
      <c r="Y319" s="56"/>
      <c r="Z319" s="56"/>
      <c r="AA319" s="57"/>
      <c r="AB319" s="56"/>
      <c r="AC319" s="56"/>
      <c r="AD319" s="56"/>
      <c r="AE319" s="56"/>
      <c r="AF319" s="56"/>
      <c r="AG319" s="57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1"/>
      <c r="AV319" s="1"/>
    </row>
    <row r="320" spans="1:48" ht="15.75" customHeight="1" x14ac:dyDescent="0.2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/>
      <c r="L320" s="57"/>
      <c r="M320" s="57"/>
      <c r="N320" s="57"/>
      <c r="O320" s="56"/>
      <c r="P320" s="56"/>
      <c r="Q320" s="56"/>
      <c r="R320" s="56"/>
      <c r="S320" s="56"/>
      <c r="T320" s="56"/>
      <c r="U320" s="56"/>
      <c r="V320" s="56"/>
      <c r="W320" s="57"/>
      <c r="X320" s="56"/>
      <c r="Y320" s="56"/>
      <c r="Z320" s="56"/>
      <c r="AA320" s="57"/>
      <c r="AB320" s="56"/>
      <c r="AC320" s="56"/>
      <c r="AD320" s="56"/>
      <c r="AE320" s="56"/>
      <c r="AF320" s="56"/>
      <c r="AG320" s="57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1"/>
      <c r="AV320" s="1"/>
    </row>
    <row r="321" spans="1:48" ht="15.75" customHeight="1" x14ac:dyDescent="0.2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/>
      <c r="L321" s="57"/>
      <c r="M321" s="57"/>
      <c r="N321" s="57"/>
      <c r="O321" s="56"/>
      <c r="P321" s="56"/>
      <c r="Q321" s="56"/>
      <c r="R321" s="56"/>
      <c r="S321" s="56"/>
      <c r="T321" s="56"/>
      <c r="U321" s="56"/>
      <c r="V321" s="56"/>
      <c r="W321" s="57"/>
      <c r="X321" s="56"/>
      <c r="Y321" s="56"/>
      <c r="Z321" s="56"/>
      <c r="AA321" s="57"/>
      <c r="AB321" s="56"/>
      <c r="AC321" s="56"/>
      <c r="AD321" s="56"/>
      <c r="AE321" s="56"/>
      <c r="AF321" s="56"/>
      <c r="AG321" s="57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1"/>
      <c r="AV321" s="1"/>
    </row>
    <row r="322" spans="1:48" ht="15.75" customHeight="1" x14ac:dyDescent="0.2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/>
      <c r="L322" s="57"/>
      <c r="M322" s="57"/>
      <c r="N322" s="57"/>
      <c r="O322" s="56"/>
      <c r="P322" s="56"/>
      <c r="Q322" s="56"/>
      <c r="R322" s="56"/>
      <c r="S322" s="56"/>
      <c r="T322" s="56"/>
      <c r="U322" s="56"/>
      <c r="V322" s="56"/>
      <c r="W322" s="57"/>
      <c r="X322" s="56"/>
      <c r="Y322" s="56"/>
      <c r="Z322" s="56"/>
      <c r="AA322" s="57"/>
      <c r="AB322" s="56"/>
      <c r="AC322" s="56"/>
      <c r="AD322" s="56"/>
      <c r="AE322" s="56"/>
      <c r="AF322" s="56"/>
      <c r="AG322" s="57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1"/>
      <c r="AV322" s="1"/>
    </row>
    <row r="323" spans="1:48" ht="15.75" customHeight="1" x14ac:dyDescent="0.2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/>
      <c r="L323" s="57"/>
      <c r="M323" s="57"/>
      <c r="N323" s="57"/>
      <c r="O323" s="56"/>
      <c r="P323" s="56"/>
      <c r="Q323" s="56"/>
      <c r="R323" s="56"/>
      <c r="S323" s="56"/>
      <c r="T323" s="56"/>
      <c r="U323" s="56"/>
      <c r="V323" s="56"/>
      <c r="W323" s="57"/>
      <c r="X323" s="56"/>
      <c r="Y323" s="56"/>
      <c r="Z323" s="56"/>
      <c r="AA323" s="57"/>
      <c r="AB323" s="56"/>
      <c r="AC323" s="56"/>
      <c r="AD323" s="56"/>
      <c r="AE323" s="56"/>
      <c r="AF323" s="56"/>
      <c r="AG323" s="57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1"/>
      <c r="AV323" s="1"/>
    </row>
    <row r="324" spans="1:48" ht="15.75" customHeight="1" x14ac:dyDescent="0.2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/>
      <c r="L324" s="57"/>
      <c r="M324" s="57"/>
      <c r="N324" s="57"/>
      <c r="O324" s="56"/>
      <c r="P324" s="56"/>
      <c r="Q324" s="56"/>
      <c r="R324" s="56"/>
      <c r="S324" s="56"/>
      <c r="T324" s="56"/>
      <c r="U324" s="56"/>
      <c r="V324" s="56"/>
      <c r="W324" s="57"/>
      <c r="X324" s="56"/>
      <c r="Y324" s="56"/>
      <c r="Z324" s="56"/>
      <c r="AA324" s="57"/>
      <c r="AB324" s="56"/>
      <c r="AC324" s="56"/>
      <c r="AD324" s="56"/>
      <c r="AE324" s="56"/>
      <c r="AF324" s="56"/>
      <c r="AG324" s="57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1"/>
      <c r="AV324" s="1"/>
    </row>
    <row r="325" spans="1:48" ht="15.75" customHeight="1" x14ac:dyDescent="0.2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/>
      <c r="L325" s="57"/>
      <c r="M325" s="57"/>
      <c r="N325" s="57"/>
      <c r="O325" s="56"/>
      <c r="P325" s="56"/>
      <c r="Q325" s="56"/>
      <c r="R325" s="56"/>
      <c r="S325" s="56"/>
      <c r="T325" s="56"/>
      <c r="U325" s="56"/>
      <c r="V325" s="56"/>
      <c r="W325" s="57"/>
      <c r="X325" s="56"/>
      <c r="Y325" s="56"/>
      <c r="Z325" s="56"/>
      <c r="AA325" s="57"/>
      <c r="AB325" s="56"/>
      <c r="AC325" s="56"/>
      <c r="AD325" s="56"/>
      <c r="AE325" s="56"/>
      <c r="AF325" s="56"/>
      <c r="AG325" s="57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1"/>
      <c r="AV325" s="1"/>
    </row>
    <row r="326" spans="1:48" ht="15.75" customHeight="1" x14ac:dyDescent="0.2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/>
      <c r="L326" s="57"/>
      <c r="M326" s="57"/>
      <c r="N326" s="57"/>
      <c r="O326" s="56"/>
      <c r="P326" s="56"/>
      <c r="Q326" s="56"/>
      <c r="R326" s="56"/>
      <c r="S326" s="56"/>
      <c r="T326" s="56"/>
      <c r="U326" s="56"/>
      <c r="V326" s="56"/>
      <c r="W326" s="57"/>
      <c r="X326" s="56"/>
      <c r="Y326" s="56"/>
      <c r="Z326" s="56"/>
      <c r="AA326" s="57"/>
      <c r="AB326" s="56"/>
      <c r="AC326" s="56"/>
      <c r="AD326" s="56"/>
      <c r="AE326" s="56"/>
      <c r="AF326" s="56"/>
      <c r="AG326" s="57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1"/>
      <c r="AV326" s="1"/>
    </row>
    <row r="327" spans="1:48" ht="15.75" customHeight="1" x14ac:dyDescent="0.2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/>
      <c r="L327" s="57"/>
      <c r="M327" s="57"/>
      <c r="N327" s="57"/>
      <c r="O327" s="56"/>
      <c r="P327" s="56"/>
      <c r="Q327" s="56"/>
      <c r="R327" s="56"/>
      <c r="S327" s="56"/>
      <c r="T327" s="56"/>
      <c r="U327" s="56"/>
      <c r="V327" s="56"/>
      <c r="W327" s="57"/>
      <c r="X327" s="56"/>
      <c r="Y327" s="56"/>
      <c r="Z327" s="56"/>
      <c r="AA327" s="57"/>
      <c r="AB327" s="56"/>
      <c r="AC327" s="56"/>
      <c r="AD327" s="56"/>
      <c r="AE327" s="56"/>
      <c r="AF327" s="56"/>
      <c r="AG327" s="57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1"/>
      <c r="AV327" s="1"/>
    </row>
    <row r="328" spans="1:48" ht="15.75" customHeight="1" x14ac:dyDescent="0.2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/>
      <c r="L328" s="57"/>
      <c r="M328" s="57"/>
      <c r="N328" s="57"/>
      <c r="O328" s="56"/>
      <c r="P328" s="56"/>
      <c r="Q328" s="56"/>
      <c r="R328" s="56"/>
      <c r="S328" s="56"/>
      <c r="T328" s="56"/>
      <c r="U328" s="56"/>
      <c r="V328" s="56"/>
      <c r="W328" s="57"/>
      <c r="X328" s="56"/>
      <c r="Y328" s="56"/>
      <c r="Z328" s="56"/>
      <c r="AA328" s="57"/>
      <c r="AB328" s="56"/>
      <c r="AC328" s="56"/>
      <c r="AD328" s="56"/>
      <c r="AE328" s="56"/>
      <c r="AF328" s="56"/>
      <c r="AG328" s="57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1"/>
      <c r="AV328" s="1"/>
    </row>
    <row r="329" spans="1:48" ht="15.75" customHeight="1" x14ac:dyDescent="0.2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/>
      <c r="L329" s="57"/>
      <c r="M329" s="57"/>
      <c r="N329" s="57"/>
      <c r="O329" s="56"/>
      <c r="P329" s="56"/>
      <c r="Q329" s="56"/>
      <c r="R329" s="56"/>
      <c r="S329" s="56"/>
      <c r="T329" s="56"/>
      <c r="U329" s="56"/>
      <c r="V329" s="56"/>
      <c r="W329" s="57"/>
      <c r="X329" s="56"/>
      <c r="Y329" s="56"/>
      <c r="Z329" s="56"/>
      <c r="AA329" s="57"/>
      <c r="AB329" s="56"/>
      <c r="AC329" s="56"/>
      <c r="AD329" s="56"/>
      <c r="AE329" s="56"/>
      <c r="AF329" s="56"/>
      <c r="AG329" s="57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1"/>
      <c r="AV329" s="1"/>
    </row>
    <row r="330" spans="1:48" ht="15.75" customHeight="1" x14ac:dyDescent="0.2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/>
      <c r="L330" s="57"/>
      <c r="M330" s="57"/>
      <c r="N330" s="57"/>
      <c r="O330" s="56"/>
      <c r="P330" s="56"/>
      <c r="Q330" s="56"/>
      <c r="R330" s="56"/>
      <c r="S330" s="56"/>
      <c r="T330" s="56"/>
      <c r="U330" s="56"/>
      <c r="V330" s="56"/>
      <c r="W330" s="57"/>
      <c r="X330" s="56"/>
      <c r="Y330" s="56"/>
      <c r="Z330" s="56"/>
      <c r="AA330" s="57"/>
      <c r="AB330" s="56"/>
      <c r="AC330" s="56"/>
      <c r="AD330" s="56"/>
      <c r="AE330" s="56"/>
      <c r="AF330" s="56"/>
      <c r="AG330" s="57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1"/>
      <c r="AV330" s="1"/>
    </row>
    <row r="331" spans="1:48" ht="15.75" customHeight="1" x14ac:dyDescent="0.2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/>
      <c r="L331" s="57"/>
      <c r="M331" s="57"/>
      <c r="N331" s="57"/>
      <c r="O331" s="56"/>
      <c r="P331" s="56"/>
      <c r="Q331" s="56"/>
      <c r="R331" s="56"/>
      <c r="S331" s="56"/>
      <c r="T331" s="56"/>
      <c r="U331" s="56"/>
      <c r="V331" s="56"/>
      <c r="W331" s="57"/>
      <c r="X331" s="56"/>
      <c r="Y331" s="56"/>
      <c r="Z331" s="56"/>
      <c r="AA331" s="57"/>
      <c r="AB331" s="56"/>
      <c r="AC331" s="56"/>
      <c r="AD331" s="56"/>
      <c r="AE331" s="56"/>
      <c r="AF331" s="56"/>
      <c r="AG331" s="57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1"/>
      <c r="AV331" s="1"/>
    </row>
    <row r="332" spans="1:48" ht="15.75" customHeight="1" x14ac:dyDescent="0.2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/>
      <c r="L332" s="57"/>
      <c r="M332" s="57"/>
      <c r="N332" s="57"/>
      <c r="O332" s="56"/>
      <c r="P332" s="56"/>
      <c r="Q332" s="56"/>
      <c r="R332" s="56"/>
      <c r="S332" s="56"/>
      <c r="T332" s="56"/>
      <c r="U332" s="56"/>
      <c r="V332" s="56"/>
      <c r="W332" s="57"/>
      <c r="X332" s="56"/>
      <c r="Y332" s="56"/>
      <c r="Z332" s="56"/>
      <c r="AA332" s="57"/>
      <c r="AB332" s="56"/>
      <c r="AC332" s="56"/>
      <c r="AD332" s="56"/>
      <c r="AE332" s="56"/>
      <c r="AF332" s="56"/>
      <c r="AG332" s="57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1"/>
      <c r="AV332" s="1"/>
    </row>
    <row r="333" spans="1:48" ht="15.75" customHeight="1" x14ac:dyDescent="0.2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/>
      <c r="L333" s="57"/>
      <c r="M333" s="57"/>
      <c r="N333" s="57"/>
      <c r="O333" s="56"/>
      <c r="P333" s="56"/>
      <c r="Q333" s="56"/>
      <c r="R333" s="56"/>
      <c r="S333" s="56"/>
      <c r="T333" s="56"/>
      <c r="U333" s="56"/>
      <c r="V333" s="56"/>
      <c r="W333" s="57"/>
      <c r="X333" s="56"/>
      <c r="Y333" s="56"/>
      <c r="Z333" s="56"/>
      <c r="AA333" s="57"/>
      <c r="AB333" s="56"/>
      <c r="AC333" s="56"/>
      <c r="AD333" s="56"/>
      <c r="AE333" s="56"/>
      <c r="AF333" s="56"/>
      <c r="AG333" s="57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1"/>
      <c r="AV333" s="1"/>
    </row>
    <row r="334" spans="1:48" ht="15.75" customHeight="1" x14ac:dyDescent="0.2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/>
      <c r="L334" s="57"/>
      <c r="M334" s="57"/>
      <c r="N334" s="57"/>
      <c r="O334" s="56"/>
      <c r="P334" s="56"/>
      <c r="Q334" s="56"/>
      <c r="R334" s="56"/>
      <c r="S334" s="56"/>
      <c r="T334" s="56"/>
      <c r="U334" s="56"/>
      <c r="V334" s="56"/>
      <c r="W334" s="57"/>
      <c r="X334" s="56"/>
      <c r="Y334" s="56"/>
      <c r="Z334" s="56"/>
      <c r="AA334" s="57"/>
      <c r="AB334" s="56"/>
      <c r="AC334" s="56"/>
      <c r="AD334" s="56"/>
      <c r="AE334" s="56"/>
      <c r="AF334" s="56"/>
      <c r="AG334" s="57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1"/>
      <c r="AV334" s="1"/>
    </row>
    <row r="335" spans="1:48" ht="15.75" customHeight="1" x14ac:dyDescent="0.2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/>
      <c r="L335" s="57"/>
      <c r="M335" s="57"/>
      <c r="N335" s="57"/>
      <c r="O335" s="56"/>
      <c r="P335" s="56"/>
      <c r="Q335" s="56"/>
      <c r="R335" s="56"/>
      <c r="S335" s="56"/>
      <c r="T335" s="56"/>
      <c r="U335" s="56"/>
      <c r="V335" s="56"/>
      <c r="W335" s="57"/>
      <c r="X335" s="56"/>
      <c r="Y335" s="56"/>
      <c r="Z335" s="56"/>
      <c r="AA335" s="57"/>
      <c r="AB335" s="56"/>
      <c r="AC335" s="56"/>
      <c r="AD335" s="56"/>
      <c r="AE335" s="56"/>
      <c r="AF335" s="56"/>
      <c r="AG335" s="57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1"/>
      <c r="AV335" s="1"/>
    </row>
    <row r="336" spans="1:48" ht="15.75" customHeight="1" x14ac:dyDescent="0.2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/>
      <c r="L336" s="57"/>
      <c r="M336" s="57"/>
      <c r="N336" s="57"/>
      <c r="O336" s="56"/>
      <c r="P336" s="56"/>
      <c r="Q336" s="56"/>
      <c r="R336" s="56"/>
      <c r="S336" s="56"/>
      <c r="T336" s="56"/>
      <c r="U336" s="56"/>
      <c r="V336" s="56"/>
      <c r="W336" s="57"/>
      <c r="X336" s="56"/>
      <c r="Y336" s="56"/>
      <c r="Z336" s="56"/>
      <c r="AA336" s="57"/>
      <c r="AB336" s="56"/>
      <c r="AC336" s="56"/>
      <c r="AD336" s="56"/>
      <c r="AE336" s="56"/>
      <c r="AF336" s="56"/>
      <c r="AG336" s="57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1"/>
      <c r="AV336" s="1"/>
    </row>
    <row r="337" spans="1:48" ht="15.75" customHeight="1" x14ac:dyDescent="0.2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/>
      <c r="L337" s="57"/>
      <c r="M337" s="57"/>
      <c r="N337" s="57"/>
      <c r="O337" s="56"/>
      <c r="P337" s="56"/>
      <c r="Q337" s="56"/>
      <c r="R337" s="56"/>
      <c r="S337" s="56"/>
      <c r="T337" s="56"/>
      <c r="U337" s="56"/>
      <c r="V337" s="56"/>
      <c r="W337" s="57"/>
      <c r="X337" s="56"/>
      <c r="Y337" s="56"/>
      <c r="Z337" s="56"/>
      <c r="AA337" s="57"/>
      <c r="AB337" s="56"/>
      <c r="AC337" s="56"/>
      <c r="AD337" s="56"/>
      <c r="AE337" s="56"/>
      <c r="AF337" s="56"/>
      <c r="AG337" s="57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1"/>
      <c r="AV337" s="1"/>
    </row>
    <row r="338" spans="1:48" ht="15.75" customHeight="1" x14ac:dyDescent="0.2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/>
      <c r="L338" s="57"/>
      <c r="M338" s="57"/>
      <c r="N338" s="57"/>
      <c r="O338" s="56"/>
      <c r="P338" s="56"/>
      <c r="Q338" s="56"/>
      <c r="R338" s="56"/>
      <c r="S338" s="56"/>
      <c r="T338" s="56"/>
      <c r="U338" s="56"/>
      <c r="V338" s="56"/>
      <c r="W338" s="57"/>
      <c r="X338" s="56"/>
      <c r="Y338" s="56"/>
      <c r="Z338" s="56"/>
      <c r="AA338" s="57"/>
      <c r="AB338" s="56"/>
      <c r="AC338" s="56"/>
      <c r="AD338" s="56"/>
      <c r="AE338" s="56"/>
      <c r="AF338" s="56"/>
      <c r="AG338" s="57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1"/>
      <c r="AV338" s="1"/>
    </row>
    <row r="339" spans="1:48" ht="15.75" customHeight="1" x14ac:dyDescent="0.2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/>
      <c r="L339" s="57"/>
      <c r="M339" s="57"/>
      <c r="N339" s="57"/>
      <c r="O339" s="56"/>
      <c r="P339" s="56"/>
      <c r="Q339" s="56"/>
      <c r="R339" s="56"/>
      <c r="S339" s="56"/>
      <c r="T339" s="56"/>
      <c r="U339" s="56"/>
      <c r="V339" s="56"/>
      <c r="W339" s="57"/>
      <c r="X339" s="56"/>
      <c r="Y339" s="56"/>
      <c r="Z339" s="56"/>
      <c r="AA339" s="57"/>
      <c r="AB339" s="56"/>
      <c r="AC339" s="56"/>
      <c r="AD339" s="56"/>
      <c r="AE339" s="56"/>
      <c r="AF339" s="56"/>
      <c r="AG339" s="57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1"/>
      <c r="AV339" s="1"/>
    </row>
    <row r="340" spans="1:48" ht="15.75" customHeight="1" x14ac:dyDescent="0.2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/>
      <c r="L340" s="57"/>
      <c r="M340" s="57"/>
      <c r="N340" s="57"/>
      <c r="O340" s="56"/>
      <c r="P340" s="56"/>
      <c r="Q340" s="56"/>
      <c r="R340" s="56"/>
      <c r="S340" s="56"/>
      <c r="T340" s="56"/>
      <c r="U340" s="56"/>
      <c r="V340" s="56"/>
      <c r="W340" s="57"/>
      <c r="X340" s="56"/>
      <c r="Y340" s="56"/>
      <c r="Z340" s="56"/>
      <c r="AA340" s="57"/>
      <c r="AB340" s="56"/>
      <c r="AC340" s="56"/>
      <c r="AD340" s="56"/>
      <c r="AE340" s="56"/>
      <c r="AF340" s="56"/>
      <c r="AG340" s="57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1"/>
      <c r="AV340" s="1"/>
    </row>
    <row r="341" spans="1:48" ht="15.75" customHeight="1" x14ac:dyDescent="0.2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/>
      <c r="L341" s="57"/>
      <c r="M341" s="57"/>
      <c r="N341" s="57"/>
      <c r="O341" s="56"/>
      <c r="P341" s="56"/>
      <c r="Q341" s="56"/>
      <c r="R341" s="56"/>
      <c r="S341" s="56"/>
      <c r="T341" s="56"/>
      <c r="U341" s="56"/>
      <c r="V341" s="56"/>
      <c r="W341" s="57"/>
      <c r="X341" s="56"/>
      <c r="Y341" s="56"/>
      <c r="Z341" s="56"/>
      <c r="AA341" s="57"/>
      <c r="AB341" s="56"/>
      <c r="AC341" s="56"/>
      <c r="AD341" s="56"/>
      <c r="AE341" s="56"/>
      <c r="AF341" s="56"/>
      <c r="AG341" s="57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1"/>
      <c r="AV341" s="1"/>
    </row>
    <row r="342" spans="1:48" ht="15.75" customHeight="1" x14ac:dyDescent="0.2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/>
      <c r="L342" s="57"/>
      <c r="M342" s="57"/>
      <c r="N342" s="57"/>
      <c r="O342" s="56"/>
      <c r="P342" s="56"/>
      <c r="Q342" s="56"/>
      <c r="R342" s="56"/>
      <c r="S342" s="56"/>
      <c r="T342" s="56"/>
      <c r="U342" s="56"/>
      <c r="V342" s="56"/>
      <c r="W342" s="57"/>
      <c r="X342" s="56"/>
      <c r="Y342" s="56"/>
      <c r="Z342" s="56"/>
      <c r="AA342" s="57"/>
      <c r="AB342" s="56"/>
      <c r="AC342" s="56"/>
      <c r="AD342" s="56"/>
      <c r="AE342" s="56"/>
      <c r="AF342" s="56"/>
      <c r="AG342" s="57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1"/>
      <c r="AV342" s="1"/>
    </row>
    <row r="343" spans="1:48" ht="15.75" customHeight="1" x14ac:dyDescent="0.2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/>
      <c r="L343" s="57"/>
      <c r="M343" s="57"/>
      <c r="N343" s="57"/>
      <c r="O343" s="56"/>
      <c r="P343" s="56"/>
      <c r="Q343" s="56"/>
      <c r="R343" s="56"/>
      <c r="S343" s="56"/>
      <c r="T343" s="56"/>
      <c r="U343" s="56"/>
      <c r="V343" s="56"/>
      <c r="W343" s="57"/>
      <c r="X343" s="56"/>
      <c r="Y343" s="56"/>
      <c r="Z343" s="56"/>
      <c r="AA343" s="57"/>
      <c r="AB343" s="56"/>
      <c r="AC343" s="56"/>
      <c r="AD343" s="56"/>
      <c r="AE343" s="56"/>
      <c r="AF343" s="56"/>
      <c r="AG343" s="57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1"/>
      <c r="AV343" s="1"/>
    </row>
    <row r="344" spans="1:48" ht="15.75" customHeight="1" x14ac:dyDescent="0.2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K344" s="56"/>
      <c r="L344" s="57"/>
      <c r="M344" s="57"/>
      <c r="N344" s="57"/>
      <c r="O344" s="56"/>
      <c r="P344" s="56"/>
      <c r="Q344" s="56"/>
      <c r="R344" s="56"/>
      <c r="S344" s="56"/>
      <c r="T344" s="56"/>
      <c r="U344" s="56"/>
      <c r="V344" s="56"/>
      <c r="W344" s="57"/>
      <c r="X344" s="56"/>
      <c r="Y344" s="56"/>
      <c r="Z344" s="56"/>
      <c r="AA344" s="57"/>
      <c r="AB344" s="56"/>
      <c r="AC344" s="56"/>
      <c r="AD344" s="56"/>
      <c r="AE344" s="56"/>
      <c r="AF344" s="56"/>
      <c r="AG344" s="57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1"/>
      <c r="AV344" s="1"/>
    </row>
    <row r="345" spans="1:48" ht="15.75" customHeight="1" x14ac:dyDescent="0.2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K345" s="56"/>
      <c r="L345" s="57"/>
      <c r="M345" s="57"/>
      <c r="N345" s="57"/>
      <c r="O345" s="56"/>
      <c r="P345" s="56"/>
      <c r="Q345" s="56"/>
      <c r="R345" s="56"/>
      <c r="S345" s="56"/>
      <c r="T345" s="56"/>
      <c r="U345" s="56"/>
      <c r="V345" s="56"/>
      <c r="W345" s="57"/>
      <c r="X345" s="56"/>
      <c r="Y345" s="56"/>
      <c r="Z345" s="56"/>
      <c r="AA345" s="57"/>
      <c r="AB345" s="56"/>
      <c r="AC345" s="56"/>
      <c r="AD345" s="56"/>
      <c r="AE345" s="56"/>
      <c r="AF345" s="56"/>
      <c r="AG345" s="57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1"/>
      <c r="AV345" s="1"/>
    </row>
    <row r="346" spans="1:48" ht="15.75" customHeight="1" x14ac:dyDescent="0.2">
      <c r="A346" s="56"/>
      <c r="B346" s="56"/>
      <c r="C346" s="56"/>
      <c r="D346" s="56"/>
      <c r="E346" s="56"/>
      <c r="F346" s="56"/>
      <c r="G346" s="56"/>
      <c r="H346" s="56"/>
      <c r="I346" s="56"/>
      <c r="J346" s="56"/>
      <c r="K346" s="56"/>
      <c r="L346" s="57"/>
      <c r="M346" s="57"/>
      <c r="N346" s="57"/>
      <c r="O346" s="56"/>
      <c r="P346" s="56"/>
      <c r="Q346" s="56"/>
      <c r="R346" s="56"/>
      <c r="S346" s="56"/>
      <c r="T346" s="56"/>
      <c r="U346" s="56"/>
      <c r="V346" s="56"/>
      <c r="W346" s="57"/>
      <c r="X346" s="56"/>
      <c r="Y346" s="56"/>
      <c r="Z346" s="56"/>
      <c r="AA346" s="57"/>
      <c r="AB346" s="56"/>
      <c r="AC346" s="56"/>
      <c r="AD346" s="56"/>
      <c r="AE346" s="56"/>
      <c r="AF346" s="56"/>
      <c r="AG346" s="57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1"/>
      <c r="AV346" s="1"/>
    </row>
    <row r="347" spans="1:48" ht="15.75" customHeight="1" x14ac:dyDescent="0.2">
      <c r="A347" s="56"/>
      <c r="B347" s="56"/>
      <c r="C347" s="56"/>
      <c r="D347" s="56"/>
      <c r="E347" s="56"/>
      <c r="F347" s="56"/>
      <c r="G347" s="56"/>
      <c r="H347" s="56"/>
      <c r="I347" s="56"/>
      <c r="J347" s="56"/>
      <c r="K347" s="56"/>
      <c r="L347" s="57"/>
      <c r="M347" s="57"/>
      <c r="N347" s="57"/>
      <c r="O347" s="56"/>
      <c r="P347" s="56"/>
      <c r="Q347" s="56"/>
      <c r="R347" s="56"/>
      <c r="S347" s="56"/>
      <c r="T347" s="56"/>
      <c r="U347" s="56"/>
      <c r="V347" s="56"/>
      <c r="W347" s="57"/>
      <c r="X347" s="56"/>
      <c r="Y347" s="56"/>
      <c r="Z347" s="56"/>
      <c r="AA347" s="57"/>
      <c r="AB347" s="56"/>
      <c r="AC347" s="56"/>
      <c r="AD347" s="56"/>
      <c r="AE347" s="56"/>
      <c r="AF347" s="56"/>
      <c r="AG347" s="57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1"/>
      <c r="AV347" s="1"/>
    </row>
    <row r="348" spans="1:48" ht="15.75" customHeight="1" x14ac:dyDescent="0.2">
      <c r="A348" s="56"/>
      <c r="B348" s="56"/>
      <c r="C348" s="56"/>
      <c r="D348" s="56"/>
      <c r="E348" s="56"/>
      <c r="F348" s="56"/>
      <c r="G348" s="56"/>
      <c r="H348" s="56"/>
      <c r="I348" s="56"/>
      <c r="J348" s="56"/>
      <c r="K348" s="56"/>
      <c r="L348" s="57"/>
      <c r="M348" s="57"/>
      <c r="N348" s="57"/>
      <c r="O348" s="56"/>
      <c r="P348" s="56"/>
      <c r="Q348" s="56"/>
      <c r="R348" s="56"/>
      <c r="S348" s="56"/>
      <c r="T348" s="56"/>
      <c r="U348" s="56"/>
      <c r="V348" s="56"/>
      <c r="W348" s="57"/>
      <c r="X348" s="56"/>
      <c r="Y348" s="56"/>
      <c r="Z348" s="56"/>
      <c r="AA348" s="57"/>
      <c r="AB348" s="56"/>
      <c r="AC348" s="56"/>
      <c r="AD348" s="56"/>
      <c r="AE348" s="56"/>
      <c r="AF348" s="56"/>
      <c r="AG348" s="57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1"/>
      <c r="AV348" s="1"/>
    </row>
    <row r="349" spans="1:48" ht="15.75" customHeight="1" x14ac:dyDescent="0.2">
      <c r="A349" s="56"/>
      <c r="B349" s="56"/>
      <c r="C349" s="56"/>
      <c r="D349" s="56"/>
      <c r="E349" s="56"/>
      <c r="F349" s="56"/>
      <c r="G349" s="56"/>
      <c r="H349" s="56"/>
      <c r="I349" s="56"/>
      <c r="J349" s="56"/>
      <c r="K349" s="56"/>
      <c r="L349" s="57"/>
      <c r="M349" s="57"/>
      <c r="N349" s="57"/>
      <c r="O349" s="56"/>
      <c r="P349" s="56"/>
      <c r="Q349" s="56"/>
      <c r="R349" s="56"/>
      <c r="S349" s="56"/>
      <c r="T349" s="56"/>
      <c r="U349" s="56"/>
      <c r="V349" s="56"/>
      <c r="W349" s="57"/>
      <c r="X349" s="56"/>
      <c r="Y349" s="56"/>
      <c r="Z349" s="56"/>
      <c r="AA349" s="57"/>
      <c r="AB349" s="56"/>
      <c r="AC349" s="56"/>
      <c r="AD349" s="56"/>
      <c r="AE349" s="56"/>
      <c r="AF349" s="56"/>
      <c r="AG349" s="57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1"/>
      <c r="AV349" s="1"/>
    </row>
    <row r="350" spans="1:48" ht="15.75" customHeight="1" x14ac:dyDescent="0.2">
      <c r="A350" s="56"/>
      <c r="B350" s="56"/>
      <c r="C350" s="56"/>
      <c r="D350" s="56"/>
      <c r="E350" s="56"/>
      <c r="F350" s="56"/>
      <c r="G350" s="56"/>
      <c r="H350" s="56"/>
      <c r="I350" s="56"/>
      <c r="J350" s="56"/>
      <c r="K350" s="56"/>
      <c r="L350" s="57"/>
      <c r="M350" s="57"/>
      <c r="N350" s="57"/>
      <c r="O350" s="56"/>
      <c r="P350" s="56"/>
      <c r="Q350" s="56"/>
      <c r="R350" s="56"/>
      <c r="S350" s="56"/>
      <c r="T350" s="56"/>
      <c r="U350" s="56"/>
      <c r="V350" s="56"/>
      <c r="W350" s="57"/>
      <c r="X350" s="56"/>
      <c r="Y350" s="56"/>
      <c r="Z350" s="56"/>
      <c r="AA350" s="57"/>
      <c r="AB350" s="56"/>
      <c r="AC350" s="56"/>
      <c r="AD350" s="56"/>
      <c r="AE350" s="56"/>
      <c r="AF350" s="56"/>
      <c r="AG350" s="57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1"/>
      <c r="AV350" s="1"/>
    </row>
    <row r="351" spans="1:48" ht="15.75" customHeight="1" x14ac:dyDescent="0.2">
      <c r="A351" s="56"/>
      <c r="B351" s="56"/>
      <c r="C351" s="56"/>
      <c r="D351" s="56"/>
      <c r="E351" s="56"/>
      <c r="F351" s="56"/>
      <c r="G351" s="56"/>
      <c r="H351" s="56"/>
      <c r="I351" s="56"/>
      <c r="J351" s="56"/>
      <c r="K351" s="56"/>
      <c r="L351" s="57"/>
      <c r="M351" s="57"/>
      <c r="N351" s="57"/>
      <c r="O351" s="56"/>
      <c r="P351" s="56"/>
      <c r="Q351" s="56"/>
      <c r="R351" s="56"/>
      <c r="S351" s="56"/>
      <c r="T351" s="56"/>
      <c r="U351" s="56"/>
      <c r="V351" s="56"/>
      <c r="W351" s="57"/>
      <c r="X351" s="56"/>
      <c r="Y351" s="56"/>
      <c r="Z351" s="56"/>
      <c r="AA351" s="57"/>
      <c r="AB351" s="56"/>
      <c r="AC351" s="56"/>
      <c r="AD351" s="56"/>
      <c r="AE351" s="56"/>
      <c r="AF351" s="56"/>
      <c r="AG351" s="57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1"/>
      <c r="AV351" s="1"/>
    </row>
    <row r="352" spans="1:48" ht="15.75" customHeight="1" x14ac:dyDescent="0.2">
      <c r="A352" s="56"/>
      <c r="B352" s="56"/>
      <c r="C352" s="56"/>
      <c r="D352" s="56"/>
      <c r="E352" s="56"/>
      <c r="F352" s="56"/>
      <c r="G352" s="56"/>
      <c r="H352" s="56"/>
      <c r="I352" s="56"/>
      <c r="J352" s="56"/>
      <c r="K352" s="56"/>
      <c r="L352" s="57"/>
      <c r="M352" s="57"/>
      <c r="N352" s="57"/>
      <c r="O352" s="56"/>
      <c r="P352" s="56"/>
      <c r="Q352" s="56"/>
      <c r="R352" s="56"/>
      <c r="S352" s="56"/>
      <c r="T352" s="56"/>
      <c r="U352" s="56"/>
      <c r="V352" s="56"/>
      <c r="W352" s="57"/>
      <c r="X352" s="56"/>
      <c r="Y352" s="56"/>
      <c r="Z352" s="56"/>
      <c r="AA352" s="57"/>
      <c r="AB352" s="56"/>
      <c r="AC352" s="56"/>
      <c r="AD352" s="56"/>
      <c r="AE352" s="56"/>
      <c r="AF352" s="56"/>
      <c r="AG352" s="57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1"/>
      <c r="AV352" s="1"/>
    </row>
    <row r="353" spans="1:48" ht="15.75" customHeight="1" x14ac:dyDescent="0.2">
      <c r="A353" s="56"/>
      <c r="B353" s="56"/>
      <c r="C353" s="56"/>
      <c r="D353" s="56"/>
      <c r="E353" s="56"/>
      <c r="F353" s="56"/>
      <c r="G353" s="56"/>
      <c r="H353" s="56"/>
      <c r="I353" s="56"/>
      <c r="J353" s="56"/>
      <c r="K353" s="56"/>
      <c r="L353" s="57"/>
      <c r="M353" s="57"/>
      <c r="N353" s="57"/>
      <c r="O353" s="56"/>
      <c r="P353" s="56"/>
      <c r="Q353" s="56"/>
      <c r="R353" s="56"/>
      <c r="S353" s="56"/>
      <c r="T353" s="56"/>
      <c r="U353" s="56"/>
      <c r="V353" s="56"/>
      <c r="W353" s="57"/>
      <c r="X353" s="56"/>
      <c r="Y353" s="56"/>
      <c r="Z353" s="56"/>
      <c r="AA353" s="57"/>
      <c r="AB353" s="56"/>
      <c r="AC353" s="56"/>
      <c r="AD353" s="56"/>
      <c r="AE353" s="56"/>
      <c r="AF353" s="56"/>
      <c r="AG353" s="57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1"/>
      <c r="AV353" s="1"/>
    </row>
    <row r="354" spans="1:48" ht="15.75" customHeight="1" x14ac:dyDescent="0.2">
      <c r="A354" s="56"/>
      <c r="B354" s="56"/>
      <c r="C354" s="56"/>
      <c r="D354" s="56"/>
      <c r="E354" s="56"/>
      <c r="F354" s="56"/>
      <c r="G354" s="56"/>
      <c r="H354" s="56"/>
      <c r="I354" s="56"/>
      <c r="J354" s="56"/>
      <c r="K354" s="56"/>
      <c r="L354" s="57"/>
      <c r="M354" s="57"/>
      <c r="N354" s="57"/>
      <c r="O354" s="56"/>
      <c r="P354" s="56"/>
      <c r="Q354" s="56"/>
      <c r="R354" s="56"/>
      <c r="S354" s="56"/>
      <c r="T354" s="56"/>
      <c r="U354" s="56"/>
      <c r="V354" s="56"/>
      <c r="W354" s="57"/>
      <c r="X354" s="56"/>
      <c r="Y354" s="56"/>
      <c r="Z354" s="56"/>
      <c r="AA354" s="57"/>
      <c r="AB354" s="56"/>
      <c r="AC354" s="56"/>
      <c r="AD354" s="56"/>
      <c r="AE354" s="56"/>
      <c r="AF354" s="56"/>
      <c r="AG354" s="57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1"/>
      <c r="AV354" s="1"/>
    </row>
    <row r="355" spans="1:48" ht="15.75" customHeight="1" x14ac:dyDescent="0.2">
      <c r="A355" s="56"/>
      <c r="B355" s="56"/>
      <c r="C355" s="56"/>
      <c r="D355" s="56"/>
      <c r="E355" s="56"/>
      <c r="F355" s="56"/>
      <c r="G355" s="56"/>
      <c r="H355" s="56"/>
      <c r="I355" s="56"/>
      <c r="J355" s="56"/>
      <c r="K355" s="56"/>
      <c r="L355" s="57"/>
      <c r="M355" s="57"/>
      <c r="N355" s="57"/>
      <c r="O355" s="56"/>
      <c r="P355" s="56"/>
      <c r="Q355" s="56"/>
      <c r="R355" s="56"/>
      <c r="S355" s="56"/>
      <c r="T355" s="56"/>
      <c r="U355" s="56"/>
      <c r="V355" s="56"/>
      <c r="W355" s="57"/>
      <c r="X355" s="56"/>
      <c r="Y355" s="56"/>
      <c r="Z355" s="56"/>
      <c r="AA355" s="57"/>
      <c r="AB355" s="56"/>
      <c r="AC355" s="56"/>
      <c r="AD355" s="56"/>
      <c r="AE355" s="56"/>
      <c r="AF355" s="56"/>
      <c r="AG355" s="57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1"/>
      <c r="AV355" s="1"/>
    </row>
    <row r="356" spans="1:48" ht="15.75" customHeight="1" x14ac:dyDescent="0.2">
      <c r="A356" s="56"/>
      <c r="B356" s="56"/>
      <c r="C356" s="56"/>
      <c r="D356" s="56"/>
      <c r="E356" s="56"/>
      <c r="F356" s="56"/>
      <c r="G356" s="56"/>
      <c r="H356" s="56"/>
      <c r="I356" s="56"/>
      <c r="J356" s="56"/>
      <c r="K356" s="56"/>
      <c r="L356" s="57"/>
      <c r="M356" s="57"/>
      <c r="N356" s="57"/>
      <c r="O356" s="56"/>
      <c r="P356" s="56"/>
      <c r="Q356" s="56"/>
      <c r="R356" s="56"/>
      <c r="S356" s="56"/>
      <c r="T356" s="56"/>
      <c r="U356" s="56"/>
      <c r="V356" s="56"/>
      <c r="W356" s="57"/>
      <c r="X356" s="56"/>
      <c r="Y356" s="56"/>
      <c r="Z356" s="56"/>
      <c r="AA356" s="57"/>
      <c r="AB356" s="56"/>
      <c r="AC356" s="56"/>
      <c r="AD356" s="56"/>
      <c r="AE356" s="56"/>
      <c r="AF356" s="56"/>
      <c r="AG356" s="57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1"/>
      <c r="AV356" s="1"/>
    </row>
    <row r="357" spans="1:48" ht="15.75" customHeight="1" x14ac:dyDescent="0.2">
      <c r="A357" s="56"/>
      <c r="B357" s="56"/>
      <c r="C357" s="56"/>
      <c r="D357" s="56"/>
      <c r="E357" s="56"/>
      <c r="F357" s="56"/>
      <c r="G357" s="56"/>
      <c r="H357" s="56"/>
      <c r="I357" s="56"/>
      <c r="J357" s="56"/>
      <c r="K357" s="56"/>
      <c r="L357" s="57"/>
      <c r="M357" s="57"/>
      <c r="N357" s="57"/>
      <c r="O357" s="56"/>
      <c r="P357" s="56"/>
      <c r="Q357" s="56"/>
      <c r="R357" s="56"/>
      <c r="S357" s="56"/>
      <c r="T357" s="56"/>
      <c r="U357" s="56"/>
      <c r="V357" s="56"/>
      <c r="W357" s="57"/>
      <c r="X357" s="56"/>
      <c r="Y357" s="56"/>
      <c r="Z357" s="56"/>
      <c r="AA357" s="57"/>
      <c r="AB357" s="56"/>
      <c r="AC357" s="56"/>
      <c r="AD357" s="56"/>
      <c r="AE357" s="56"/>
      <c r="AF357" s="56"/>
      <c r="AG357" s="57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1"/>
      <c r="AV357" s="1"/>
    </row>
    <row r="358" spans="1:48" ht="15.75" customHeight="1" x14ac:dyDescent="0.2">
      <c r="A358" s="56"/>
      <c r="B358" s="56"/>
      <c r="C358" s="56"/>
      <c r="D358" s="56"/>
      <c r="E358" s="56"/>
      <c r="F358" s="56"/>
      <c r="G358" s="56"/>
      <c r="H358" s="56"/>
      <c r="I358" s="56"/>
      <c r="J358" s="56"/>
      <c r="K358" s="56"/>
      <c r="L358" s="57"/>
      <c r="M358" s="57"/>
      <c r="N358" s="57"/>
      <c r="O358" s="56"/>
      <c r="P358" s="56"/>
      <c r="Q358" s="56"/>
      <c r="R358" s="56"/>
      <c r="S358" s="56"/>
      <c r="T358" s="56"/>
      <c r="U358" s="56"/>
      <c r="V358" s="56"/>
      <c r="W358" s="57"/>
      <c r="X358" s="56"/>
      <c r="Y358" s="56"/>
      <c r="Z358" s="56"/>
      <c r="AA358" s="57"/>
      <c r="AB358" s="56"/>
      <c r="AC358" s="56"/>
      <c r="AD358" s="56"/>
      <c r="AE358" s="56"/>
      <c r="AF358" s="56"/>
      <c r="AG358" s="57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1"/>
      <c r="AV358" s="1"/>
    </row>
    <row r="359" spans="1:48" ht="15.75" customHeight="1" x14ac:dyDescent="0.2">
      <c r="A359" s="56"/>
      <c r="B359" s="56"/>
      <c r="C359" s="56"/>
      <c r="D359" s="56"/>
      <c r="E359" s="56"/>
      <c r="F359" s="56"/>
      <c r="G359" s="56"/>
      <c r="H359" s="56"/>
      <c r="I359" s="56"/>
      <c r="J359" s="56"/>
      <c r="K359" s="56"/>
      <c r="L359" s="57"/>
      <c r="M359" s="57"/>
      <c r="N359" s="57"/>
      <c r="O359" s="56"/>
      <c r="P359" s="56"/>
      <c r="Q359" s="56"/>
      <c r="R359" s="56"/>
      <c r="S359" s="56"/>
      <c r="T359" s="56"/>
      <c r="U359" s="56"/>
      <c r="V359" s="56"/>
      <c r="W359" s="57"/>
      <c r="X359" s="56"/>
      <c r="Y359" s="56"/>
      <c r="Z359" s="56"/>
      <c r="AA359" s="57"/>
      <c r="AB359" s="56"/>
      <c r="AC359" s="56"/>
      <c r="AD359" s="56"/>
      <c r="AE359" s="56"/>
      <c r="AF359" s="56"/>
      <c r="AG359" s="57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1"/>
      <c r="AV359" s="1"/>
    </row>
    <row r="360" spans="1:48" ht="15.75" customHeight="1" x14ac:dyDescent="0.2">
      <c r="A360" s="56"/>
      <c r="B360" s="56"/>
      <c r="C360" s="56"/>
      <c r="D360" s="56"/>
      <c r="E360" s="56"/>
      <c r="F360" s="56"/>
      <c r="G360" s="56"/>
      <c r="H360" s="56"/>
      <c r="I360" s="56"/>
      <c r="J360" s="56"/>
      <c r="K360" s="56"/>
      <c r="L360" s="57"/>
      <c r="M360" s="57"/>
      <c r="N360" s="57"/>
      <c r="O360" s="56"/>
      <c r="P360" s="56"/>
      <c r="Q360" s="56"/>
      <c r="R360" s="56"/>
      <c r="S360" s="56"/>
      <c r="T360" s="56"/>
      <c r="U360" s="56"/>
      <c r="V360" s="56"/>
      <c r="W360" s="57"/>
      <c r="X360" s="56"/>
      <c r="Y360" s="56"/>
      <c r="Z360" s="56"/>
      <c r="AA360" s="57"/>
      <c r="AB360" s="56"/>
      <c r="AC360" s="56"/>
      <c r="AD360" s="56"/>
      <c r="AE360" s="56"/>
      <c r="AF360" s="56"/>
      <c r="AG360" s="57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1"/>
      <c r="AV360" s="1"/>
    </row>
    <row r="361" spans="1:48" ht="15.75" customHeight="1" x14ac:dyDescent="0.2">
      <c r="A361" s="56"/>
      <c r="B361" s="56"/>
      <c r="C361" s="56"/>
      <c r="D361" s="56"/>
      <c r="E361" s="56"/>
      <c r="F361" s="56"/>
      <c r="G361" s="56"/>
      <c r="H361" s="56"/>
      <c r="I361" s="56"/>
      <c r="J361" s="56"/>
      <c r="K361" s="56"/>
      <c r="L361" s="57"/>
      <c r="M361" s="57"/>
      <c r="N361" s="57"/>
      <c r="O361" s="56"/>
      <c r="P361" s="56"/>
      <c r="Q361" s="56"/>
      <c r="R361" s="56"/>
      <c r="S361" s="56"/>
      <c r="T361" s="56"/>
      <c r="U361" s="56"/>
      <c r="V361" s="56"/>
      <c r="W361" s="57"/>
      <c r="X361" s="56"/>
      <c r="Y361" s="56"/>
      <c r="Z361" s="56"/>
      <c r="AA361" s="57"/>
      <c r="AB361" s="56"/>
      <c r="AC361" s="56"/>
      <c r="AD361" s="56"/>
      <c r="AE361" s="56"/>
      <c r="AF361" s="56"/>
      <c r="AG361" s="57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1"/>
      <c r="AV361" s="1"/>
    </row>
    <row r="362" spans="1:48" ht="15.75" customHeight="1" x14ac:dyDescent="0.2">
      <c r="A362" s="56"/>
      <c r="B362" s="56"/>
      <c r="C362" s="56"/>
      <c r="D362" s="56"/>
      <c r="E362" s="56"/>
      <c r="F362" s="56"/>
      <c r="G362" s="56"/>
      <c r="H362" s="56"/>
      <c r="I362" s="56"/>
      <c r="J362" s="56"/>
      <c r="K362" s="56"/>
      <c r="L362" s="57"/>
      <c r="M362" s="57"/>
      <c r="N362" s="57"/>
      <c r="O362" s="56"/>
      <c r="P362" s="56"/>
      <c r="Q362" s="56"/>
      <c r="R362" s="56"/>
      <c r="S362" s="56"/>
      <c r="T362" s="56"/>
      <c r="U362" s="56"/>
      <c r="V362" s="56"/>
      <c r="W362" s="57"/>
      <c r="X362" s="56"/>
      <c r="Y362" s="56"/>
      <c r="Z362" s="56"/>
      <c r="AA362" s="57"/>
      <c r="AB362" s="56"/>
      <c r="AC362" s="56"/>
      <c r="AD362" s="56"/>
      <c r="AE362" s="56"/>
      <c r="AF362" s="56"/>
      <c r="AG362" s="57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1"/>
      <c r="AV362" s="1"/>
    </row>
    <row r="363" spans="1:48" ht="15.75" customHeight="1" x14ac:dyDescent="0.2">
      <c r="A363" s="56"/>
      <c r="B363" s="56"/>
      <c r="C363" s="56"/>
      <c r="D363" s="56"/>
      <c r="E363" s="56"/>
      <c r="F363" s="56"/>
      <c r="G363" s="56"/>
      <c r="H363" s="56"/>
      <c r="I363" s="56"/>
      <c r="J363" s="56"/>
      <c r="K363" s="56"/>
      <c r="L363" s="57"/>
      <c r="M363" s="57"/>
      <c r="N363" s="57"/>
      <c r="O363" s="56"/>
      <c r="P363" s="56"/>
      <c r="Q363" s="56"/>
      <c r="R363" s="56"/>
      <c r="S363" s="56"/>
      <c r="T363" s="56"/>
      <c r="U363" s="56"/>
      <c r="V363" s="56"/>
      <c r="W363" s="57"/>
      <c r="X363" s="56"/>
      <c r="Y363" s="56"/>
      <c r="Z363" s="56"/>
      <c r="AA363" s="57"/>
      <c r="AB363" s="56"/>
      <c r="AC363" s="56"/>
      <c r="AD363" s="56"/>
      <c r="AE363" s="56"/>
      <c r="AF363" s="56"/>
      <c r="AG363" s="57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1"/>
      <c r="AV363" s="1"/>
    </row>
    <row r="364" spans="1:48" ht="15.75" customHeight="1" x14ac:dyDescent="0.2">
      <c r="A364" s="56"/>
      <c r="B364" s="56"/>
      <c r="C364" s="56"/>
      <c r="D364" s="56"/>
      <c r="E364" s="56"/>
      <c r="F364" s="56"/>
      <c r="G364" s="56"/>
      <c r="H364" s="56"/>
      <c r="I364" s="56"/>
      <c r="J364" s="56"/>
      <c r="K364" s="56"/>
      <c r="L364" s="57"/>
      <c r="M364" s="57"/>
      <c r="N364" s="57"/>
      <c r="O364" s="56"/>
      <c r="P364" s="56"/>
      <c r="Q364" s="56"/>
      <c r="R364" s="56"/>
      <c r="S364" s="56"/>
      <c r="T364" s="56"/>
      <c r="U364" s="56"/>
      <c r="V364" s="56"/>
      <c r="W364" s="57"/>
      <c r="X364" s="56"/>
      <c r="Y364" s="56"/>
      <c r="Z364" s="56"/>
      <c r="AA364" s="57"/>
      <c r="AB364" s="56"/>
      <c r="AC364" s="56"/>
      <c r="AD364" s="56"/>
      <c r="AE364" s="56"/>
      <c r="AF364" s="56"/>
      <c r="AG364" s="57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1"/>
      <c r="AV364" s="1"/>
    </row>
    <row r="365" spans="1:48" ht="15.75" customHeight="1" x14ac:dyDescent="0.2">
      <c r="A365" s="56"/>
      <c r="B365" s="56"/>
      <c r="C365" s="56"/>
      <c r="D365" s="56"/>
      <c r="E365" s="56"/>
      <c r="F365" s="56"/>
      <c r="G365" s="56"/>
      <c r="H365" s="56"/>
      <c r="I365" s="56"/>
      <c r="J365" s="56"/>
      <c r="K365" s="56"/>
      <c r="L365" s="57"/>
      <c r="M365" s="57"/>
      <c r="N365" s="57"/>
      <c r="O365" s="56"/>
      <c r="P365" s="56"/>
      <c r="Q365" s="56"/>
      <c r="R365" s="56"/>
      <c r="S365" s="56"/>
      <c r="T365" s="56"/>
      <c r="U365" s="56"/>
      <c r="V365" s="56"/>
      <c r="W365" s="57"/>
      <c r="X365" s="56"/>
      <c r="Y365" s="56"/>
      <c r="Z365" s="56"/>
      <c r="AA365" s="57"/>
      <c r="AB365" s="56"/>
      <c r="AC365" s="56"/>
      <c r="AD365" s="56"/>
      <c r="AE365" s="56"/>
      <c r="AF365" s="56"/>
      <c r="AG365" s="57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1"/>
      <c r="AV365" s="1"/>
    </row>
    <row r="366" spans="1:48" ht="15.75" customHeight="1" x14ac:dyDescent="0.2">
      <c r="A366" s="56"/>
      <c r="B366" s="56"/>
      <c r="C366" s="56"/>
      <c r="D366" s="56"/>
      <c r="E366" s="56"/>
      <c r="F366" s="56"/>
      <c r="G366" s="56"/>
      <c r="H366" s="56"/>
      <c r="I366" s="56"/>
      <c r="J366" s="56"/>
      <c r="K366" s="56"/>
      <c r="L366" s="57"/>
      <c r="M366" s="57"/>
      <c r="N366" s="57"/>
      <c r="O366" s="56"/>
      <c r="P366" s="56"/>
      <c r="Q366" s="56"/>
      <c r="R366" s="56"/>
      <c r="S366" s="56"/>
      <c r="T366" s="56"/>
      <c r="U366" s="56"/>
      <c r="V366" s="56"/>
      <c r="W366" s="57"/>
      <c r="X366" s="56"/>
      <c r="Y366" s="56"/>
      <c r="Z366" s="56"/>
      <c r="AA366" s="57"/>
      <c r="AB366" s="56"/>
      <c r="AC366" s="56"/>
      <c r="AD366" s="56"/>
      <c r="AE366" s="56"/>
      <c r="AF366" s="56"/>
      <c r="AG366" s="57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1"/>
      <c r="AV366" s="1"/>
    </row>
    <row r="367" spans="1:48" ht="15.75" customHeight="1" x14ac:dyDescent="0.2">
      <c r="A367" s="56"/>
      <c r="B367" s="56"/>
      <c r="C367" s="56"/>
      <c r="D367" s="56"/>
      <c r="E367" s="56"/>
      <c r="F367" s="56"/>
      <c r="G367" s="56"/>
      <c r="H367" s="56"/>
      <c r="I367" s="56"/>
      <c r="J367" s="56"/>
      <c r="K367" s="56"/>
      <c r="L367" s="57"/>
      <c r="M367" s="57"/>
      <c r="N367" s="57"/>
      <c r="O367" s="56"/>
      <c r="P367" s="56"/>
      <c r="Q367" s="56"/>
      <c r="R367" s="56"/>
      <c r="S367" s="56"/>
      <c r="T367" s="56"/>
      <c r="U367" s="56"/>
      <c r="V367" s="56"/>
      <c r="W367" s="57"/>
      <c r="X367" s="56"/>
      <c r="Y367" s="56"/>
      <c r="Z367" s="56"/>
      <c r="AA367" s="57"/>
      <c r="AB367" s="56"/>
      <c r="AC367" s="56"/>
      <c r="AD367" s="56"/>
      <c r="AE367" s="56"/>
      <c r="AF367" s="56"/>
      <c r="AG367" s="57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1"/>
      <c r="AV367" s="1"/>
    </row>
    <row r="368" spans="1:48" ht="15.75" customHeight="1" x14ac:dyDescent="0.2">
      <c r="A368" s="56"/>
      <c r="B368" s="56"/>
      <c r="C368" s="56"/>
      <c r="D368" s="56"/>
      <c r="E368" s="56"/>
      <c r="F368" s="56"/>
      <c r="G368" s="56"/>
      <c r="H368" s="56"/>
      <c r="I368" s="56"/>
      <c r="J368" s="56"/>
      <c r="K368" s="56"/>
      <c r="L368" s="57"/>
      <c r="M368" s="57"/>
      <c r="N368" s="57"/>
      <c r="O368" s="56"/>
      <c r="P368" s="56"/>
      <c r="Q368" s="56"/>
      <c r="R368" s="56"/>
      <c r="S368" s="56"/>
      <c r="T368" s="56"/>
      <c r="U368" s="56"/>
      <c r="V368" s="56"/>
      <c r="W368" s="57"/>
      <c r="X368" s="56"/>
      <c r="Y368" s="56"/>
      <c r="Z368" s="56"/>
      <c r="AA368" s="57"/>
      <c r="AB368" s="56"/>
      <c r="AC368" s="56"/>
      <c r="AD368" s="56"/>
      <c r="AE368" s="56"/>
      <c r="AF368" s="56"/>
      <c r="AG368" s="57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1"/>
      <c r="AV368" s="1"/>
    </row>
    <row r="369" spans="1:48" ht="15.75" customHeight="1" x14ac:dyDescent="0.2">
      <c r="A369" s="56"/>
      <c r="B369" s="56"/>
      <c r="C369" s="56"/>
      <c r="D369" s="56"/>
      <c r="E369" s="56"/>
      <c r="F369" s="56"/>
      <c r="G369" s="56"/>
      <c r="H369" s="56"/>
      <c r="I369" s="56"/>
      <c r="J369" s="56"/>
      <c r="K369" s="56"/>
      <c r="L369" s="57"/>
      <c r="M369" s="57"/>
      <c r="N369" s="57"/>
      <c r="O369" s="56"/>
      <c r="P369" s="56"/>
      <c r="Q369" s="56"/>
      <c r="R369" s="56"/>
      <c r="S369" s="56"/>
      <c r="T369" s="56"/>
      <c r="U369" s="56"/>
      <c r="V369" s="56"/>
      <c r="W369" s="57"/>
      <c r="X369" s="56"/>
      <c r="Y369" s="56"/>
      <c r="Z369" s="56"/>
      <c r="AA369" s="57"/>
      <c r="AB369" s="56"/>
      <c r="AC369" s="56"/>
      <c r="AD369" s="56"/>
      <c r="AE369" s="56"/>
      <c r="AF369" s="56"/>
      <c r="AG369" s="57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1"/>
      <c r="AV369" s="1"/>
    </row>
    <row r="370" spans="1:48" ht="15.75" customHeight="1" x14ac:dyDescent="0.2">
      <c r="A370" s="56"/>
      <c r="B370" s="56"/>
      <c r="C370" s="56"/>
      <c r="D370" s="56"/>
      <c r="E370" s="56"/>
      <c r="F370" s="56"/>
      <c r="G370" s="56"/>
      <c r="H370" s="56"/>
      <c r="I370" s="56"/>
      <c r="J370" s="56"/>
      <c r="K370" s="56"/>
      <c r="L370" s="57"/>
      <c r="M370" s="57"/>
      <c r="N370" s="57"/>
      <c r="O370" s="56"/>
      <c r="P370" s="56"/>
      <c r="Q370" s="56"/>
      <c r="R370" s="56"/>
      <c r="S370" s="56"/>
      <c r="T370" s="56"/>
      <c r="U370" s="56"/>
      <c r="V370" s="56"/>
      <c r="W370" s="57"/>
      <c r="X370" s="56"/>
      <c r="Y370" s="56"/>
      <c r="Z370" s="56"/>
      <c r="AA370" s="57"/>
      <c r="AB370" s="56"/>
      <c r="AC370" s="56"/>
      <c r="AD370" s="56"/>
      <c r="AE370" s="56"/>
      <c r="AF370" s="56"/>
      <c r="AG370" s="57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1"/>
      <c r="AV370" s="1"/>
    </row>
    <row r="371" spans="1:48" ht="15.75" customHeight="1" x14ac:dyDescent="0.2">
      <c r="A371" s="56"/>
      <c r="B371" s="56"/>
      <c r="C371" s="56"/>
      <c r="D371" s="56"/>
      <c r="E371" s="56"/>
      <c r="F371" s="56"/>
      <c r="G371" s="56"/>
      <c r="H371" s="56"/>
      <c r="I371" s="56"/>
      <c r="J371" s="56"/>
      <c r="K371" s="56"/>
      <c r="L371" s="57"/>
      <c r="M371" s="57"/>
      <c r="N371" s="57"/>
      <c r="O371" s="56"/>
      <c r="P371" s="56"/>
      <c r="Q371" s="56"/>
      <c r="R371" s="56"/>
      <c r="S371" s="56"/>
      <c r="T371" s="56"/>
      <c r="U371" s="56"/>
      <c r="V371" s="56"/>
      <c r="W371" s="57"/>
      <c r="X371" s="56"/>
      <c r="Y371" s="56"/>
      <c r="Z371" s="56"/>
      <c r="AA371" s="57"/>
      <c r="AB371" s="56"/>
      <c r="AC371" s="56"/>
      <c r="AD371" s="56"/>
      <c r="AE371" s="56"/>
      <c r="AF371" s="56"/>
      <c r="AG371" s="57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1"/>
      <c r="AV371" s="1"/>
    </row>
    <row r="372" spans="1:48" ht="15.75" customHeight="1" x14ac:dyDescent="0.2">
      <c r="A372" s="56"/>
      <c r="B372" s="56"/>
      <c r="C372" s="56"/>
      <c r="D372" s="56"/>
      <c r="E372" s="56"/>
      <c r="F372" s="56"/>
      <c r="G372" s="56"/>
      <c r="H372" s="56"/>
      <c r="I372" s="56"/>
      <c r="J372" s="56"/>
      <c r="K372" s="56"/>
      <c r="L372" s="57"/>
      <c r="M372" s="57"/>
      <c r="N372" s="57"/>
      <c r="O372" s="56"/>
      <c r="P372" s="56"/>
      <c r="Q372" s="56"/>
      <c r="R372" s="56"/>
      <c r="S372" s="56"/>
      <c r="T372" s="56"/>
      <c r="U372" s="56"/>
      <c r="V372" s="56"/>
      <c r="W372" s="57"/>
      <c r="X372" s="56"/>
      <c r="Y372" s="56"/>
      <c r="Z372" s="56"/>
      <c r="AA372" s="57"/>
      <c r="AB372" s="56"/>
      <c r="AC372" s="56"/>
      <c r="AD372" s="56"/>
      <c r="AE372" s="56"/>
      <c r="AF372" s="56"/>
      <c r="AG372" s="57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1"/>
      <c r="AV372" s="1"/>
    </row>
    <row r="373" spans="1:48" ht="15.75" customHeight="1" x14ac:dyDescent="0.2">
      <c r="A373" s="56"/>
      <c r="B373" s="56"/>
      <c r="C373" s="56"/>
      <c r="D373" s="56"/>
      <c r="E373" s="56"/>
      <c r="F373" s="56"/>
      <c r="G373" s="56"/>
      <c r="H373" s="56"/>
      <c r="I373" s="56"/>
      <c r="J373" s="56"/>
      <c r="K373" s="56"/>
      <c r="L373" s="57"/>
      <c r="M373" s="57"/>
      <c r="N373" s="57"/>
      <c r="O373" s="56"/>
      <c r="P373" s="56"/>
      <c r="Q373" s="56"/>
      <c r="R373" s="56"/>
      <c r="S373" s="56"/>
      <c r="T373" s="56"/>
      <c r="U373" s="56"/>
      <c r="V373" s="56"/>
      <c r="W373" s="57"/>
      <c r="X373" s="56"/>
      <c r="Y373" s="56"/>
      <c r="Z373" s="56"/>
      <c r="AA373" s="57"/>
      <c r="AB373" s="56"/>
      <c r="AC373" s="56"/>
      <c r="AD373" s="56"/>
      <c r="AE373" s="56"/>
      <c r="AF373" s="56"/>
      <c r="AG373" s="57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1"/>
      <c r="AV373" s="1"/>
    </row>
    <row r="374" spans="1:48" ht="15.75" customHeight="1" x14ac:dyDescent="0.2">
      <c r="A374" s="56"/>
      <c r="B374" s="56"/>
      <c r="C374" s="56"/>
      <c r="D374" s="56"/>
      <c r="E374" s="56"/>
      <c r="F374" s="56"/>
      <c r="G374" s="56"/>
      <c r="H374" s="56"/>
      <c r="I374" s="56"/>
      <c r="J374" s="56"/>
      <c r="K374" s="56"/>
      <c r="L374" s="57"/>
      <c r="M374" s="57"/>
      <c r="N374" s="57"/>
      <c r="O374" s="56"/>
      <c r="P374" s="56"/>
      <c r="Q374" s="56"/>
      <c r="R374" s="56"/>
      <c r="S374" s="56"/>
      <c r="T374" s="56"/>
      <c r="U374" s="56"/>
      <c r="V374" s="56"/>
      <c r="W374" s="57"/>
      <c r="X374" s="56"/>
      <c r="Y374" s="56"/>
      <c r="Z374" s="56"/>
      <c r="AA374" s="57"/>
      <c r="AB374" s="56"/>
      <c r="AC374" s="56"/>
      <c r="AD374" s="56"/>
      <c r="AE374" s="56"/>
      <c r="AF374" s="56"/>
      <c r="AG374" s="57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1"/>
      <c r="AV374" s="1"/>
    </row>
    <row r="375" spans="1:48" ht="15.75" customHeight="1" x14ac:dyDescent="0.2">
      <c r="A375" s="56"/>
      <c r="B375" s="56"/>
      <c r="C375" s="56"/>
      <c r="D375" s="56"/>
      <c r="E375" s="56"/>
      <c r="F375" s="56"/>
      <c r="G375" s="56"/>
      <c r="H375" s="56"/>
      <c r="I375" s="56"/>
      <c r="J375" s="56"/>
      <c r="K375" s="56"/>
      <c r="L375" s="57"/>
      <c r="M375" s="57"/>
      <c r="N375" s="57"/>
      <c r="O375" s="56"/>
      <c r="P375" s="56"/>
      <c r="Q375" s="56"/>
      <c r="R375" s="56"/>
      <c r="S375" s="56"/>
      <c r="T375" s="56"/>
      <c r="U375" s="56"/>
      <c r="V375" s="56"/>
      <c r="W375" s="57"/>
      <c r="X375" s="56"/>
      <c r="Y375" s="56"/>
      <c r="Z375" s="56"/>
      <c r="AA375" s="57"/>
      <c r="AB375" s="56"/>
      <c r="AC375" s="56"/>
      <c r="AD375" s="56"/>
      <c r="AE375" s="56"/>
      <c r="AF375" s="56"/>
      <c r="AG375" s="57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1"/>
      <c r="AV375" s="1"/>
    </row>
    <row r="376" spans="1:48" ht="15.75" customHeight="1" x14ac:dyDescent="0.2">
      <c r="A376" s="56"/>
      <c r="B376" s="56"/>
      <c r="C376" s="56"/>
      <c r="D376" s="56"/>
      <c r="E376" s="56"/>
      <c r="F376" s="56"/>
      <c r="G376" s="56"/>
      <c r="H376" s="56"/>
      <c r="I376" s="56"/>
      <c r="J376" s="56"/>
      <c r="K376" s="56"/>
      <c r="L376" s="57"/>
      <c r="M376" s="57"/>
      <c r="N376" s="57"/>
      <c r="O376" s="56"/>
      <c r="P376" s="56"/>
      <c r="Q376" s="56"/>
      <c r="R376" s="56"/>
      <c r="S376" s="56"/>
      <c r="T376" s="56"/>
      <c r="U376" s="56"/>
      <c r="V376" s="56"/>
      <c r="W376" s="57"/>
      <c r="X376" s="56"/>
      <c r="Y376" s="56"/>
      <c r="Z376" s="56"/>
      <c r="AA376" s="57"/>
      <c r="AB376" s="56"/>
      <c r="AC376" s="56"/>
      <c r="AD376" s="56"/>
      <c r="AE376" s="56"/>
      <c r="AF376" s="56"/>
      <c r="AG376" s="57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1"/>
      <c r="AV376" s="1"/>
    </row>
    <row r="377" spans="1:48" ht="15.75" customHeight="1" x14ac:dyDescent="0.2">
      <c r="A377" s="56"/>
      <c r="B377" s="56"/>
      <c r="C377" s="56"/>
      <c r="D377" s="56"/>
      <c r="E377" s="56"/>
      <c r="F377" s="56"/>
      <c r="G377" s="56"/>
      <c r="H377" s="56"/>
      <c r="I377" s="56"/>
      <c r="J377" s="56"/>
      <c r="K377" s="56"/>
      <c r="L377" s="57"/>
      <c r="M377" s="57"/>
      <c r="N377" s="57"/>
      <c r="O377" s="56"/>
      <c r="P377" s="56"/>
      <c r="Q377" s="56"/>
      <c r="R377" s="56"/>
      <c r="S377" s="56"/>
      <c r="T377" s="56"/>
      <c r="U377" s="56"/>
      <c r="V377" s="56"/>
      <c r="W377" s="57"/>
      <c r="X377" s="56"/>
      <c r="Y377" s="56"/>
      <c r="Z377" s="56"/>
      <c r="AA377" s="57"/>
      <c r="AB377" s="56"/>
      <c r="AC377" s="56"/>
      <c r="AD377" s="56"/>
      <c r="AE377" s="56"/>
      <c r="AF377" s="56"/>
      <c r="AG377" s="57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1"/>
      <c r="AV377" s="1"/>
    </row>
    <row r="378" spans="1:48" ht="15.75" customHeight="1" x14ac:dyDescent="0.2">
      <c r="A378" s="56"/>
      <c r="B378" s="56"/>
      <c r="C378" s="56"/>
      <c r="D378" s="56"/>
      <c r="E378" s="56"/>
      <c r="F378" s="56"/>
      <c r="G378" s="56"/>
      <c r="H378" s="56"/>
      <c r="I378" s="56"/>
      <c r="J378" s="56"/>
      <c r="K378" s="56"/>
      <c r="L378" s="57"/>
      <c r="M378" s="57"/>
      <c r="N378" s="57"/>
      <c r="O378" s="56"/>
      <c r="P378" s="56"/>
      <c r="Q378" s="56"/>
      <c r="R378" s="56"/>
      <c r="S378" s="56"/>
      <c r="T378" s="56"/>
      <c r="U378" s="56"/>
      <c r="V378" s="56"/>
      <c r="W378" s="57"/>
      <c r="X378" s="56"/>
      <c r="Y378" s="56"/>
      <c r="Z378" s="56"/>
      <c r="AA378" s="57"/>
      <c r="AB378" s="56"/>
      <c r="AC378" s="56"/>
      <c r="AD378" s="56"/>
      <c r="AE378" s="56"/>
      <c r="AF378" s="56"/>
      <c r="AG378" s="57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1"/>
      <c r="AV378" s="1"/>
    </row>
    <row r="379" spans="1:48" ht="15.75" customHeight="1" x14ac:dyDescent="0.2">
      <c r="A379" s="56"/>
      <c r="B379" s="56"/>
      <c r="C379" s="56"/>
      <c r="D379" s="56"/>
      <c r="E379" s="56"/>
      <c r="F379" s="56"/>
      <c r="G379" s="56"/>
      <c r="H379" s="56"/>
      <c r="I379" s="56"/>
      <c r="J379" s="56"/>
      <c r="K379" s="56"/>
      <c r="L379" s="57"/>
      <c r="M379" s="57"/>
      <c r="N379" s="57"/>
      <c r="O379" s="56"/>
      <c r="P379" s="56"/>
      <c r="Q379" s="56"/>
      <c r="R379" s="56"/>
      <c r="S379" s="56"/>
      <c r="T379" s="56"/>
      <c r="U379" s="56"/>
      <c r="V379" s="56"/>
      <c r="W379" s="57"/>
      <c r="X379" s="56"/>
      <c r="Y379" s="56"/>
      <c r="Z379" s="56"/>
      <c r="AA379" s="57"/>
      <c r="AB379" s="56"/>
      <c r="AC379" s="56"/>
      <c r="AD379" s="56"/>
      <c r="AE379" s="56"/>
      <c r="AF379" s="56"/>
      <c r="AG379" s="57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1"/>
      <c r="AV379" s="1"/>
    </row>
    <row r="380" spans="1:48" ht="15.75" customHeight="1" x14ac:dyDescent="0.2">
      <c r="A380" s="56"/>
      <c r="B380" s="56"/>
      <c r="C380" s="56"/>
      <c r="D380" s="56"/>
      <c r="E380" s="56"/>
      <c r="F380" s="56"/>
      <c r="G380" s="56"/>
      <c r="H380" s="56"/>
      <c r="I380" s="56"/>
      <c r="J380" s="56"/>
      <c r="K380" s="56"/>
      <c r="L380" s="57"/>
      <c r="M380" s="57"/>
      <c r="N380" s="57"/>
      <c r="O380" s="56"/>
      <c r="P380" s="56"/>
      <c r="Q380" s="56"/>
      <c r="R380" s="56"/>
      <c r="S380" s="56"/>
      <c r="T380" s="56"/>
      <c r="U380" s="56"/>
      <c r="V380" s="56"/>
      <c r="W380" s="57"/>
      <c r="X380" s="56"/>
      <c r="Y380" s="56"/>
      <c r="Z380" s="56"/>
      <c r="AA380" s="57"/>
      <c r="AB380" s="56"/>
      <c r="AC380" s="56"/>
      <c r="AD380" s="56"/>
      <c r="AE380" s="56"/>
      <c r="AF380" s="56"/>
      <c r="AG380" s="57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1"/>
      <c r="AV380" s="1"/>
    </row>
    <row r="381" spans="1:48" ht="15.75" customHeight="1" x14ac:dyDescent="0.2">
      <c r="A381" s="56"/>
      <c r="B381" s="56"/>
      <c r="C381" s="56"/>
      <c r="D381" s="56"/>
      <c r="E381" s="56"/>
      <c r="F381" s="56"/>
      <c r="G381" s="56"/>
      <c r="H381" s="56"/>
      <c r="I381" s="56"/>
      <c r="J381" s="56"/>
      <c r="K381" s="56"/>
      <c r="L381" s="57"/>
      <c r="M381" s="57"/>
      <c r="N381" s="57"/>
      <c r="O381" s="56"/>
      <c r="P381" s="56"/>
      <c r="Q381" s="56"/>
      <c r="R381" s="56"/>
      <c r="S381" s="56"/>
      <c r="T381" s="56"/>
      <c r="U381" s="56"/>
      <c r="V381" s="56"/>
      <c r="W381" s="57"/>
      <c r="X381" s="56"/>
      <c r="Y381" s="56"/>
      <c r="Z381" s="56"/>
      <c r="AA381" s="57"/>
      <c r="AB381" s="56"/>
      <c r="AC381" s="56"/>
      <c r="AD381" s="56"/>
      <c r="AE381" s="56"/>
      <c r="AF381" s="56"/>
      <c r="AG381" s="57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1"/>
      <c r="AV381" s="1"/>
    </row>
    <row r="382" spans="1:48" ht="15.75" customHeight="1" x14ac:dyDescent="0.2">
      <c r="A382" s="56"/>
      <c r="B382" s="56"/>
      <c r="C382" s="56"/>
      <c r="D382" s="56"/>
      <c r="E382" s="56"/>
      <c r="F382" s="56"/>
      <c r="G382" s="56"/>
      <c r="H382" s="56"/>
      <c r="I382" s="56"/>
      <c r="J382" s="56"/>
      <c r="K382" s="56"/>
      <c r="L382" s="57"/>
      <c r="M382" s="57"/>
      <c r="N382" s="57"/>
      <c r="O382" s="56"/>
      <c r="P382" s="56"/>
      <c r="Q382" s="56"/>
      <c r="R382" s="56"/>
      <c r="S382" s="56"/>
      <c r="T382" s="56"/>
      <c r="U382" s="56"/>
      <c r="V382" s="56"/>
      <c r="W382" s="57"/>
      <c r="X382" s="56"/>
      <c r="Y382" s="56"/>
      <c r="Z382" s="56"/>
      <c r="AA382" s="57"/>
      <c r="AB382" s="56"/>
      <c r="AC382" s="56"/>
      <c r="AD382" s="56"/>
      <c r="AE382" s="56"/>
      <c r="AF382" s="56"/>
      <c r="AG382" s="57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1"/>
      <c r="AV382" s="1"/>
    </row>
    <row r="383" spans="1:48" ht="15.75" customHeight="1" x14ac:dyDescent="0.2">
      <c r="A383" s="56"/>
      <c r="B383" s="56"/>
      <c r="C383" s="56"/>
      <c r="D383" s="56"/>
      <c r="E383" s="56"/>
      <c r="F383" s="56"/>
      <c r="G383" s="56"/>
      <c r="H383" s="56"/>
      <c r="I383" s="56"/>
      <c r="J383" s="56"/>
      <c r="K383" s="56"/>
      <c r="L383" s="57"/>
      <c r="M383" s="57"/>
      <c r="N383" s="57"/>
      <c r="O383" s="56"/>
      <c r="P383" s="56"/>
      <c r="Q383" s="56"/>
      <c r="R383" s="56"/>
      <c r="S383" s="56"/>
      <c r="T383" s="56"/>
      <c r="U383" s="56"/>
      <c r="V383" s="56"/>
      <c r="W383" s="57"/>
      <c r="X383" s="56"/>
      <c r="Y383" s="56"/>
      <c r="Z383" s="56"/>
      <c r="AA383" s="57"/>
      <c r="AB383" s="56"/>
      <c r="AC383" s="56"/>
      <c r="AD383" s="56"/>
      <c r="AE383" s="56"/>
      <c r="AF383" s="56"/>
      <c r="AG383" s="57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1"/>
      <c r="AV383" s="1"/>
    </row>
    <row r="384" spans="1:48" ht="15.75" customHeight="1" x14ac:dyDescent="0.2">
      <c r="A384" s="56"/>
      <c r="B384" s="56"/>
      <c r="C384" s="56"/>
      <c r="D384" s="56"/>
      <c r="E384" s="56"/>
      <c r="F384" s="56"/>
      <c r="G384" s="56"/>
      <c r="H384" s="56"/>
      <c r="I384" s="56"/>
      <c r="J384" s="56"/>
      <c r="K384" s="56"/>
      <c r="L384" s="57"/>
      <c r="M384" s="57"/>
      <c r="N384" s="57"/>
      <c r="O384" s="56"/>
      <c r="P384" s="56"/>
      <c r="Q384" s="56"/>
      <c r="R384" s="56"/>
      <c r="S384" s="56"/>
      <c r="T384" s="56"/>
      <c r="U384" s="56"/>
      <c r="V384" s="56"/>
      <c r="W384" s="57"/>
      <c r="X384" s="56"/>
      <c r="Y384" s="56"/>
      <c r="Z384" s="56"/>
      <c r="AA384" s="57"/>
      <c r="AB384" s="56"/>
      <c r="AC384" s="56"/>
      <c r="AD384" s="56"/>
      <c r="AE384" s="56"/>
      <c r="AF384" s="56"/>
      <c r="AG384" s="57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1"/>
      <c r="AV384" s="1"/>
    </row>
    <row r="385" spans="1:48" ht="15.75" customHeight="1" x14ac:dyDescent="0.2">
      <c r="A385" s="56"/>
      <c r="B385" s="56"/>
      <c r="C385" s="56"/>
      <c r="D385" s="56"/>
      <c r="E385" s="56"/>
      <c r="F385" s="56"/>
      <c r="G385" s="56"/>
      <c r="H385" s="56"/>
      <c r="I385" s="56"/>
      <c r="J385" s="56"/>
      <c r="K385" s="56"/>
      <c r="L385" s="57"/>
      <c r="M385" s="57"/>
      <c r="N385" s="57"/>
      <c r="O385" s="56"/>
      <c r="P385" s="56"/>
      <c r="Q385" s="56"/>
      <c r="R385" s="56"/>
      <c r="S385" s="56"/>
      <c r="T385" s="56"/>
      <c r="U385" s="56"/>
      <c r="V385" s="56"/>
      <c r="W385" s="57"/>
      <c r="X385" s="56"/>
      <c r="Y385" s="56"/>
      <c r="Z385" s="56"/>
      <c r="AA385" s="57"/>
      <c r="AB385" s="56"/>
      <c r="AC385" s="56"/>
      <c r="AD385" s="56"/>
      <c r="AE385" s="56"/>
      <c r="AF385" s="56"/>
      <c r="AG385" s="57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1"/>
      <c r="AV385" s="1"/>
    </row>
    <row r="386" spans="1:48" ht="15.75" customHeight="1" x14ac:dyDescent="0.2">
      <c r="A386" s="56"/>
      <c r="B386" s="56"/>
      <c r="C386" s="56"/>
      <c r="D386" s="56"/>
      <c r="E386" s="56"/>
      <c r="F386" s="56"/>
      <c r="G386" s="56"/>
      <c r="H386" s="56"/>
      <c r="I386" s="56"/>
      <c r="J386" s="56"/>
      <c r="K386" s="56"/>
      <c r="L386" s="57"/>
      <c r="M386" s="57"/>
      <c r="N386" s="57"/>
      <c r="O386" s="56"/>
      <c r="P386" s="56"/>
      <c r="Q386" s="56"/>
      <c r="R386" s="56"/>
      <c r="S386" s="56"/>
      <c r="T386" s="56"/>
      <c r="U386" s="56"/>
      <c r="V386" s="56"/>
      <c r="W386" s="57"/>
      <c r="X386" s="56"/>
      <c r="Y386" s="56"/>
      <c r="Z386" s="56"/>
      <c r="AA386" s="57"/>
      <c r="AB386" s="56"/>
      <c r="AC386" s="56"/>
      <c r="AD386" s="56"/>
      <c r="AE386" s="56"/>
      <c r="AF386" s="56"/>
      <c r="AG386" s="57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1"/>
      <c r="AV386" s="1"/>
    </row>
    <row r="387" spans="1:48" ht="15.75" customHeight="1" x14ac:dyDescent="0.2">
      <c r="A387" s="56"/>
      <c r="B387" s="56"/>
      <c r="C387" s="56"/>
      <c r="D387" s="56"/>
      <c r="E387" s="56"/>
      <c r="F387" s="56"/>
      <c r="G387" s="56"/>
      <c r="H387" s="56"/>
      <c r="I387" s="56"/>
      <c r="J387" s="56"/>
      <c r="K387" s="56"/>
      <c r="L387" s="57"/>
      <c r="M387" s="57"/>
      <c r="N387" s="57"/>
      <c r="O387" s="56"/>
      <c r="P387" s="56"/>
      <c r="Q387" s="56"/>
      <c r="R387" s="56"/>
      <c r="S387" s="56"/>
      <c r="T387" s="56"/>
      <c r="U387" s="56"/>
      <c r="V387" s="56"/>
      <c r="W387" s="57"/>
      <c r="X387" s="56"/>
      <c r="Y387" s="56"/>
      <c r="Z387" s="56"/>
      <c r="AA387" s="57"/>
      <c r="AB387" s="56"/>
      <c r="AC387" s="56"/>
      <c r="AD387" s="56"/>
      <c r="AE387" s="56"/>
      <c r="AF387" s="56"/>
      <c r="AG387" s="57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1"/>
      <c r="AV387" s="1"/>
    </row>
    <row r="388" spans="1:48" ht="15.75" customHeight="1" x14ac:dyDescent="0.2">
      <c r="A388" s="56"/>
      <c r="B388" s="56"/>
      <c r="C388" s="56"/>
      <c r="D388" s="56"/>
      <c r="E388" s="56"/>
      <c r="F388" s="56"/>
      <c r="G388" s="56"/>
      <c r="H388" s="56"/>
      <c r="I388" s="56"/>
      <c r="J388" s="56"/>
      <c r="K388" s="56"/>
      <c r="L388" s="57"/>
      <c r="M388" s="57"/>
      <c r="N388" s="57"/>
      <c r="O388" s="56"/>
      <c r="P388" s="56"/>
      <c r="Q388" s="56"/>
      <c r="R388" s="56"/>
      <c r="S388" s="56"/>
      <c r="T388" s="56"/>
      <c r="U388" s="56"/>
      <c r="V388" s="56"/>
      <c r="W388" s="57"/>
      <c r="X388" s="56"/>
      <c r="Y388" s="56"/>
      <c r="Z388" s="56"/>
      <c r="AA388" s="57"/>
      <c r="AB388" s="56"/>
      <c r="AC388" s="56"/>
      <c r="AD388" s="56"/>
      <c r="AE388" s="56"/>
      <c r="AF388" s="56"/>
      <c r="AG388" s="57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1"/>
      <c r="AV388" s="1"/>
    </row>
    <row r="389" spans="1:48" ht="15.75" customHeight="1" x14ac:dyDescent="0.2">
      <c r="A389" s="56"/>
      <c r="B389" s="56"/>
      <c r="C389" s="56"/>
      <c r="D389" s="56"/>
      <c r="E389" s="56"/>
      <c r="F389" s="56"/>
      <c r="G389" s="56"/>
      <c r="H389" s="56"/>
      <c r="I389" s="56"/>
      <c r="J389" s="56"/>
      <c r="K389" s="56"/>
      <c r="L389" s="57"/>
      <c r="M389" s="57"/>
      <c r="N389" s="57"/>
      <c r="O389" s="56"/>
      <c r="P389" s="56"/>
      <c r="Q389" s="56"/>
      <c r="R389" s="56"/>
      <c r="S389" s="56"/>
      <c r="T389" s="56"/>
      <c r="U389" s="56"/>
      <c r="V389" s="56"/>
      <c r="W389" s="57"/>
      <c r="X389" s="56"/>
      <c r="Y389" s="56"/>
      <c r="Z389" s="56"/>
      <c r="AA389" s="57"/>
      <c r="AB389" s="56"/>
      <c r="AC389" s="56"/>
      <c r="AD389" s="56"/>
      <c r="AE389" s="56"/>
      <c r="AF389" s="56"/>
      <c r="AG389" s="57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1"/>
      <c r="AV389" s="1"/>
    </row>
    <row r="390" spans="1:48" ht="15.75" customHeight="1" x14ac:dyDescent="0.2">
      <c r="A390" s="56"/>
      <c r="B390" s="56"/>
      <c r="C390" s="56"/>
      <c r="D390" s="56"/>
      <c r="E390" s="56"/>
      <c r="F390" s="56"/>
      <c r="G390" s="56"/>
      <c r="H390" s="56"/>
      <c r="I390" s="56"/>
      <c r="J390" s="56"/>
      <c r="K390" s="56"/>
      <c r="L390" s="57"/>
      <c r="M390" s="57"/>
      <c r="N390" s="57"/>
      <c r="O390" s="56"/>
      <c r="P390" s="56"/>
      <c r="Q390" s="56"/>
      <c r="R390" s="56"/>
      <c r="S390" s="56"/>
      <c r="T390" s="56"/>
      <c r="U390" s="56"/>
      <c r="V390" s="56"/>
      <c r="W390" s="57"/>
      <c r="X390" s="56"/>
      <c r="Y390" s="56"/>
      <c r="Z390" s="56"/>
      <c r="AA390" s="57"/>
      <c r="AB390" s="56"/>
      <c r="AC390" s="56"/>
      <c r="AD390" s="56"/>
      <c r="AE390" s="56"/>
      <c r="AF390" s="56"/>
      <c r="AG390" s="57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1"/>
      <c r="AV390" s="1"/>
    </row>
    <row r="391" spans="1:48" ht="15.75" customHeight="1" x14ac:dyDescent="0.2">
      <c r="A391" s="56"/>
      <c r="B391" s="56"/>
      <c r="C391" s="56"/>
      <c r="D391" s="56"/>
      <c r="E391" s="56"/>
      <c r="F391" s="56"/>
      <c r="G391" s="56"/>
      <c r="H391" s="56"/>
      <c r="I391" s="56"/>
      <c r="J391" s="56"/>
      <c r="K391" s="56"/>
      <c r="L391" s="57"/>
      <c r="M391" s="57"/>
      <c r="N391" s="57"/>
      <c r="O391" s="56"/>
      <c r="P391" s="56"/>
      <c r="Q391" s="56"/>
      <c r="R391" s="56"/>
      <c r="S391" s="56"/>
      <c r="T391" s="56"/>
      <c r="U391" s="56"/>
      <c r="V391" s="56"/>
      <c r="W391" s="57"/>
      <c r="X391" s="56"/>
      <c r="Y391" s="56"/>
      <c r="Z391" s="56"/>
      <c r="AA391" s="57"/>
      <c r="AB391" s="56"/>
      <c r="AC391" s="56"/>
      <c r="AD391" s="56"/>
      <c r="AE391" s="56"/>
      <c r="AF391" s="56"/>
      <c r="AG391" s="57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1"/>
      <c r="AV391" s="1"/>
    </row>
    <row r="392" spans="1:48" ht="15.75" customHeight="1" x14ac:dyDescent="0.2">
      <c r="A392" s="56"/>
      <c r="B392" s="56"/>
      <c r="C392" s="56"/>
      <c r="D392" s="56"/>
      <c r="E392" s="56"/>
      <c r="F392" s="56"/>
      <c r="G392" s="56"/>
      <c r="H392" s="56"/>
      <c r="I392" s="56"/>
      <c r="J392" s="56"/>
      <c r="K392" s="56"/>
      <c r="L392" s="57"/>
      <c r="M392" s="57"/>
      <c r="N392" s="57"/>
      <c r="O392" s="56"/>
      <c r="P392" s="56"/>
      <c r="Q392" s="56"/>
      <c r="R392" s="56"/>
      <c r="S392" s="56"/>
      <c r="T392" s="56"/>
      <c r="U392" s="56"/>
      <c r="V392" s="56"/>
      <c r="W392" s="57"/>
      <c r="X392" s="56"/>
      <c r="Y392" s="56"/>
      <c r="Z392" s="56"/>
      <c r="AA392" s="57"/>
      <c r="AB392" s="56"/>
      <c r="AC392" s="56"/>
      <c r="AD392" s="56"/>
      <c r="AE392" s="56"/>
      <c r="AF392" s="56"/>
      <c r="AG392" s="57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1"/>
      <c r="AV392" s="1"/>
    </row>
    <row r="393" spans="1:48" ht="15.75" customHeight="1" x14ac:dyDescent="0.2">
      <c r="A393" s="56"/>
      <c r="B393" s="56"/>
      <c r="C393" s="56"/>
      <c r="D393" s="56"/>
      <c r="E393" s="56"/>
      <c r="F393" s="56"/>
      <c r="G393" s="56"/>
      <c r="H393" s="56"/>
      <c r="I393" s="56"/>
      <c r="J393" s="56"/>
      <c r="K393" s="56"/>
      <c r="L393" s="57"/>
      <c r="M393" s="57"/>
      <c r="N393" s="57"/>
      <c r="O393" s="56"/>
      <c r="P393" s="56"/>
      <c r="Q393" s="56"/>
      <c r="R393" s="56"/>
      <c r="S393" s="56"/>
      <c r="T393" s="56"/>
      <c r="U393" s="56"/>
      <c r="V393" s="56"/>
      <c r="W393" s="57"/>
      <c r="X393" s="56"/>
      <c r="Y393" s="56"/>
      <c r="Z393" s="56"/>
      <c r="AA393" s="57"/>
      <c r="AB393" s="56"/>
      <c r="AC393" s="56"/>
      <c r="AD393" s="56"/>
      <c r="AE393" s="56"/>
      <c r="AF393" s="56"/>
      <c r="AG393" s="57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1"/>
      <c r="AV393" s="1"/>
    </row>
    <row r="394" spans="1:48" ht="15.75" customHeight="1" x14ac:dyDescent="0.2">
      <c r="A394" s="56"/>
      <c r="B394" s="56"/>
      <c r="C394" s="56"/>
      <c r="D394" s="56"/>
      <c r="E394" s="56"/>
      <c r="F394" s="56"/>
      <c r="G394" s="56"/>
      <c r="H394" s="56"/>
      <c r="I394" s="56"/>
      <c r="J394" s="56"/>
      <c r="K394" s="56"/>
      <c r="L394" s="57"/>
      <c r="M394" s="57"/>
      <c r="N394" s="57"/>
      <c r="O394" s="56"/>
      <c r="P394" s="56"/>
      <c r="Q394" s="56"/>
      <c r="R394" s="56"/>
      <c r="S394" s="56"/>
      <c r="T394" s="56"/>
      <c r="U394" s="56"/>
      <c r="V394" s="56"/>
      <c r="W394" s="57"/>
      <c r="X394" s="56"/>
      <c r="Y394" s="56"/>
      <c r="Z394" s="56"/>
      <c r="AA394" s="57"/>
      <c r="AB394" s="56"/>
      <c r="AC394" s="56"/>
      <c r="AD394" s="56"/>
      <c r="AE394" s="56"/>
      <c r="AF394" s="56"/>
      <c r="AG394" s="57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1"/>
      <c r="AV394" s="1"/>
    </row>
    <row r="395" spans="1:48" ht="15.75" customHeight="1" x14ac:dyDescent="0.2">
      <c r="A395" s="56"/>
      <c r="B395" s="56"/>
      <c r="C395" s="56"/>
      <c r="D395" s="56"/>
      <c r="E395" s="56"/>
      <c r="F395" s="56"/>
      <c r="G395" s="56"/>
      <c r="H395" s="56"/>
      <c r="I395" s="56"/>
      <c r="J395" s="56"/>
      <c r="K395" s="56"/>
      <c r="L395" s="57"/>
      <c r="M395" s="57"/>
      <c r="N395" s="57"/>
      <c r="O395" s="56"/>
      <c r="P395" s="56"/>
      <c r="Q395" s="56"/>
      <c r="R395" s="56"/>
      <c r="S395" s="56"/>
      <c r="T395" s="56"/>
      <c r="U395" s="56"/>
      <c r="V395" s="56"/>
      <c r="W395" s="57"/>
      <c r="X395" s="56"/>
      <c r="Y395" s="56"/>
      <c r="Z395" s="56"/>
      <c r="AA395" s="57"/>
      <c r="AB395" s="56"/>
      <c r="AC395" s="56"/>
      <c r="AD395" s="56"/>
      <c r="AE395" s="56"/>
      <c r="AF395" s="56"/>
      <c r="AG395" s="57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1"/>
      <c r="AV395" s="1"/>
    </row>
    <row r="396" spans="1:48" ht="15.75" customHeight="1" x14ac:dyDescent="0.2">
      <c r="A396" s="56"/>
      <c r="B396" s="56"/>
      <c r="C396" s="56"/>
      <c r="D396" s="56"/>
      <c r="E396" s="56"/>
      <c r="F396" s="56"/>
      <c r="G396" s="56"/>
      <c r="H396" s="56"/>
      <c r="I396" s="56"/>
      <c r="J396" s="56"/>
      <c r="K396" s="56"/>
      <c r="L396" s="57"/>
      <c r="M396" s="57"/>
      <c r="N396" s="57"/>
      <c r="O396" s="56"/>
      <c r="P396" s="56"/>
      <c r="Q396" s="56"/>
      <c r="R396" s="56"/>
      <c r="S396" s="56"/>
      <c r="T396" s="56"/>
      <c r="U396" s="56"/>
      <c r="V396" s="56"/>
      <c r="W396" s="57"/>
      <c r="X396" s="56"/>
      <c r="Y396" s="56"/>
      <c r="Z396" s="56"/>
      <c r="AA396" s="57"/>
      <c r="AB396" s="56"/>
      <c r="AC396" s="56"/>
      <c r="AD396" s="56"/>
      <c r="AE396" s="56"/>
      <c r="AF396" s="56"/>
      <c r="AG396" s="57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1"/>
      <c r="AV396" s="1"/>
    </row>
    <row r="397" spans="1:48" ht="15.75" customHeight="1" x14ac:dyDescent="0.2">
      <c r="A397" s="56"/>
      <c r="B397" s="56"/>
      <c r="C397" s="56"/>
      <c r="D397" s="56"/>
      <c r="E397" s="56"/>
      <c r="F397" s="56"/>
      <c r="G397" s="56"/>
      <c r="H397" s="56"/>
      <c r="I397" s="56"/>
      <c r="J397" s="56"/>
      <c r="K397" s="56"/>
      <c r="L397" s="57"/>
      <c r="M397" s="57"/>
      <c r="N397" s="57"/>
      <c r="O397" s="56"/>
      <c r="P397" s="56"/>
      <c r="Q397" s="56"/>
      <c r="R397" s="56"/>
      <c r="S397" s="56"/>
      <c r="T397" s="56"/>
      <c r="U397" s="56"/>
      <c r="V397" s="56"/>
      <c r="W397" s="57"/>
      <c r="X397" s="56"/>
      <c r="Y397" s="56"/>
      <c r="Z397" s="56"/>
      <c r="AA397" s="57"/>
      <c r="AB397" s="56"/>
      <c r="AC397" s="56"/>
      <c r="AD397" s="56"/>
      <c r="AE397" s="56"/>
      <c r="AF397" s="56"/>
      <c r="AG397" s="57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1"/>
      <c r="AV397" s="1"/>
    </row>
    <row r="398" spans="1:48" ht="15.75" customHeight="1" x14ac:dyDescent="0.2">
      <c r="A398" s="56"/>
      <c r="B398" s="56"/>
      <c r="C398" s="56"/>
      <c r="D398" s="56"/>
      <c r="E398" s="56"/>
      <c r="F398" s="56"/>
      <c r="G398" s="56"/>
      <c r="H398" s="56"/>
      <c r="I398" s="56"/>
      <c r="J398" s="56"/>
      <c r="K398" s="56"/>
      <c r="L398" s="57"/>
      <c r="M398" s="57"/>
      <c r="N398" s="57"/>
      <c r="O398" s="56"/>
      <c r="P398" s="56"/>
      <c r="Q398" s="56"/>
      <c r="R398" s="56"/>
      <c r="S398" s="56"/>
      <c r="T398" s="56"/>
      <c r="U398" s="56"/>
      <c r="V398" s="56"/>
      <c r="W398" s="57"/>
      <c r="X398" s="56"/>
      <c r="Y398" s="56"/>
      <c r="Z398" s="56"/>
      <c r="AA398" s="57"/>
      <c r="AB398" s="56"/>
      <c r="AC398" s="56"/>
      <c r="AD398" s="56"/>
      <c r="AE398" s="56"/>
      <c r="AF398" s="56"/>
      <c r="AG398" s="57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1"/>
      <c r="AV398" s="1"/>
    </row>
    <row r="399" spans="1:48" ht="15.75" customHeight="1" x14ac:dyDescent="0.2">
      <c r="A399" s="56"/>
      <c r="B399" s="56"/>
      <c r="C399" s="56"/>
      <c r="D399" s="56"/>
      <c r="E399" s="56"/>
      <c r="F399" s="56"/>
      <c r="G399" s="56"/>
      <c r="H399" s="56"/>
      <c r="I399" s="56"/>
      <c r="J399" s="56"/>
      <c r="K399" s="56"/>
      <c r="L399" s="57"/>
      <c r="M399" s="57"/>
      <c r="N399" s="57"/>
      <c r="O399" s="56"/>
      <c r="P399" s="56"/>
      <c r="Q399" s="56"/>
      <c r="R399" s="56"/>
      <c r="S399" s="56"/>
      <c r="T399" s="56"/>
      <c r="U399" s="56"/>
      <c r="V399" s="56"/>
      <c r="W399" s="57"/>
      <c r="X399" s="56"/>
      <c r="Y399" s="56"/>
      <c r="Z399" s="56"/>
      <c r="AA399" s="57"/>
      <c r="AB399" s="56"/>
      <c r="AC399" s="56"/>
      <c r="AD399" s="56"/>
      <c r="AE399" s="56"/>
      <c r="AF399" s="56"/>
      <c r="AG399" s="57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1"/>
      <c r="AV399" s="1"/>
    </row>
    <row r="400" spans="1:48" ht="15.75" customHeight="1" x14ac:dyDescent="0.2">
      <c r="A400" s="56"/>
      <c r="B400" s="56"/>
      <c r="C400" s="56"/>
      <c r="D400" s="56"/>
      <c r="E400" s="56"/>
      <c r="F400" s="56"/>
      <c r="G400" s="56"/>
      <c r="H400" s="56"/>
      <c r="I400" s="56"/>
      <c r="J400" s="56"/>
      <c r="K400" s="56"/>
      <c r="L400" s="57"/>
      <c r="M400" s="57"/>
      <c r="N400" s="57"/>
      <c r="O400" s="56"/>
      <c r="P400" s="56"/>
      <c r="Q400" s="56"/>
      <c r="R400" s="56"/>
      <c r="S400" s="56"/>
      <c r="T400" s="56"/>
      <c r="U400" s="56"/>
      <c r="V400" s="56"/>
      <c r="W400" s="57"/>
      <c r="X400" s="56"/>
      <c r="Y400" s="56"/>
      <c r="Z400" s="56"/>
      <c r="AA400" s="57"/>
      <c r="AB400" s="56"/>
      <c r="AC400" s="56"/>
      <c r="AD400" s="56"/>
      <c r="AE400" s="56"/>
      <c r="AF400" s="56"/>
      <c r="AG400" s="57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1"/>
      <c r="AV400" s="1"/>
    </row>
    <row r="401" spans="1:48" ht="15.75" customHeight="1" x14ac:dyDescent="0.2">
      <c r="A401" s="56"/>
      <c r="B401" s="56"/>
      <c r="C401" s="56"/>
      <c r="D401" s="56"/>
      <c r="E401" s="56"/>
      <c r="F401" s="56"/>
      <c r="G401" s="56"/>
      <c r="H401" s="56"/>
      <c r="I401" s="56"/>
      <c r="J401" s="56"/>
      <c r="K401" s="56"/>
      <c r="L401" s="57"/>
      <c r="M401" s="57"/>
      <c r="N401" s="57"/>
      <c r="O401" s="56"/>
      <c r="P401" s="56"/>
      <c r="Q401" s="56"/>
      <c r="R401" s="56"/>
      <c r="S401" s="56"/>
      <c r="T401" s="56"/>
      <c r="U401" s="56"/>
      <c r="V401" s="56"/>
      <c r="W401" s="57"/>
      <c r="X401" s="56"/>
      <c r="Y401" s="56"/>
      <c r="Z401" s="56"/>
      <c r="AA401" s="57"/>
      <c r="AB401" s="56"/>
      <c r="AC401" s="56"/>
      <c r="AD401" s="56"/>
      <c r="AE401" s="56"/>
      <c r="AF401" s="56"/>
      <c r="AG401" s="57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1"/>
      <c r="AV401" s="1"/>
    </row>
    <row r="402" spans="1:48" ht="15.75" customHeight="1" x14ac:dyDescent="0.2">
      <c r="A402" s="56"/>
      <c r="B402" s="56"/>
      <c r="C402" s="56"/>
      <c r="D402" s="56"/>
      <c r="E402" s="56"/>
      <c r="F402" s="56"/>
      <c r="G402" s="56"/>
      <c r="H402" s="56"/>
      <c r="I402" s="56"/>
      <c r="J402" s="56"/>
      <c r="K402" s="56"/>
      <c r="L402" s="57"/>
      <c r="M402" s="57"/>
      <c r="N402" s="57"/>
      <c r="O402" s="56"/>
      <c r="P402" s="56"/>
      <c r="Q402" s="56"/>
      <c r="R402" s="56"/>
      <c r="S402" s="56"/>
      <c r="T402" s="56"/>
      <c r="U402" s="56"/>
      <c r="V402" s="56"/>
      <c r="W402" s="57"/>
      <c r="X402" s="56"/>
      <c r="Y402" s="56"/>
      <c r="Z402" s="56"/>
      <c r="AA402" s="57"/>
      <c r="AB402" s="56"/>
      <c r="AC402" s="56"/>
      <c r="AD402" s="56"/>
      <c r="AE402" s="56"/>
      <c r="AF402" s="56"/>
      <c r="AG402" s="57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1"/>
      <c r="AV402" s="1"/>
    </row>
    <row r="403" spans="1:48" ht="15.75" customHeight="1" x14ac:dyDescent="0.2">
      <c r="A403" s="56"/>
      <c r="B403" s="56"/>
      <c r="C403" s="56"/>
      <c r="D403" s="56"/>
      <c r="E403" s="56"/>
      <c r="F403" s="56"/>
      <c r="G403" s="56"/>
      <c r="H403" s="56"/>
      <c r="I403" s="56"/>
      <c r="J403" s="56"/>
      <c r="K403" s="56"/>
      <c r="L403" s="57"/>
      <c r="M403" s="57"/>
      <c r="N403" s="57"/>
      <c r="O403" s="56"/>
      <c r="P403" s="56"/>
      <c r="Q403" s="56"/>
      <c r="R403" s="56"/>
      <c r="S403" s="56"/>
      <c r="T403" s="56"/>
      <c r="U403" s="56"/>
      <c r="V403" s="56"/>
      <c r="W403" s="57"/>
      <c r="X403" s="56"/>
      <c r="Y403" s="56"/>
      <c r="Z403" s="56"/>
      <c r="AA403" s="57"/>
      <c r="AB403" s="56"/>
      <c r="AC403" s="56"/>
      <c r="AD403" s="56"/>
      <c r="AE403" s="56"/>
      <c r="AF403" s="56"/>
      <c r="AG403" s="57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1"/>
      <c r="AV403" s="1"/>
    </row>
    <row r="404" spans="1:48" ht="15.75" customHeight="1" x14ac:dyDescent="0.2">
      <c r="A404" s="56"/>
      <c r="B404" s="56"/>
      <c r="C404" s="56"/>
      <c r="D404" s="56"/>
      <c r="E404" s="56"/>
      <c r="F404" s="56"/>
      <c r="G404" s="56"/>
      <c r="H404" s="56"/>
      <c r="I404" s="56"/>
      <c r="J404" s="56"/>
      <c r="K404" s="56"/>
      <c r="L404" s="57"/>
      <c r="M404" s="57"/>
      <c r="N404" s="57"/>
      <c r="O404" s="56"/>
      <c r="P404" s="56"/>
      <c r="Q404" s="56"/>
      <c r="R404" s="56"/>
      <c r="S404" s="56"/>
      <c r="T404" s="56"/>
      <c r="U404" s="56"/>
      <c r="V404" s="56"/>
      <c r="W404" s="57"/>
      <c r="X404" s="56"/>
      <c r="Y404" s="56"/>
      <c r="Z404" s="56"/>
      <c r="AA404" s="57"/>
      <c r="AB404" s="56"/>
      <c r="AC404" s="56"/>
      <c r="AD404" s="56"/>
      <c r="AE404" s="56"/>
      <c r="AF404" s="56"/>
      <c r="AG404" s="57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1"/>
      <c r="AV404" s="1"/>
    </row>
    <row r="405" spans="1:48" ht="15.75" customHeight="1" x14ac:dyDescent="0.2">
      <c r="A405" s="56"/>
      <c r="B405" s="56"/>
      <c r="C405" s="56"/>
      <c r="D405" s="56"/>
      <c r="E405" s="56"/>
      <c r="F405" s="56"/>
      <c r="G405" s="56"/>
      <c r="H405" s="56"/>
      <c r="I405" s="56"/>
      <c r="J405" s="56"/>
      <c r="K405" s="56"/>
      <c r="L405" s="57"/>
      <c r="M405" s="57"/>
      <c r="N405" s="57"/>
      <c r="O405" s="56"/>
      <c r="P405" s="56"/>
      <c r="Q405" s="56"/>
      <c r="R405" s="56"/>
      <c r="S405" s="56"/>
      <c r="T405" s="56"/>
      <c r="U405" s="56"/>
      <c r="V405" s="56"/>
      <c r="W405" s="57"/>
      <c r="X405" s="56"/>
      <c r="Y405" s="56"/>
      <c r="Z405" s="56"/>
      <c r="AA405" s="57"/>
      <c r="AB405" s="56"/>
      <c r="AC405" s="56"/>
      <c r="AD405" s="56"/>
      <c r="AE405" s="56"/>
      <c r="AF405" s="56"/>
      <c r="AG405" s="57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1"/>
      <c r="AV405" s="1"/>
    </row>
    <row r="406" spans="1:48" ht="15.75" customHeight="1" x14ac:dyDescent="0.2">
      <c r="A406" s="56"/>
      <c r="B406" s="56"/>
      <c r="C406" s="56"/>
      <c r="D406" s="56"/>
      <c r="E406" s="56"/>
      <c r="F406" s="56"/>
      <c r="G406" s="56"/>
      <c r="H406" s="56"/>
      <c r="I406" s="56"/>
      <c r="J406" s="56"/>
      <c r="K406" s="56"/>
      <c r="L406" s="57"/>
      <c r="M406" s="57"/>
      <c r="N406" s="57"/>
      <c r="O406" s="56"/>
      <c r="P406" s="56"/>
      <c r="Q406" s="56"/>
      <c r="R406" s="56"/>
      <c r="S406" s="56"/>
      <c r="T406" s="56"/>
      <c r="U406" s="56"/>
      <c r="V406" s="56"/>
      <c r="W406" s="57"/>
      <c r="X406" s="56"/>
      <c r="Y406" s="56"/>
      <c r="Z406" s="56"/>
      <c r="AA406" s="57"/>
      <c r="AB406" s="56"/>
      <c r="AC406" s="56"/>
      <c r="AD406" s="56"/>
      <c r="AE406" s="56"/>
      <c r="AF406" s="56"/>
      <c r="AG406" s="57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1"/>
      <c r="AV406" s="1"/>
    </row>
    <row r="407" spans="1:48" ht="15.75" customHeight="1" x14ac:dyDescent="0.2">
      <c r="A407" s="56"/>
      <c r="B407" s="56"/>
      <c r="C407" s="56"/>
      <c r="D407" s="56"/>
      <c r="E407" s="56"/>
      <c r="F407" s="56"/>
      <c r="G407" s="56"/>
      <c r="H407" s="56"/>
      <c r="I407" s="56"/>
      <c r="J407" s="56"/>
      <c r="K407" s="56"/>
      <c r="L407" s="57"/>
      <c r="M407" s="57"/>
      <c r="N407" s="57"/>
      <c r="O407" s="56"/>
      <c r="P407" s="56"/>
      <c r="Q407" s="56"/>
      <c r="R407" s="56"/>
      <c r="S407" s="56"/>
      <c r="T407" s="56"/>
      <c r="U407" s="56"/>
      <c r="V407" s="56"/>
      <c r="W407" s="57"/>
      <c r="X407" s="56"/>
      <c r="Y407" s="56"/>
      <c r="Z407" s="56"/>
      <c r="AA407" s="57"/>
      <c r="AB407" s="56"/>
      <c r="AC407" s="56"/>
      <c r="AD407" s="56"/>
      <c r="AE407" s="56"/>
      <c r="AF407" s="56"/>
      <c r="AG407" s="57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1"/>
      <c r="AV407" s="1"/>
    </row>
    <row r="408" spans="1:48" ht="15.75" customHeight="1" x14ac:dyDescent="0.2">
      <c r="A408" s="56"/>
      <c r="B408" s="56"/>
      <c r="C408" s="56"/>
      <c r="D408" s="56"/>
      <c r="E408" s="56"/>
      <c r="F408" s="56"/>
      <c r="G408" s="56"/>
      <c r="H408" s="56"/>
      <c r="I408" s="56"/>
      <c r="J408" s="56"/>
      <c r="K408" s="56"/>
      <c r="L408" s="57"/>
      <c r="M408" s="57"/>
      <c r="N408" s="57"/>
      <c r="O408" s="56"/>
      <c r="P408" s="56"/>
      <c r="Q408" s="56"/>
      <c r="R408" s="56"/>
      <c r="S408" s="56"/>
      <c r="T408" s="56"/>
      <c r="U408" s="56"/>
      <c r="V408" s="56"/>
      <c r="W408" s="57"/>
      <c r="X408" s="56"/>
      <c r="Y408" s="56"/>
      <c r="Z408" s="56"/>
      <c r="AA408" s="57"/>
      <c r="AB408" s="56"/>
      <c r="AC408" s="56"/>
      <c r="AD408" s="56"/>
      <c r="AE408" s="56"/>
      <c r="AF408" s="56"/>
      <c r="AG408" s="57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1"/>
      <c r="AV408" s="1"/>
    </row>
    <row r="409" spans="1:48" ht="15.75" customHeight="1" x14ac:dyDescent="0.2">
      <c r="A409" s="56"/>
      <c r="B409" s="56"/>
      <c r="C409" s="56"/>
      <c r="D409" s="56"/>
      <c r="E409" s="56"/>
      <c r="F409" s="56"/>
      <c r="G409" s="56"/>
      <c r="H409" s="56"/>
      <c r="I409" s="56"/>
      <c r="J409" s="56"/>
      <c r="K409" s="56"/>
      <c r="L409" s="57"/>
      <c r="M409" s="57"/>
      <c r="N409" s="57"/>
      <c r="O409" s="56"/>
      <c r="P409" s="56"/>
      <c r="Q409" s="56"/>
      <c r="R409" s="56"/>
      <c r="S409" s="56"/>
      <c r="T409" s="56"/>
      <c r="U409" s="56"/>
      <c r="V409" s="56"/>
      <c r="W409" s="57"/>
      <c r="X409" s="56"/>
      <c r="Y409" s="56"/>
      <c r="Z409" s="56"/>
      <c r="AA409" s="57"/>
      <c r="AB409" s="56"/>
      <c r="AC409" s="56"/>
      <c r="AD409" s="56"/>
      <c r="AE409" s="56"/>
      <c r="AF409" s="56"/>
      <c r="AG409" s="57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1"/>
      <c r="AV409" s="1"/>
    </row>
    <row r="410" spans="1:48" ht="15.75" customHeight="1" x14ac:dyDescent="0.2">
      <c r="A410" s="56"/>
      <c r="B410" s="56"/>
      <c r="C410" s="56"/>
      <c r="D410" s="56"/>
      <c r="E410" s="56"/>
      <c r="F410" s="56"/>
      <c r="G410" s="56"/>
      <c r="H410" s="56"/>
      <c r="I410" s="56"/>
      <c r="J410" s="56"/>
      <c r="K410" s="56"/>
      <c r="L410" s="57"/>
      <c r="M410" s="57"/>
      <c r="N410" s="57"/>
      <c r="O410" s="56"/>
      <c r="P410" s="56"/>
      <c r="Q410" s="56"/>
      <c r="R410" s="56"/>
      <c r="S410" s="56"/>
      <c r="T410" s="56"/>
      <c r="U410" s="56"/>
      <c r="V410" s="56"/>
      <c r="W410" s="57"/>
      <c r="X410" s="56"/>
      <c r="Y410" s="56"/>
      <c r="Z410" s="56"/>
      <c r="AA410" s="57"/>
      <c r="AB410" s="56"/>
      <c r="AC410" s="56"/>
      <c r="AD410" s="56"/>
      <c r="AE410" s="56"/>
      <c r="AF410" s="56"/>
      <c r="AG410" s="57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1"/>
      <c r="AV410" s="1"/>
    </row>
    <row r="411" spans="1:48" ht="15.75" customHeight="1" x14ac:dyDescent="0.2">
      <c r="A411" s="56"/>
      <c r="B411" s="56"/>
      <c r="C411" s="56"/>
      <c r="D411" s="56"/>
      <c r="E411" s="56"/>
      <c r="F411" s="56"/>
      <c r="G411" s="56"/>
      <c r="H411" s="56"/>
      <c r="I411" s="56"/>
      <c r="J411" s="56"/>
      <c r="K411" s="56"/>
      <c r="L411" s="57"/>
      <c r="M411" s="57"/>
      <c r="N411" s="57"/>
      <c r="O411" s="56"/>
      <c r="P411" s="56"/>
      <c r="Q411" s="56"/>
      <c r="R411" s="56"/>
      <c r="S411" s="56"/>
      <c r="T411" s="56"/>
      <c r="U411" s="56"/>
      <c r="V411" s="56"/>
      <c r="W411" s="57"/>
      <c r="X411" s="56"/>
      <c r="Y411" s="56"/>
      <c r="Z411" s="56"/>
      <c r="AA411" s="57"/>
      <c r="AB411" s="56"/>
      <c r="AC411" s="56"/>
      <c r="AD411" s="56"/>
      <c r="AE411" s="56"/>
      <c r="AF411" s="56"/>
      <c r="AG411" s="57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1"/>
      <c r="AV411" s="1"/>
    </row>
    <row r="412" spans="1:48" ht="15.75" customHeight="1" x14ac:dyDescent="0.2">
      <c r="A412" s="56"/>
      <c r="B412" s="56"/>
      <c r="C412" s="56"/>
      <c r="D412" s="56"/>
      <c r="E412" s="56"/>
      <c r="F412" s="56"/>
      <c r="G412" s="56"/>
      <c r="H412" s="56"/>
      <c r="I412" s="56"/>
      <c r="J412" s="56"/>
      <c r="K412" s="56"/>
      <c r="L412" s="57"/>
      <c r="M412" s="57"/>
      <c r="N412" s="57"/>
      <c r="O412" s="56"/>
      <c r="P412" s="56"/>
      <c r="Q412" s="56"/>
      <c r="R412" s="56"/>
      <c r="S412" s="56"/>
      <c r="T412" s="56"/>
      <c r="U412" s="56"/>
      <c r="V412" s="56"/>
      <c r="W412" s="57"/>
      <c r="X412" s="56"/>
      <c r="Y412" s="56"/>
      <c r="Z412" s="56"/>
      <c r="AA412" s="57"/>
      <c r="AB412" s="56"/>
      <c r="AC412" s="56"/>
      <c r="AD412" s="56"/>
      <c r="AE412" s="56"/>
      <c r="AF412" s="56"/>
      <c r="AG412" s="57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1"/>
      <c r="AV412" s="1"/>
    </row>
    <row r="413" spans="1:48" ht="15.75" customHeight="1" x14ac:dyDescent="0.2">
      <c r="A413" s="56"/>
      <c r="B413" s="56"/>
      <c r="C413" s="56"/>
      <c r="D413" s="56"/>
      <c r="E413" s="56"/>
      <c r="F413" s="56"/>
      <c r="G413" s="56"/>
      <c r="H413" s="56"/>
      <c r="I413" s="56"/>
      <c r="J413" s="56"/>
      <c r="K413" s="56"/>
      <c r="L413" s="57"/>
      <c r="M413" s="57"/>
      <c r="N413" s="57"/>
      <c r="O413" s="56"/>
      <c r="P413" s="56"/>
      <c r="Q413" s="56"/>
      <c r="R413" s="56"/>
      <c r="S413" s="56"/>
      <c r="T413" s="56"/>
      <c r="U413" s="56"/>
      <c r="V413" s="56"/>
      <c r="W413" s="57"/>
      <c r="X413" s="56"/>
      <c r="Y413" s="56"/>
      <c r="Z413" s="56"/>
      <c r="AA413" s="57"/>
      <c r="AB413" s="56"/>
      <c r="AC413" s="56"/>
      <c r="AD413" s="56"/>
      <c r="AE413" s="56"/>
      <c r="AF413" s="56"/>
      <c r="AG413" s="57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1"/>
      <c r="AV413" s="1"/>
    </row>
    <row r="414" spans="1:48" ht="15.75" customHeight="1" x14ac:dyDescent="0.2">
      <c r="A414" s="56"/>
      <c r="B414" s="56"/>
      <c r="C414" s="56"/>
      <c r="D414" s="56"/>
      <c r="E414" s="56"/>
      <c r="F414" s="56"/>
      <c r="G414" s="56"/>
      <c r="H414" s="56"/>
      <c r="I414" s="56"/>
      <c r="J414" s="56"/>
      <c r="K414" s="56"/>
      <c r="L414" s="57"/>
      <c r="M414" s="57"/>
      <c r="N414" s="57"/>
      <c r="O414" s="56"/>
      <c r="P414" s="56"/>
      <c r="Q414" s="56"/>
      <c r="R414" s="56"/>
      <c r="S414" s="56"/>
      <c r="T414" s="56"/>
      <c r="U414" s="56"/>
      <c r="V414" s="56"/>
      <c r="W414" s="57"/>
      <c r="X414" s="56"/>
      <c r="Y414" s="56"/>
      <c r="Z414" s="56"/>
      <c r="AA414" s="57"/>
      <c r="AB414" s="56"/>
      <c r="AC414" s="56"/>
      <c r="AD414" s="56"/>
      <c r="AE414" s="56"/>
      <c r="AF414" s="56"/>
      <c r="AG414" s="57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1"/>
      <c r="AV414" s="1"/>
    </row>
    <row r="415" spans="1:48" ht="15.75" customHeight="1" x14ac:dyDescent="0.2">
      <c r="A415" s="56"/>
      <c r="B415" s="56"/>
      <c r="C415" s="56"/>
      <c r="D415" s="56"/>
      <c r="E415" s="56"/>
      <c r="F415" s="56"/>
      <c r="G415" s="56"/>
      <c r="H415" s="56"/>
      <c r="I415" s="56"/>
      <c r="J415" s="56"/>
      <c r="K415" s="56"/>
      <c r="L415" s="57"/>
      <c r="M415" s="57"/>
      <c r="N415" s="57"/>
      <c r="O415" s="56"/>
      <c r="P415" s="56"/>
      <c r="Q415" s="56"/>
      <c r="R415" s="56"/>
      <c r="S415" s="56"/>
      <c r="T415" s="56"/>
      <c r="U415" s="56"/>
      <c r="V415" s="56"/>
      <c r="W415" s="57"/>
      <c r="X415" s="56"/>
      <c r="Y415" s="56"/>
      <c r="Z415" s="56"/>
      <c r="AA415" s="57"/>
      <c r="AB415" s="56"/>
      <c r="AC415" s="56"/>
      <c r="AD415" s="56"/>
      <c r="AE415" s="56"/>
      <c r="AF415" s="56"/>
      <c r="AG415" s="57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1"/>
      <c r="AV415" s="1"/>
    </row>
    <row r="416" spans="1:48" ht="15.75" customHeight="1" x14ac:dyDescent="0.2">
      <c r="A416" s="56"/>
      <c r="B416" s="56"/>
      <c r="C416" s="56"/>
      <c r="D416" s="56"/>
      <c r="E416" s="56"/>
      <c r="F416" s="56"/>
      <c r="G416" s="56"/>
      <c r="H416" s="56"/>
      <c r="I416" s="56"/>
      <c r="J416" s="56"/>
      <c r="K416" s="56"/>
      <c r="L416" s="57"/>
      <c r="M416" s="57"/>
      <c r="N416" s="57"/>
      <c r="O416" s="56"/>
      <c r="P416" s="56"/>
      <c r="Q416" s="56"/>
      <c r="R416" s="56"/>
      <c r="S416" s="56"/>
      <c r="T416" s="56"/>
      <c r="U416" s="56"/>
      <c r="V416" s="56"/>
      <c r="W416" s="57"/>
      <c r="X416" s="56"/>
      <c r="Y416" s="56"/>
      <c r="Z416" s="56"/>
      <c r="AA416" s="57"/>
      <c r="AB416" s="56"/>
      <c r="AC416" s="56"/>
      <c r="AD416" s="56"/>
      <c r="AE416" s="56"/>
      <c r="AF416" s="56"/>
      <c r="AG416" s="57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1"/>
      <c r="AV416" s="1"/>
    </row>
    <row r="417" spans="1:48" ht="15.75" customHeight="1" x14ac:dyDescent="0.2">
      <c r="A417" s="56"/>
      <c r="B417" s="56"/>
      <c r="C417" s="56"/>
      <c r="D417" s="56"/>
      <c r="E417" s="56"/>
      <c r="F417" s="56"/>
      <c r="G417" s="56"/>
      <c r="H417" s="56"/>
      <c r="I417" s="56"/>
      <c r="J417" s="56"/>
      <c r="K417" s="56"/>
      <c r="L417" s="57"/>
      <c r="M417" s="57"/>
      <c r="N417" s="57"/>
      <c r="O417" s="56"/>
      <c r="P417" s="56"/>
      <c r="Q417" s="56"/>
      <c r="R417" s="56"/>
      <c r="S417" s="56"/>
      <c r="T417" s="56"/>
      <c r="U417" s="56"/>
      <c r="V417" s="56"/>
      <c r="W417" s="57"/>
      <c r="X417" s="56"/>
      <c r="Y417" s="56"/>
      <c r="Z417" s="56"/>
      <c r="AA417" s="57"/>
      <c r="AB417" s="56"/>
      <c r="AC417" s="56"/>
      <c r="AD417" s="56"/>
      <c r="AE417" s="56"/>
      <c r="AF417" s="56"/>
      <c r="AG417" s="57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1"/>
      <c r="AV417" s="1"/>
    </row>
    <row r="418" spans="1:48" ht="15.75" customHeight="1" x14ac:dyDescent="0.2">
      <c r="A418" s="56"/>
      <c r="B418" s="56"/>
      <c r="C418" s="56"/>
      <c r="D418" s="56"/>
      <c r="E418" s="56"/>
      <c r="F418" s="56"/>
      <c r="G418" s="56"/>
      <c r="H418" s="56"/>
      <c r="I418" s="56"/>
      <c r="J418" s="56"/>
      <c r="K418" s="56"/>
      <c r="L418" s="57"/>
      <c r="M418" s="57"/>
      <c r="N418" s="57"/>
      <c r="O418" s="56"/>
      <c r="P418" s="56"/>
      <c r="Q418" s="56"/>
      <c r="R418" s="56"/>
      <c r="S418" s="56"/>
      <c r="T418" s="56"/>
      <c r="U418" s="56"/>
      <c r="V418" s="56"/>
      <c r="W418" s="57"/>
      <c r="X418" s="56"/>
      <c r="Y418" s="56"/>
      <c r="Z418" s="56"/>
      <c r="AA418" s="57"/>
      <c r="AB418" s="56"/>
      <c r="AC418" s="56"/>
      <c r="AD418" s="56"/>
      <c r="AE418" s="56"/>
      <c r="AF418" s="56"/>
      <c r="AG418" s="57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1"/>
      <c r="AV418" s="1"/>
    </row>
    <row r="419" spans="1:48" ht="15.75" customHeight="1" x14ac:dyDescent="0.2">
      <c r="A419" s="56"/>
      <c r="B419" s="56"/>
      <c r="C419" s="56"/>
      <c r="D419" s="56"/>
      <c r="E419" s="56"/>
      <c r="F419" s="56"/>
      <c r="G419" s="56"/>
      <c r="H419" s="56"/>
      <c r="I419" s="56"/>
      <c r="J419" s="56"/>
      <c r="K419" s="56"/>
      <c r="L419" s="57"/>
      <c r="M419" s="57"/>
      <c r="N419" s="57"/>
      <c r="O419" s="56"/>
      <c r="P419" s="56"/>
      <c r="Q419" s="56"/>
      <c r="R419" s="56"/>
      <c r="S419" s="56"/>
      <c r="T419" s="56"/>
      <c r="U419" s="56"/>
      <c r="V419" s="56"/>
      <c r="W419" s="57"/>
      <c r="X419" s="56"/>
      <c r="Y419" s="56"/>
      <c r="Z419" s="56"/>
      <c r="AA419" s="57"/>
      <c r="AB419" s="56"/>
      <c r="AC419" s="56"/>
      <c r="AD419" s="56"/>
      <c r="AE419" s="56"/>
      <c r="AF419" s="56"/>
      <c r="AG419" s="57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1"/>
      <c r="AV419" s="1"/>
    </row>
    <row r="420" spans="1:48" ht="15.75" customHeight="1" x14ac:dyDescent="0.2">
      <c r="A420" s="56"/>
      <c r="B420" s="56"/>
      <c r="C420" s="56"/>
      <c r="D420" s="56"/>
      <c r="E420" s="56"/>
      <c r="F420" s="56"/>
      <c r="G420" s="56"/>
      <c r="H420" s="56"/>
      <c r="I420" s="56"/>
      <c r="J420" s="56"/>
      <c r="K420" s="56"/>
      <c r="L420" s="57"/>
      <c r="M420" s="57"/>
      <c r="N420" s="57"/>
      <c r="O420" s="56"/>
      <c r="P420" s="56"/>
      <c r="Q420" s="56"/>
      <c r="R420" s="56"/>
      <c r="S420" s="56"/>
      <c r="T420" s="56"/>
      <c r="U420" s="56"/>
      <c r="V420" s="56"/>
      <c r="W420" s="57"/>
      <c r="X420" s="56"/>
      <c r="Y420" s="56"/>
      <c r="Z420" s="56"/>
      <c r="AA420" s="57"/>
      <c r="AB420" s="56"/>
      <c r="AC420" s="56"/>
      <c r="AD420" s="56"/>
      <c r="AE420" s="56"/>
      <c r="AF420" s="56"/>
      <c r="AG420" s="57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1"/>
      <c r="AV420" s="1"/>
    </row>
    <row r="421" spans="1:48" ht="15.75" customHeight="1" x14ac:dyDescent="0.2">
      <c r="A421" s="56"/>
      <c r="B421" s="56"/>
      <c r="C421" s="56"/>
      <c r="D421" s="56"/>
      <c r="E421" s="56"/>
      <c r="F421" s="56"/>
      <c r="G421" s="56"/>
      <c r="H421" s="56"/>
      <c r="I421" s="56"/>
      <c r="J421" s="56"/>
      <c r="K421" s="56"/>
      <c r="L421" s="57"/>
      <c r="M421" s="57"/>
      <c r="N421" s="57"/>
      <c r="O421" s="56"/>
      <c r="P421" s="56"/>
      <c r="Q421" s="56"/>
      <c r="R421" s="56"/>
      <c r="S421" s="56"/>
      <c r="T421" s="56"/>
      <c r="U421" s="56"/>
      <c r="V421" s="56"/>
      <c r="W421" s="57"/>
      <c r="X421" s="56"/>
      <c r="Y421" s="56"/>
      <c r="Z421" s="56"/>
      <c r="AA421" s="57"/>
      <c r="AB421" s="56"/>
      <c r="AC421" s="56"/>
      <c r="AD421" s="56"/>
      <c r="AE421" s="56"/>
      <c r="AF421" s="56"/>
      <c r="AG421" s="57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1"/>
      <c r="AV421" s="1"/>
    </row>
    <row r="422" spans="1:48" ht="15.75" customHeight="1" x14ac:dyDescent="0.2">
      <c r="A422" s="56"/>
      <c r="B422" s="56"/>
      <c r="C422" s="56"/>
      <c r="D422" s="56"/>
      <c r="E422" s="56"/>
      <c r="F422" s="56"/>
      <c r="G422" s="56"/>
      <c r="H422" s="56"/>
      <c r="I422" s="56"/>
      <c r="J422" s="56"/>
      <c r="K422" s="56"/>
      <c r="L422" s="57"/>
      <c r="M422" s="57"/>
      <c r="N422" s="57"/>
      <c r="O422" s="56"/>
      <c r="P422" s="56"/>
      <c r="Q422" s="56"/>
      <c r="R422" s="56"/>
      <c r="S422" s="56"/>
      <c r="T422" s="56"/>
      <c r="U422" s="56"/>
      <c r="V422" s="56"/>
      <c r="W422" s="57"/>
      <c r="X422" s="56"/>
      <c r="Y422" s="56"/>
      <c r="Z422" s="56"/>
      <c r="AA422" s="57"/>
      <c r="AB422" s="56"/>
      <c r="AC422" s="56"/>
      <c r="AD422" s="56"/>
      <c r="AE422" s="56"/>
      <c r="AF422" s="56"/>
      <c r="AG422" s="57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1"/>
      <c r="AV422" s="1"/>
    </row>
    <row r="423" spans="1:48" ht="15.75" customHeight="1" x14ac:dyDescent="0.2">
      <c r="A423" s="56"/>
      <c r="B423" s="56"/>
      <c r="C423" s="56"/>
      <c r="D423" s="56"/>
      <c r="E423" s="56"/>
      <c r="F423" s="56"/>
      <c r="G423" s="56"/>
      <c r="H423" s="56"/>
      <c r="I423" s="56"/>
      <c r="J423" s="56"/>
      <c r="K423" s="56"/>
      <c r="L423" s="57"/>
      <c r="M423" s="57"/>
      <c r="N423" s="57"/>
      <c r="O423" s="56"/>
      <c r="P423" s="56"/>
      <c r="Q423" s="56"/>
      <c r="R423" s="56"/>
      <c r="S423" s="56"/>
      <c r="T423" s="56"/>
      <c r="U423" s="56"/>
      <c r="V423" s="56"/>
      <c r="W423" s="57"/>
      <c r="X423" s="56"/>
      <c r="Y423" s="56"/>
      <c r="Z423" s="56"/>
      <c r="AA423" s="57"/>
      <c r="AB423" s="56"/>
      <c r="AC423" s="56"/>
      <c r="AD423" s="56"/>
      <c r="AE423" s="56"/>
      <c r="AF423" s="56"/>
      <c r="AG423" s="57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1"/>
      <c r="AV423" s="1"/>
    </row>
    <row r="424" spans="1:48" ht="15.75" customHeight="1" x14ac:dyDescent="0.2">
      <c r="A424" s="56"/>
      <c r="B424" s="56"/>
      <c r="C424" s="56"/>
      <c r="D424" s="56"/>
      <c r="E424" s="56"/>
      <c r="F424" s="56"/>
      <c r="G424" s="56"/>
      <c r="H424" s="56"/>
      <c r="I424" s="56"/>
      <c r="J424" s="56"/>
      <c r="K424" s="56"/>
      <c r="L424" s="57"/>
      <c r="M424" s="57"/>
      <c r="N424" s="57"/>
      <c r="O424" s="56"/>
      <c r="P424" s="56"/>
      <c r="Q424" s="56"/>
      <c r="R424" s="56"/>
      <c r="S424" s="56"/>
      <c r="T424" s="56"/>
      <c r="U424" s="56"/>
      <c r="V424" s="56"/>
      <c r="W424" s="57"/>
      <c r="X424" s="56"/>
      <c r="Y424" s="56"/>
      <c r="Z424" s="56"/>
      <c r="AA424" s="57"/>
      <c r="AB424" s="56"/>
      <c r="AC424" s="56"/>
      <c r="AD424" s="56"/>
      <c r="AE424" s="56"/>
      <c r="AF424" s="56"/>
      <c r="AG424" s="57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1"/>
      <c r="AV424" s="1"/>
    </row>
    <row r="425" spans="1:48" ht="15.75" customHeight="1" x14ac:dyDescent="0.2">
      <c r="A425" s="56"/>
      <c r="B425" s="56"/>
      <c r="C425" s="56"/>
      <c r="D425" s="56"/>
      <c r="E425" s="56"/>
      <c r="F425" s="56"/>
      <c r="G425" s="56"/>
      <c r="H425" s="56"/>
      <c r="I425" s="56"/>
      <c r="J425" s="56"/>
      <c r="K425" s="56"/>
      <c r="L425" s="57"/>
      <c r="M425" s="57"/>
      <c r="N425" s="57"/>
      <c r="O425" s="56"/>
      <c r="P425" s="56"/>
      <c r="Q425" s="56"/>
      <c r="R425" s="56"/>
      <c r="S425" s="56"/>
      <c r="T425" s="56"/>
      <c r="U425" s="56"/>
      <c r="V425" s="56"/>
      <c r="W425" s="57"/>
      <c r="X425" s="56"/>
      <c r="Y425" s="56"/>
      <c r="Z425" s="56"/>
      <c r="AA425" s="57"/>
      <c r="AB425" s="56"/>
      <c r="AC425" s="56"/>
      <c r="AD425" s="56"/>
      <c r="AE425" s="56"/>
      <c r="AF425" s="56"/>
      <c r="AG425" s="57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1"/>
      <c r="AV425" s="1"/>
    </row>
    <row r="426" spans="1:48" ht="15.75" customHeight="1" x14ac:dyDescent="0.2">
      <c r="A426" s="56"/>
      <c r="B426" s="56"/>
      <c r="C426" s="56"/>
      <c r="D426" s="56"/>
      <c r="E426" s="56"/>
      <c r="F426" s="56"/>
      <c r="G426" s="56"/>
      <c r="H426" s="56"/>
      <c r="I426" s="56"/>
      <c r="J426" s="56"/>
      <c r="K426" s="56"/>
      <c r="L426" s="57"/>
      <c r="M426" s="57"/>
      <c r="N426" s="57"/>
      <c r="O426" s="56"/>
      <c r="P426" s="56"/>
      <c r="Q426" s="56"/>
      <c r="R426" s="56"/>
      <c r="S426" s="56"/>
      <c r="T426" s="56"/>
      <c r="U426" s="56"/>
      <c r="V426" s="56"/>
      <c r="W426" s="57"/>
      <c r="X426" s="56"/>
      <c r="Y426" s="56"/>
      <c r="Z426" s="56"/>
      <c r="AA426" s="57"/>
      <c r="AB426" s="56"/>
      <c r="AC426" s="56"/>
      <c r="AD426" s="56"/>
      <c r="AE426" s="56"/>
      <c r="AF426" s="56"/>
      <c r="AG426" s="57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1"/>
      <c r="AV426" s="1"/>
    </row>
    <row r="427" spans="1:48" ht="15.75" customHeight="1" x14ac:dyDescent="0.2">
      <c r="A427" s="56"/>
      <c r="B427" s="56"/>
      <c r="C427" s="56"/>
      <c r="D427" s="56"/>
      <c r="E427" s="56"/>
      <c r="F427" s="56"/>
      <c r="G427" s="56"/>
      <c r="H427" s="56"/>
      <c r="I427" s="56"/>
      <c r="J427" s="56"/>
      <c r="K427" s="56"/>
      <c r="L427" s="57"/>
      <c r="M427" s="57"/>
      <c r="N427" s="57"/>
      <c r="O427" s="56"/>
      <c r="P427" s="56"/>
      <c r="Q427" s="56"/>
      <c r="R427" s="56"/>
      <c r="S427" s="56"/>
      <c r="T427" s="56"/>
      <c r="U427" s="56"/>
      <c r="V427" s="56"/>
      <c r="W427" s="57"/>
      <c r="X427" s="56"/>
      <c r="Y427" s="56"/>
      <c r="Z427" s="56"/>
      <c r="AA427" s="57"/>
      <c r="AB427" s="56"/>
      <c r="AC427" s="56"/>
      <c r="AD427" s="56"/>
      <c r="AE427" s="56"/>
      <c r="AF427" s="56"/>
      <c r="AG427" s="57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1"/>
      <c r="AV427" s="1"/>
    </row>
    <row r="428" spans="1:48" ht="15.75" customHeight="1" x14ac:dyDescent="0.2">
      <c r="A428" s="56"/>
      <c r="B428" s="56"/>
      <c r="C428" s="56"/>
      <c r="D428" s="56"/>
      <c r="E428" s="56"/>
      <c r="F428" s="56"/>
      <c r="G428" s="56"/>
      <c r="H428" s="56"/>
      <c r="I428" s="56"/>
      <c r="J428" s="56"/>
      <c r="K428" s="56"/>
      <c r="L428" s="57"/>
      <c r="M428" s="57"/>
      <c r="N428" s="57"/>
      <c r="O428" s="56"/>
      <c r="P428" s="56"/>
      <c r="Q428" s="56"/>
      <c r="R428" s="56"/>
      <c r="S428" s="56"/>
      <c r="T428" s="56"/>
      <c r="U428" s="56"/>
      <c r="V428" s="56"/>
      <c r="W428" s="57"/>
      <c r="X428" s="56"/>
      <c r="Y428" s="56"/>
      <c r="Z428" s="56"/>
      <c r="AA428" s="57"/>
      <c r="AB428" s="56"/>
      <c r="AC428" s="56"/>
      <c r="AD428" s="56"/>
      <c r="AE428" s="56"/>
      <c r="AF428" s="56"/>
      <c r="AG428" s="57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1"/>
      <c r="AV428" s="1"/>
    </row>
    <row r="429" spans="1:48" ht="15.75" customHeight="1" x14ac:dyDescent="0.2">
      <c r="A429" s="56"/>
      <c r="B429" s="56"/>
      <c r="C429" s="56"/>
      <c r="D429" s="56"/>
      <c r="E429" s="56"/>
      <c r="F429" s="56"/>
      <c r="G429" s="56"/>
      <c r="H429" s="56"/>
      <c r="I429" s="56"/>
      <c r="J429" s="56"/>
      <c r="K429" s="56"/>
      <c r="L429" s="57"/>
      <c r="M429" s="57"/>
      <c r="N429" s="57"/>
      <c r="O429" s="56"/>
      <c r="P429" s="56"/>
      <c r="Q429" s="56"/>
      <c r="R429" s="56"/>
      <c r="S429" s="56"/>
      <c r="T429" s="56"/>
      <c r="U429" s="56"/>
      <c r="V429" s="56"/>
      <c r="W429" s="57"/>
      <c r="X429" s="56"/>
      <c r="Y429" s="56"/>
      <c r="Z429" s="56"/>
      <c r="AA429" s="57"/>
      <c r="AB429" s="56"/>
      <c r="AC429" s="56"/>
      <c r="AD429" s="56"/>
      <c r="AE429" s="56"/>
      <c r="AF429" s="56"/>
      <c r="AG429" s="57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1"/>
      <c r="AV429" s="1"/>
    </row>
    <row r="430" spans="1:48" ht="15.75" customHeight="1" x14ac:dyDescent="0.2">
      <c r="A430" s="56"/>
      <c r="B430" s="56"/>
      <c r="C430" s="56"/>
      <c r="D430" s="56"/>
      <c r="E430" s="56"/>
      <c r="F430" s="56"/>
      <c r="G430" s="56"/>
      <c r="H430" s="56"/>
      <c r="I430" s="56"/>
      <c r="J430" s="56"/>
      <c r="K430" s="56"/>
      <c r="L430" s="57"/>
      <c r="M430" s="57"/>
      <c r="N430" s="57"/>
      <c r="O430" s="56"/>
      <c r="P430" s="56"/>
      <c r="Q430" s="56"/>
      <c r="R430" s="56"/>
      <c r="S430" s="56"/>
      <c r="T430" s="56"/>
      <c r="U430" s="56"/>
      <c r="V430" s="56"/>
      <c r="W430" s="57"/>
      <c r="X430" s="56"/>
      <c r="Y430" s="56"/>
      <c r="Z430" s="56"/>
      <c r="AA430" s="57"/>
      <c r="AB430" s="56"/>
      <c r="AC430" s="56"/>
      <c r="AD430" s="56"/>
      <c r="AE430" s="56"/>
      <c r="AF430" s="56"/>
      <c r="AG430" s="57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1"/>
      <c r="AV430" s="1"/>
    </row>
    <row r="431" spans="1:48" ht="15.75" customHeight="1" x14ac:dyDescent="0.2">
      <c r="A431" s="56"/>
      <c r="B431" s="56"/>
      <c r="C431" s="56"/>
      <c r="D431" s="56"/>
      <c r="E431" s="56"/>
      <c r="F431" s="56"/>
      <c r="G431" s="56"/>
      <c r="H431" s="56"/>
      <c r="I431" s="56"/>
      <c r="J431" s="56"/>
      <c r="K431" s="56"/>
      <c r="L431" s="57"/>
      <c r="M431" s="57"/>
      <c r="N431" s="57"/>
      <c r="O431" s="56"/>
      <c r="P431" s="56"/>
      <c r="Q431" s="56"/>
      <c r="R431" s="56"/>
      <c r="S431" s="56"/>
      <c r="T431" s="56"/>
      <c r="U431" s="56"/>
      <c r="V431" s="56"/>
      <c r="W431" s="57"/>
      <c r="X431" s="56"/>
      <c r="Y431" s="56"/>
      <c r="Z431" s="56"/>
      <c r="AA431" s="57"/>
      <c r="AB431" s="56"/>
      <c r="AC431" s="56"/>
      <c r="AD431" s="56"/>
      <c r="AE431" s="56"/>
      <c r="AF431" s="56"/>
      <c r="AG431" s="57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1"/>
      <c r="AV431" s="1"/>
    </row>
    <row r="432" spans="1:48" ht="15.75" customHeight="1" x14ac:dyDescent="0.2">
      <c r="A432" s="56"/>
      <c r="B432" s="56"/>
      <c r="C432" s="56"/>
      <c r="D432" s="56"/>
      <c r="E432" s="56"/>
      <c r="F432" s="56"/>
      <c r="G432" s="56"/>
      <c r="H432" s="56"/>
      <c r="I432" s="56"/>
      <c r="J432" s="56"/>
      <c r="K432" s="56"/>
      <c r="L432" s="57"/>
      <c r="M432" s="57"/>
      <c r="N432" s="57"/>
      <c r="O432" s="56"/>
      <c r="P432" s="56"/>
      <c r="Q432" s="56"/>
      <c r="R432" s="56"/>
      <c r="S432" s="56"/>
      <c r="T432" s="56"/>
      <c r="U432" s="56"/>
      <c r="V432" s="56"/>
      <c r="W432" s="57"/>
      <c r="X432" s="56"/>
      <c r="Y432" s="56"/>
      <c r="Z432" s="56"/>
      <c r="AA432" s="57"/>
      <c r="AB432" s="56"/>
      <c r="AC432" s="56"/>
      <c r="AD432" s="56"/>
      <c r="AE432" s="56"/>
      <c r="AF432" s="56"/>
      <c r="AG432" s="57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1"/>
      <c r="AV432" s="1"/>
    </row>
    <row r="433" spans="1:48" ht="15.75" customHeight="1" x14ac:dyDescent="0.2">
      <c r="A433" s="56"/>
      <c r="B433" s="56"/>
      <c r="C433" s="56"/>
      <c r="D433" s="56"/>
      <c r="E433" s="56"/>
      <c r="F433" s="56"/>
      <c r="G433" s="56"/>
      <c r="H433" s="56"/>
      <c r="I433" s="56"/>
      <c r="J433" s="56"/>
      <c r="K433" s="56"/>
      <c r="L433" s="57"/>
      <c r="M433" s="57"/>
      <c r="N433" s="57"/>
      <c r="O433" s="56"/>
      <c r="P433" s="56"/>
      <c r="Q433" s="56"/>
      <c r="R433" s="56"/>
      <c r="S433" s="56"/>
      <c r="T433" s="56"/>
      <c r="U433" s="56"/>
      <c r="V433" s="56"/>
      <c r="W433" s="57"/>
      <c r="X433" s="56"/>
      <c r="Y433" s="56"/>
      <c r="Z433" s="56"/>
      <c r="AA433" s="57"/>
      <c r="AB433" s="56"/>
      <c r="AC433" s="56"/>
      <c r="AD433" s="56"/>
      <c r="AE433" s="56"/>
      <c r="AF433" s="56"/>
      <c r="AG433" s="57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1"/>
      <c r="AV433" s="1"/>
    </row>
    <row r="434" spans="1:48" ht="15.75" customHeight="1" x14ac:dyDescent="0.2">
      <c r="A434" s="56"/>
      <c r="B434" s="56"/>
      <c r="C434" s="56"/>
      <c r="D434" s="56"/>
      <c r="E434" s="56"/>
      <c r="F434" s="56"/>
      <c r="G434" s="56"/>
      <c r="H434" s="56"/>
      <c r="I434" s="56"/>
      <c r="J434" s="56"/>
      <c r="K434" s="56"/>
      <c r="L434" s="57"/>
      <c r="M434" s="57"/>
      <c r="N434" s="57"/>
      <c r="O434" s="56"/>
      <c r="P434" s="56"/>
      <c r="Q434" s="56"/>
      <c r="R434" s="56"/>
      <c r="S434" s="56"/>
      <c r="T434" s="56"/>
      <c r="U434" s="56"/>
      <c r="V434" s="56"/>
      <c r="W434" s="57"/>
      <c r="X434" s="56"/>
      <c r="Y434" s="56"/>
      <c r="Z434" s="56"/>
      <c r="AA434" s="57"/>
      <c r="AB434" s="56"/>
      <c r="AC434" s="56"/>
      <c r="AD434" s="56"/>
      <c r="AE434" s="56"/>
      <c r="AF434" s="56"/>
      <c r="AG434" s="57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1"/>
      <c r="AV434" s="1"/>
    </row>
    <row r="435" spans="1:48" ht="15.75" customHeight="1" x14ac:dyDescent="0.2">
      <c r="A435" s="56"/>
      <c r="B435" s="56"/>
      <c r="C435" s="56"/>
      <c r="D435" s="56"/>
      <c r="E435" s="56"/>
      <c r="F435" s="56"/>
      <c r="G435" s="56"/>
      <c r="H435" s="56"/>
      <c r="I435" s="56"/>
      <c r="J435" s="56"/>
      <c r="K435" s="56"/>
      <c r="L435" s="57"/>
      <c r="M435" s="57"/>
      <c r="N435" s="57"/>
      <c r="O435" s="56"/>
      <c r="P435" s="56"/>
      <c r="Q435" s="56"/>
      <c r="R435" s="56"/>
      <c r="S435" s="56"/>
      <c r="T435" s="56"/>
      <c r="U435" s="56"/>
      <c r="V435" s="56"/>
      <c r="W435" s="57"/>
      <c r="X435" s="56"/>
      <c r="Y435" s="56"/>
      <c r="Z435" s="56"/>
      <c r="AA435" s="57"/>
      <c r="AB435" s="56"/>
      <c r="AC435" s="56"/>
      <c r="AD435" s="56"/>
      <c r="AE435" s="56"/>
      <c r="AF435" s="56"/>
      <c r="AG435" s="57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1"/>
      <c r="AV435" s="1"/>
    </row>
    <row r="436" spans="1:48" ht="15.75" customHeight="1" x14ac:dyDescent="0.2">
      <c r="A436" s="56"/>
      <c r="B436" s="56"/>
      <c r="C436" s="56"/>
      <c r="D436" s="56"/>
      <c r="E436" s="56"/>
      <c r="F436" s="56"/>
      <c r="G436" s="56"/>
      <c r="H436" s="56"/>
      <c r="I436" s="56"/>
      <c r="J436" s="56"/>
      <c r="K436" s="56"/>
      <c r="L436" s="57"/>
      <c r="M436" s="57"/>
      <c r="N436" s="57"/>
      <c r="O436" s="56"/>
      <c r="P436" s="56"/>
      <c r="Q436" s="56"/>
      <c r="R436" s="56"/>
      <c r="S436" s="56"/>
      <c r="T436" s="56"/>
      <c r="U436" s="56"/>
      <c r="V436" s="56"/>
      <c r="W436" s="57"/>
      <c r="X436" s="56"/>
      <c r="Y436" s="56"/>
      <c r="Z436" s="56"/>
      <c r="AA436" s="57"/>
      <c r="AB436" s="56"/>
      <c r="AC436" s="56"/>
      <c r="AD436" s="56"/>
      <c r="AE436" s="56"/>
      <c r="AF436" s="56"/>
      <c r="AG436" s="57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1"/>
      <c r="AV436" s="1"/>
    </row>
    <row r="437" spans="1:48" ht="15.75" customHeight="1" x14ac:dyDescent="0.2">
      <c r="A437" s="56"/>
      <c r="B437" s="56"/>
      <c r="C437" s="56"/>
      <c r="D437" s="56"/>
      <c r="E437" s="56"/>
      <c r="F437" s="56"/>
      <c r="G437" s="56"/>
      <c r="H437" s="56"/>
      <c r="I437" s="56"/>
      <c r="J437" s="56"/>
      <c r="K437" s="56"/>
      <c r="L437" s="57"/>
      <c r="M437" s="57"/>
      <c r="N437" s="57"/>
      <c r="O437" s="56"/>
      <c r="P437" s="56"/>
      <c r="Q437" s="56"/>
      <c r="R437" s="56"/>
      <c r="S437" s="56"/>
      <c r="T437" s="56"/>
      <c r="U437" s="56"/>
      <c r="V437" s="56"/>
      <c r="W437" s="57"/>
      <c r="X437" s="56"/>
      <c r="Y437" s="56"/>
      <c r="Z437" s="56"/>
      <c r="AA437" s="57"/>
      <c r="AB437" s="56"/>
      <c r="AC437" s="56"/>
      <c r="AD437" s="56"/>
      <c r="AE437" s="56"/>
      <c r="AF437" s="56"/>
      <c r="AG437" s="57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1"/>
      <c r="AV437" s="1"/>
    </row>
    <row r="438" spans="1:48" ht="15.75" customHeight="1" x14ac:dyDescent="0.2">
      <c r="A438" s="56"/>
      <c r="B438" s="56"/>
      <c r="C438" s="56"/>
      <c r="D438" s="56"/>
      <c r="E438" s="56"/>
      <c r="F438" s="56"/>
      <c r="G438" s="56"/>
      <c r="H438" s="56"/>
      <c r="I438" s="56"/>
      <c r="J438" s="56"/>
      <c r="K438" s="56"/>
      <c r="L438" s="57"/>
      <c r="M438" s="57"/>
      <c r="N438" s="57"/>
      <c r="O438" s="56"/>
      <c r="P438" s="56"/>
      <c r="Q438" s="56"/>
      <c r="R438" s="56"/>
      <c r="S438" s="56"/>
      <c r="T438" s="56"/>
      <c r="U438" s="56"/>
      <c r="V438" s="56"/>
      <c r="W438" s="57"/>
      <c r="X438" s="56"/>
      <c r="Y438" s="56"/>
      <c r="Z438" s="56"/>
      <c r="AA438" s="57"/>
      <c r="AB438" s="56"/>
      <c r="AC438" s="56"/>
      <c r="AD438" s="56"/>
      <c r="AE438" s="56"/>
      <c r="AF438" s="56"/>
      <c r="AG438" s="57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1"/>
      <c r="AV438" s="1"/>
    </row>
    <row r="439" spans="1:48" ht="15.75" customHeight="1" x14ac:dyDescent="0.2">
      <c r="A439" s="56"/>
      <c r="B439" s="56"/>
      <c r="C439" s="56"/>
      <c r="D439" s="56"/>
      <c r="E439" s="56"/>
      <c r="F439" s="56"/>
      <c r="G439" s="56"/>
      <c r="H439" s="56"/>
      <c r="I439" s="56"/>
      <c r="J439" s="56"/>
      <c r="K439" s="56"/>
      <c r="L439" s="57"/>
      <c r="M439" s="57"/>
      <c r="N439" s="57"/>
      <c r="O439" s="56"/>
      <c r="P439" s="56"/>
      <c r="Q439" s="56"/>
      <c r="R439" s="56"/>
      <c r="S439" s="56"/>
      <c r="T439" s="56"/>
      <c r="U439" s="56"/>
      <c r="V439" s="56"/>
      <c r="W439" s="57"/>
      <c r="X439" s="56"/>
      <c r="Y439" s="56"/>
      <c r="Z439" s="56"/>
      <c r="AA439" s="57"/>
      <c r="AB439" s="56"/>
      <c r="AC439" s="56"/>
      <c r="AD439" s="56"/>
      <c r="AE439" s="56"/>
      <c r="AF439" s="56"/>
      <c r="AG439" s="57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1"/>
      <c r="AV439" s="1"/>
    </row>
    <row r="440" spans="1:48" ht="15.75" customHeight="1" x14ac:dyDescent="0.2">
      <c r="A440" s="56"/>
      <c r="B440" s="56"/>
      <c r="C440" s="56"/>
      <c r="D440" s="56"/>
      <c r="E440" s="56"/>
      <c r="F440" s="56"/>
      <c r="G440" s="56"/>
      <c r="H440" s="56"/>
      <c r="I440" s="56"/>
      <c r="J440" s="56"/>
      <c r="K440" s="56"/>
      <c r="L440" s="57"/>
      <c r="M440" s="57"/>
      <c r="N440" s="57"/>
      <c r="O440" s="56"/>
      <c r="P440" s="56"/>
      <c r="Q440" s="56"/>
      <c r="R440" s="56"/>
      <c r="S440" s="56"/>
      <c r="T440" s="56"/>
      <c r="U440" s="56"/>
      <c r="V440" s="56"/>
      <c r="W440" s="57"/>
      <c r="X440" s="56"/>
      <c r="Y440" s="56"/>
      <c r="Z440" s="56"/>
      <c r="AA440" s="57"/>
      <c r="AB440" s="56"/>
      <c r="AC440" s="56"/>
      <c r="AD440" s="56"/>
      <c r="AE440" s="56"/>
      <c r="AF440" s="56"/>
      <c r="AG440" s="57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1"/>
      <c r="AV440" s="1"/>
    </row>
    <row r="441" spans="1:48" ht="15.75" customHeight="1" x14ac:dyDescent="0.2">
      <c r="A441" s="56"/>
      <c r="B441" s="56"/>
      <c r="C441" s="56"/>
      <c r="D441" s="56"/>
      <c r="E441" s="56"/>
      <c r="F441" s="56"/>
      <c r="G441" s="56"/>
      <c r="H441" s="56"/>
      <c r="I441" s="56"/>
      <c r="J441" s="56"/>
      <c r="K441" s="56"/>
      <c r="L441" s="57"/>
      <c r="M441" s="57"/>
      <c r="N441" s="57"/>
      <c r="O441" s="56"/>
      <c r="P441" s="56"/>
      <c r="Q441" s="56"/>
      <c r="R441" s="56"/>
      <c r="S441" s="56"/>
      <c r="T441" s="56"/>
      <c r="U441" s="56"/>
      <c r="V441" s="56"/>
      <c r="W441" s="57"/>
      <c r="X441" s="56"/>
      <c r="Y441" s="56"/>
      <c r="Z441" s="56"/>
      <c r="AA441" s="57"/>
      <c r="AB441" s="56"/>
      <c r="AC441" s="56"/>
      <c r="AD441" s="56"/>
      <c r="AE441" s="56"/>
      <c r="AF441" s="56"/>
      <c r="AG441" s="57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1"/>
      <c r="AV441" s="1"/>
    </row>
    <row r="442" spans="1:48" ht="15.75" customHeight="1" x14ac:dyDescent="0.2">
      <c r="A442" s="56"/>
      <c r="B442" s="56"/>
      <c r="C442" s="56"/>
      <c r="D442" s="56"/>
      <c r="E442" s="56"/>
      <c r="F442" s="56"/>
      <c r="G442" s="56"/>
      <c r="H442" s="56"/>
      <c r="I442" s="56"/>
      <c r="J442" s="56"/>
      <c r="K442" s="56"/>
      <c r="L442" s="57"/>
      <c r="M442" s="57"/>
      <c r="N442" s="57"/>
      <c r="O442" s="56"/>
      <c r="P442" s="56"/>
      <c r="Q442" s="56"/>
      <c r="R442" s="56"/>
      <c r="S442" s="56"/>
      <c r="T442" s="56"/>
      <c r="U442" s="56"/>
      <c r="V442" s="56"/>
      <c r="W442" s="57"/>
      <c r="X442" s="56"/>
      <c r="Y442" s="56"/>
      <c r="Z442" s="56"/>
      <c r="AA442" s="57"/>
      <c r="AB442" s="56"/>
      <c r="AC442" s="56"/>
      <c r="AD442" s="56"/>
      <c r="AE442" s="56"/>
      <c r="AF442" s="56"/>
      <c r="AG442" s="57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1"/>
      <c r="AV442" s="1"/>
    </row>
    <row r="443" spans="1:48" ht="15.75" customHeight="1" x14ac:dyDescent="0.2">
      <c r="A443" s="56"/>
      <c r="B443" s="56"/>
      <c r="C443" s="56"/>
      <c r="D443" s="56"/>
      <c r="E443" s="56"/>
      <c r="F443" s="56"/>
      <c r="G443" s="56"/>
      <c r="H443" s="56"/>
      <c r="I443" s="56"/>
      <c r="J443" s="56"/>
      <c r="K443" s="56"/>
      <c r="L443" s="57"/>
      <c r="M443" s="57"/>
      <c r="N443" s="57"/>
      <c r="O443" s="56"/>
      <c r="P443" s="56"/>
      <c r="Q443" s="56"/>
      <c r="R443" s="56"/>
      <c r="S443" s="56"/>
      <c r="T443" s="56"/>
      <c r="U443" s="56"/>
      <c r="V443" s="56"/>
      <c r="W443" s="57"/>
      <c r="X443" s="56"/>
      <c r="Y443" s="56"/>
      <c r="Z443" s="56"/>
      <c r="AA443" s="57"/>
      <c r="AB443" s="56"/>
      <c r="AC443" s="56"/>
      <c r="AD443" s="56"/>
      <c r="AE443" s="56"/>
      <c r="AF443" s="56"/>
      <c r="AG443" s="57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1"/>
      <c r="AV443" s="1"/>
    </row>
    <row r="444" spans="1:48" ht="15.75" customHeight="1" x14ac:dyDescent="0.2">
      <c r="A444" s="56"/>
      <c r="B444" s="56"/>
      <c r="C444" s="56"/>
      <c r="D444" s="56"/>
      <c r="E444" s="56"/>
      <c r="F444" s="56"/>
      <c r="G444" s="56"/>
      <c r="H444" s="56"/>
      <c r="I444" s="56"/>
      <c r="J444" s="56"/>
      <c r="K444" s="56"/>
      <c r="L444" s="57"/>
      <c r="M444" s="57"/>
      <c r="N444" s="57"/>
      <c r="O444" s="56"/>
      <c r="P444" s="56"/>
      <c r="Q444" s="56"/>
      <c r="R444" s="56"/>
      <c r="S444" s="56"/>
      <c r="T444" s="56"/>
      <c r="U444" s="56"/>
      <c r="V444" s="56"/>
      <c r="W444" s="57"/>
      <c r="X444" s="56"/>
      <c r="Y444" s="56"/>
      <c r="Z444" s="56"/>
      <c r="AA444" s="57"/>
      <c r="AB444" s="56"/>
      <c r="AC444" s="56"/>
      <c r="AD444" s="56"/>
      <c r="AE444" s="56"/>
      <c r="AF444" s="56"/>
      <c r="AG444" s="57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1"/>
      <c r="AV444" s="1"/>
    </row>
    <row r="445" spans="1:48" ht="15.75" customHeight="1" x14ac:dyDescent="0.2">
      <c r="A445" s="56"/>
      <c r="B445" s="56"/>
      <c r="C445" s="56"/>
      <c r="D445" s="56"/>
      <c r="E445" s="56"/>
      <c r="F445" s="56"/>
      <c r="G445" s="56"/>
      <c r="H445" s="56"/>
      <c r="I445" s="56"/>
      <c r="J445" s="56"/>
      <c r="K445" s="56"/>
      <c r="L445" s="57"/>
      <c r="M445" s="57"/>
      <c r="N445" s="57"/>
      <c r="O445" s="56"/>
      <c r="P445" s="56"/>
      <c r="Q445" s="56"/>
      <c r="R445" s="56"/>
      <c r="S445" s="56"/>
      <c r="T445" s="56"/>
      <c r="U445" s="56"/>
      <c r="V445" s="56"/>
      <c r="W445" s="57"/>
      <c r="X445" s="56"/>
      <c r="Y445" s="56"/>
      <c r="Z445" s="56"/>
      <c r="AA445" s="57"/>
      <c r="AB445" s="56"/>
      <c r="AC445" s="56"/>
      <c r="AD445" s="56"/>
      <c r="AE445" s="56"/>
      <c r="AF445" s="56"/>
      <c r="AG445" s="57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1"/>
      <c r="AV445" s="1"/>
    </row>
    <row r="446" spans="1:48" ht="15.75" customHeight="1" x14ac:dyDescent="0.2">
      <c r="A446" s="56"/>
      <c r="B446" s="56"/>
      <c r="C446" s="56"/>
      <c r="D446" s="56"/>
      <c r="E446" s="56"/>
      <c r="F446" s="56"/>
      <c r="G446" s="56"/>
      <c r="H446" s="56"/>
      <c r="I446" s="56"/>
      <c r="J446" s="56"/>
      <c r="K446" s="56"/>
      <c r="L446" s="57"/>
      <c r="M446" s="57"/>
      <c r="N446" s="57"/>
      <c r="O446" s="56"/>
      <c r="P446" s="56"/>
      <c r="Q446" s="56"/>
      <c r="R446" s="56"/>
      <c r="S446" s="56"/>
      <c r="T446" s="56"/>
      <c r="U446" s="56"/>
      <c r="V446" s="56"/>
      <c r="W446" s="57"/>
      <c r="X446" s="56"/>
      <c r="Y446" s="56"/>
      <c r="Z446" s="56"/>
      <c r="AA446" s="57"/>
      <c r="AB446" s="56"/>
      <c r="AC446" s="56"/>
      <c r="AD446" s="56"/>
      <c r="AE446" s="56"/>
      <c r="AF446" s="56"/>
      <c r="AG446" s="57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1"/>
      <c r="AV446" s="1"/>
    </row>
    <row r="447" spans="1:48" ht="15.75" customHeight="1" x14ac:dyDescent="0.2">
      <c r="A447" s="56"/>
      <c r="B447" s="56"/>
      <c r="C447" s="56"/>
      <c r="D447" s="56"/>
      <c r="E447" s="56"/>
      <c r="F447" s="56"/>
      <c r="G447" s="56"/>
      <c r="H447" s="56"/>
      <c r="I447" s="56"/>
      <c r="J447" s="56"/>
      <c r="K447" s="56"/>
      <c r="L447" s="57"/>
      <c r="M447" s="57"/>
      <c r="N447" s="57"/>
      <c r="O447" s="56"/>
      <c r="P447" s="56"/>
      <c r="Q447" s="56"/>
      <c r="R447" s="56"/>
      <c r="S447" s="56"/>
      <c r="T447" s="56"/>
      <c r="U447" s="56"/>
      <c r="V447" s="56"/>
      <c r="W447" s="57"/>
      <c r="X447" s="56"/>
      <c r="Y447" s="56"/>
      <c r="Z447" s="56"/>
      <c r="AA447" s="57"/>
      <c r="AB447" s="56"/>
      <c r="AC447" s="56"/>
      <c r="AD447" s="56"/>
      <c r="AE447" s="56"/>
      <c r="AF447" s="56"/>
      <c r="AG447" s="57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1"/>
      <c r="AV447" s="1"/>
    </row>
    <row r="448" spans="1:48" ht="15.75" customHeight="1" x14ac:dyDescent="0.2">
      <c r="A448" s="56"/>
      <c r="B448" s="56"/>
      <c r="C448" s="56"/>
      <c r="D448" s="56"/>
      <c r="E448" s="56"/>
      <c r="F448" s="56"/>
      <c r="G448" s="56"/>
      <c r="H448" s="56"/>
      <c r="I448" s="56"/>
      <c r="J448" s="56"/>
      <c r="K448" s="56"/>
      <c r="L448" s="57"/>
      <c r="M448" s="57"/>
      <c r="N448" s="57"/>
      <c r="O448" s="56"/>
      <c r="P448" s="56"/>
      <c r="Q448" s="56"/>
      <c r="R448" s="56"/>
      <c r="S448" s="56"/>
      <c r="T448" s="56"/>
      <c r="U448" s="56"/>
      <c r="V448" s="56"/>
      <c r="W448" s="57"/>
      <c r="X448" s="56"/>
      <c r="Y448" s="56"/>
      <c r="Z448" s="56"/>
      <c r="AA448" s="57"/>
      <c r="AB448" s="56"/>
      <c r="AC448" s="56"/>
      <c r="AD448" s="56"/>
      <c r="AE448" s="56"/>
      <c r="AF448" s="56"/>
      <c r="AG448" s="57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1"/>
      <c r="AV448" s="1"/>
    </row>
    <row r="449" spans="1:48" ht="15.75" customHeight="1" x14ac:dyDescent="0.2">
      <c r="A449" s="56"/>
      <c r="B449" s="56"/>
      <c r="C449" s="56"/>
      <c r="D449" s="56"/>
      <c r="E449" s="56"/>
      <c r="F449" s="56"/>
      <c r="G449" s="56"/>
      <c r="H449" s="56"/>
      <c r="I449" s="56"/>
      <c r="J449" s="56"/>
      <c r="K449" s="56"/>
      <c r="L449" s="57"/>
      <c r="M449" s="57"/>
      <c r="N449" s="57"/>
      <c r="O449" s="56"/>
      <c r="P449" s="56"/>
      <c r="Q449" s="56"/>
      <c r="R449" s="56"/>
      <c r="S449" s="56"/>
      <c r="T449" s="56"/>
      <c r="U449" s="56"/>
      <c r="V449" s="56"/>
      <c r="W449" s="57"/>
      <c r="X449" s="56"/>
      <c r="Y449" s="56"/>
      <c r="Z449" s="56"/>
      <c r="AA449" s="57"/>
      <c r="AB449" s="56"/>
      <c r="AC449" s="56"/>
      <c r="AD449" s="56"/>
      <c r="AE449" s="56"/>
      <c r="AF449" s="56"/>
      <c r="AG449" s="57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1"/>
      <c r="AV449" s="1"/>
    </row>
    <row r="450" spans="1:48" ht="15.75" customHeight="1" x14ac:dyDescent="0.2">
      <c r="A450" s="56"/>
      <c r="B450" s="56"/>
      <c r="C450" s="56"/>
      <c r="D450" s="56"/>
      <c r="E450" s="56"/>
      <c r="F450" s="56"/>
      <c r="G450" s="56"/>
      <c r="H450" s="56"/>
      <c r="I450" s="56"/>
      <c r="J450" s="56"/>
      <c r="K450" s="56"/>
      <c r="L450" s="57"/>
      <c r="M450" s="57"/>
      <c r="N450" s="57"/>
      <c r="O450" s="56"/>
      <c r="P450" s="56"/>
      <c r="Q450" s="56"/>
      <c r="R450" s="56"/>
      <c r="S450" s="56"/>
      <c r="T450" s="56"/>
      <c r="U450" s="56"/>
      <c r="V450" s="56"/>
      <c r="W450" s="57"/>
      <c r="X450" s="56"/>
      <c r="Y450" s="56"/>
      <c r="Z450" s="56"/>
      <c r="AA450" s="57"/>
      <c r="AB450" s="56"/>
      <c r="AC450" s="56"/>
      <c r="AD450" s="56"/>
      <c r="AE450" s="56"/>
      <c r="AF450" s="56"/>
      <c r="AG450" s="57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1"/>
      <c r="AV450" s="1"/>
    </row>
    <row r="451" spans="1:48" ht="15.75" customHeight="1" x14ac:dyDescent="0.2">
      <c r="A451" s="56"/>
      <c r="B451" s="56"/>
      <c r="C451" s="56"/>
      <c r="D451" s="56"/>
      <c r="E451" s="56"/>
      <c r="F451" s="56"/>
      <c r="G451" s="56"/>
      <c r="H451" s="56"/>
      <c r="I451" s="56"/>
      <c r="J451" s="56"/>
      <c r="K451" s="56"/>
      <c r="L451" s="57"/>
      <c r="M451" s="57"/>
      <c r="N451" s="57"/>
      <c r="O451" s="56"/>
      <c r="P451" s="56"/>
      <c r="Q451" s="56"/>
      <c r="R451" s="56"/>
      <c r="S451" s="56"/>
      <c r="T451" s="56"/>
      <c r="U451" s="56"/>
      <c r="V451" s="56"/>
      <c r="W451" s="57"/>
      <c r="X451" s="56"/>
      <c r="Y451" s="56"/>
      <c r="Z451" s="56"/>
      <c r="AA451" s="57"/>
      <c r="AB451" s="56"/>
      <c r="AC451" s="56"/>
      <c r="AD451" s="56"/>
      <c r="AE451" s="56"/>
      <c r="AF451" s="56"/>
      <c r="AG451" s="57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1"/>
      <c r="AV451" s="1"/>
    </row>
    <row r="452" spans="1:48" ht="15.75" customHeight="1" x14ac:dyDescent="0.2">
      <c r="A452" s="56"/>
      <c r="B452" s="56"/>
      <c r="C452" s="56"/>
      <c r="D452" s="56"/>
      <c r="E452" s="56"/>
      <c r="F452" s="56"/>
      <c r="G452" s="56"/>
      <c r="H452" s="56"/>
      <c r="I452" s="56"/>
      <c r="J452" s="56"/>
      <c r="K452" s="56"/>
      <c r="L452" s="57"/>
      <c r="M452" s="57"/>
      <c r="N452" s="57"/>
      <c r="O452" s="56"/>
      <c r="P452" s="56"/>
      <c r="Q452" s="56"/>
      <c r="R452" s="56"/>
      <c r="S452" s="56"/>
      <c r="T452" s="56"/>
      <c r="U452" s="56"/>
      <c r="V452" s="56"/>
      <c r="W452" s="57"/>
      <c r="X452" s="56"/>
      <c r="Y452" s="56"/>
      <c r="Z452" s="56"/>
      <c r="AA452" s="57"/>
      <c r="AB452" s="56"/>
      <c r="AC452" s="56"/>
      <c r="AD452" s="56"/>
      <c r="AE452" s="56"/>
      <c r="AF452" s="56"/>
      <c r="AG452" s="57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1"/>
      <c r="AV452" s="1"/>
    </row>
    <row r="453" spans="1:48" ht="15.75" customHeight="1" x14ac:dyDescent="0.2">
      <c r="A453" s="56"/>
      <c r="B453" s="56"/>
      <c r="C453" s="56"/>
      <c r="D453" s="56"/>
      <c r="E453" s="56"/>
      <c r="F453" s="56"/>
      <c r="G453" s="56"/>
      <c r="H453" s="56"/>
      <c r="I453" s="56"/>
      <c r="J453" s="56"/>
      <c r="K453" s="56"/>
      <c r="L453" s="57"/>
      <c r="M453" s="57"/>
      <c r="N453" s="57"/>
      <c r="O453" s="56"/>
      <c r="P453" s="56"/>
      <c r="Q453" s="56"/>
      <c r="R453" s="56"/>
      <c r="S453" s="56"/>
      <c r="T453" s="56"/>
      <c r="U453" s="56"/>
      <c r="V453" s="56"/>
      <c r="W453" s="57"/>
      <c r="X453" s="56"/>
      <c r="Y453" s="56"/>
      <c r="Z453" s="56"/>
      <c r="AA453" s="57"/>
      <c r="AB453" s="56"/>
      <c r="AC453" s="56"/>
      <c r="AD453" s="56"/>
      <c r="AE453" s="56"/>
      <c r="AF453" s="56"/>
      <c r="AG453" s="57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1"/>
      <c r="AV453" s="1"/>
    </row>
    <row r="454" spans="1:48" ht="15.75" customHeight="1" x14ac:dyDescent="0.2">
      <c r="A454" s="56"/>
      <c r="B454" s="56"/>
      <c r="C454" s="56"/>
      <c r="D454" s="56"/>
      <c r="E454" s="56"/>
      <c r="F454" s="56"/>
      <c r="G454" s="56"/>
      <c r="H454" s="56"/>
      <c r="I454" s="56"/>
      <c r="J454" s="56"/>
      <c r="K454" s="56"/>
      <c r="L454" s="57"/>
      <c r="M454" s="57"/>
      <c r="N454" s="57"/>
      <c r="O454" s="56"/>
      <c r="P454" s="56"/>
      <c r="Q454" s="56"/>
      <c r="R454" s="56"/>
      <c r="S454" s="56"/>
      <c r="T454" s="56"/>
      <c r="U454" s="56"/>
      <c r="V454" s="56"/>
      <c r="W454" s="57"/>
      <c r="X454" s="56"/>
      <c r="Y454" s="56"/>
      <c r="Z454" s="56"/>
      <c r="AA454" s="57"/>
      <c r="AB454" s="56"/>
      <c r="AC454" s="56"/>
      <c r="AD454" s="56"/>
      <c r="AE454" s="56"/>
      <c r="AF454" s="56"/>
      <c r="AG454" s="57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1"/>
      <c r="AV454" s="1"/>
    </row>
    <row r="455" spans="1:48" ht="15.75" customHeight="1" x14ac:dyDescent="0.2">
      <c r="A455" s="56"/>
      <c r="B455" s="56"/>
      <c r="C455" s="56"/>
      <c r="D455" s="56"/>
      <c r="E455" s="56"/>
      <c r="F455" s="56"/>
      <c r="G455" s="56"/>
      <c r="H455" s="56"/>
      <c r="I455" s="56"/>
      <c r="J455" s="56"/>
      <c r="K455" s="56"/>
      <c r="L455" s="57"/>
      <c r="M455" s="57"/>
      <c r="N455" s="57"/>
      <c r="O455" s="56"/>
      <c r="P455" s="56"/>
      <c r="Q455" s="56"/>
      <c r="R455" s="56"/>
      <c r="S455" s="56"/>
      <c r="T455" s="56"/>
      <c r="U455" s="56"/>
      <c r="V455" s="56"/>
      <c r="W455" s="57"/>
      <c r="X455" s="56"/>
      <c r="Y455" s="56"/>
      <c r="Z455" s="56"/>
      <c r="AA455" s="57"/>
      <c r="AB455" s="56"/>
      <c r="AC455" s="56"/>
      <c r="AD455" s="56"/>
      <c r="AE455" s="56"/>
      <c r="AF455" s="56"/>
      <c r="AG455" s="57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1"/>
      <c r="AV455" s="1"/>
    </row>
    <row r="456" spans="1:48" ht="15.75" customHeight="1" x14ac:dyDescent="0.2">
      <c r="A456" s="56"/>
      <c r="B456" s="56"/>
      <c r="C456" s="56"/>
      <c r="D456" s="56"/>
      <c r="E456" s="56"/>
      <c r="F456" s="56"/>
      <c r="G456" s="56"/>
      <c r="H456" s="56"/>
      <c r="I456" s="56"/>
      <c r="J456" s="56"/>
      <c r="K456" s="56"/>
      <c r="L456" s="57"/>
      <c r="M456" s="57"/>
      <c r="N456" s="57"/>
      <c r="O456" s="56"/>
      <c r="P456" s="56"/>
      <c r="Q456" s="56"/>
      <c r="R456" s="56"/>
      <c r="S456" s="56"/>
      <c r="T456" s="56"/>
      <c r="U456" s="56"/>
      <c r="V456" s="56"/>
      <c r="W456" s="57"/>
      <c r="X456" s="56"/>
      <c r="Y456" s="56"/>
      <c r="Z456" s="56"/>
      <c r="AA456" s="57"/>
      <c r="AB456" s="56"/>
      <c r="AC456" s="56"/>
      <c r="AD456" s="56"/>
      <c r="AE456" s="56"/>
      <c r="AF456" s="56"/>
      <c r="AG456" s="57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1"/>
      <c r="AV456" s="1"/>
    </row>
    <row r="457" spans="1:48" ht="15.75" customHeight="1" x14ac:dyDescent="0.2">
      <c r="A457" s="56"/>
      <c r="B457" s="56"/>
      <c r="C457" s="56"/>
      <c r="D457" s="56"/>
      <c r="E457" s="56"/>
      <c r="F457" s="56"/>
      <c r="G457" s="56"/>
      <c r="H457" s="56"/>
      <c r="I457" s="56"/>
      <c r="J457" s="56"/>
      <c r="K457" s="56"/>
      <c r="L457" s="57"/>
      <c r="M457" s="57"/>
      <c r="N457" s="57"/>
      <c r="O457" s="56"/>
      <c r="P457" s="56"/>
      <c r="Q457" s="56"/>
      <c r="R457" s="56"/>
      <c r="S457" s="56"/>
      <c r="T457" s="56"/>
      <c r="U457" s="56"/>
      <c r="V457" s="56"/>
      <c r="W457" s="57"/>
      <c r="X457" s="56"/>
      <c r="Y457" s="56"/>
      <c r="Z457" s="56"/>
      <c r="AA457" s="57"/>
      <c r="AB457" s="56"/>
      <c r="AC457" s="56"/>
      <c r="AD457" s="56"/>
      <c r="AE457" s="56"/>
      <c r="AF457" s="56"/>
      <c r="AG457" s="57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1"/>
      <c r="AV457" s="1"/>
    </row>
    <row r="458" spans="1:48" ht="15.75" customHeight="1" x14ac:dyDescent="0.2">
      <c r="A458" s="56"/>
      <c r="B458" s="56"/>
      <c r="C458" s="56"/>
      <c r="D458" s="56"/>
      <c r="E458" s="56"/>
      <c r="F458" s="56"/>
      <c r="G458" s="56"/>
      <c r="H458" s="56"/>
      <c r="I458" s="56"/>
      <c r="J458" s="56"/>
      <c r="K458" s="56"/>
      <c r="L458" s="57"/>
      <c r="M458" s="57"/>
      <c r="N458" s="57"/>
      <c r="O458" s="56"/>
      <c r="P458" s="56"/>
      <c r="Q458" s="56"/>
      <c r="R458" s="56"/>
      <c r="S458" s="56"/>
      <c r="T458" s="56"/>
      <c r="U458" s="56"/>
      <c r="V458" s="56"/>
      <c r="W458" s="57"/>
      <c r="X458" s="56"/>
      <c r="Y458" s="56"/>
      <c r="Z458" s="56"/>
      <c r="AA458" s="57"/>
      <c r="AB458" s="56"/>
      <c r="AC458" s="56"/>
      <c r="AD458" s="56"/>
      <c r="AE458" s="56"/>
      <c r="AF458" s="56"/>
      <c r="AG458" s="57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1"/>
      <c r="AV458" s="1"/>
    </row>
    <row r="459" spans="1:48" ht="15.75" customHeight="1" x14ac:dyDescent="0.2">
      <c r="A459" s="56"/>
      <c r="B459" s="56"/>
      <c r="C459" s="56"/>
      <c r="D459" s="56"/>
      <c r="E459" s="56"/>
      <c r="F459" s="56"/>
      <c r="G459" s="56"/>
      <c r="H459" s="56"/>
      <c r="I459" s="56"/>
      <c r="J459" s="56"/>
      <c r="K459" s="56"/>
      <c r="L459" s="57"/>
      <c r="M459" s="57"/>
      <c r="N459" s="57"/>
      <c r="O459" s="56"/>
      <c r="P459" s="56"/>
      <c r="Q459" s="56"/>
      <c r="R459" s="56"/>
      <c r="S459" s="56"/>
      <c r="T459" s="56"/>
      <c r="U459" s="56"/>
      <c r="V459" s="56"/>
      <c r="W459" s="57"/>
      <c r="X459" s="56"/>
      <c r="Y459" s="56"/>
      <c r="Z459" s="56"/>
      <c r="AA459" s="57"/>
      <c r="AB459" s="56"/>
      <c r="AC459" s="56"/>
      <c r="AD459" s="56"/>
      <c r="AE459" s="56"/>
      <c r="AF459" s="56"/>
      <c r="AG459" s="57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1"/>
      <c r="AV459" s="1"/>
    </row>
    <row r="460" spans="1:48" ht="15.75" customHeight="1" x14ac:dyDescent="0.2">
      <c r="A460" s="56"/>
      <c r="B460" s="56"/>
      <c r="C460" s="56"/>
      <c r="D460" s="56"/>
      <c r="E460" s="56"/>
      <c r="F460" s="56"/>
      <c r="G460" s="56"/>
      <c r="H460" s="56"/>
      <c r="I460" s="56"/>
      <c r="J460" s="56"/>
      <c r="K460" s="56"/>
      <c r="L460" s="57"/>
      <c r="M460" s="57"/>
      <c r="N460" s="57"/>
      <c r="O460" s="56"/>
      <c r="P460" s="56"/>
      <c r="Q460" s="56"/>
      <c r="R460" s="56"/>
      <c r="S460" s="56"/>
      <c r="T460" s="56"/>
      <c r="U460" s="56"/>
      <c r="V460" s="56"/>
      <c r="W460" s="57"/>
      <c r="X460" s="56"/>
      <c r="Y460" s="56"/>
      <c r="Z460" s="56"/>
      <c r="AA460" s="57"/>
      <c r="AB460" s="56"/>
      <c r="AC460" s="56"/>
      <c r="AD460" s="56"/>
      <c r="AE460" s="56"/>
      <c r="AF460" s="56"/>
      <c r="AG460" s="57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1"/>
      <c r="AV460" s="1"/>
    </row>
    <row r="461" spans="1:48" ht="15.75" customHeight="1" x14ac:dyDescent="0.2">
      <c r="A461" s="56"/>
      <c r="B461" s="56"/>
      <c r="C461" s="56"/>
      <c r="D461" s="56"/>
      <c r="E461" s="56"/>
      <c r="F461" s="56"/>
      <c r="G461" s="56"/>
      <c r="H461" s="56"/>
      <c r="I461" s="56"/>
      <c r="J461" s="56"/>
      <c r="K461" s="56"/>
      <c r="L461" s="57"/>
      <c r="M461" s="57"/>
      <c r="N461" s="57"/>
      <c r="O461" s="56"/>
      <c r="P461" s="56"/>
      <c r="Q461" s="56"/>
      <c r="R461" s="56"/>
      <c r="S461" s="56"/>
      <c r="T461" s="56"/>
      <c r="U461" s="56"/>
      <c r="V461" s="56"/>
      <c r="W461" s="57"/>
      <c r="X461" s="56"/>
      <c r="Y461" s="56"/>
      <c r="Z461" s="56"/>
      <c r="AA461" s="57"/>
      <c r="AB461" s="56"/>
      <c r="AC461" s="56"/>
      <c r="AD461" s="56"/>
      <c r="AE461" s="56"/>
      <c r="AF461" s="56"/>
      <c r="AG461" s="57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1"/>
      <c r="AV461" s="1"/>
    </row>
    <row r="462" spans="1:48" ht="15.75" customHeight="1" x14ac:dyDescent="0.2">
      <c r="A462" s="56"/>
      <c r="B462" s="56"/>
      <c r="C462" s="56"/>
      <c r="D462" s="56"/>
      <c r="E462" s="56"/>
      <c r="F462" s="56"/>
      <c r="G462" s="56"/>
      <c r="H462" s="56"/>
      <c r="I462" s="56"/>
      <c r="J462" s="56"/>
      <c r="K462" s="56"/>
      <c r="L462" s="57"/>
      <c r="M462" s="57"/>
      <c r="N462" s="57"/>
      <c r="O462" s="56"/>
      <c r="P462" s="56"/>
      <c r="Q462" s="56"/>
      <c r="R462" s="56"/>
      <c r="S462" s="56"/>
      <c r="T462" s="56"/>
      <c r="U462" s="56"/>
      <c r="V462" s="56"/>
      <c r="W462" s="57"/>
      <c r="X462" s="56"/>
      <c r="Y462" s="56"/>
      <c r="Z462" s="56"/>
      <c r="AA462" s="57"/>
      <c r="AB462" s="56"/>
      <c r="AC462" s="56"/>
      <c r="AD462" s="56"/>
      <c r="AE462" s="56"/>
      <c r="AF462" s="56"/>
      <c r="AG462" s="57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1"/>
      <c r="AV462" s="1"/>
    </row>
    <row r="463" spans="1:48" ht="15.75" customHeight="1" x14ac:dyDescent="0.2">
      <c r="A463" s="56"/>
      <c r="B463" s="56"/>
      <c r="C463" s="56"/>
      <c r="D463" s="56"/>
      <c r="E463" s="56"/>
      <c r="F463" s="56"/>
      <c r="G463" s="56"/>
      <c r="H463" s="56"/>
      <c r="I463" s="56"/>
      <c r="J463" s="56"/>
      <c r="K463" s="56"/>
      <c r="L463" s="57"/>
      <c r="M463" s="57"/>
      <c r="N463" s="57"/>
      <c r="O463" s="56"/>
      <c r="P463" s="56"/>
      <c r="Q463" s="56"/>
      <c r="R463" s="56"/>
      <c r="S463" s="56"/>
      <c r="T463" s="56"/>
      <c r="U463" s="56"/>
      <c r="V463" s="56"/>
      <c r="W463" s="57"/>
      <c r="X463" s="56"/>
      <c r="Y463" s="56"/>
      <c r="Z463" s="56"/>
      <c r="AA463" s="57"/>
      <c r="AB463" s="56"/>
      <c r="AC463" s="56"/>
      <c r="AD463" s="56"/>
      <c r="AE463" s="56"/>
      <c r="AF463" s="56"/>
      <c r="AG463" s="57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1"/>
      <c r="AV463" s="1"/>
    </row>
    <row r="464" spans="1:48" ht="15.75" customHeight="1" x14ac:dyDescent="0.2">
      <c r="A464" s="56"/>
      <c r="B464" s="56"/>
      <c r="C464" s="56"/>
      <c r="D464" s="56"/>
      <c r="E464" s="56"/>
      <c r="F464" s="56"/>
      <c r="G464" s="56"/>
      <c r="H464" s="56"/>
      <c r="I464" s="56"/>
      <c r="J464" s="56"/>
      <c r="K464" s="56"/>
      <c r="L464" s="57"/>
      <c r="M464" s="57"/>
      <c r="N464" s="57"/>
      <c r="O464" s="56"/>
      <c r="P464" s="56"/>
      <c r="Q464" s="56"/>
      <c r="R464" s="56"/>
      <c r="S464" s="56"/>
      <c r="T464" s="56"/>
      <c r="U464" s="56"/>
      <c r="V464" s="56"/>
      <c r="W464" s="57"/>
      <c r="X464" s="56"/>
      <c r="Y464" s="56"/>
      <c r="Z464" s="56"/>
      <c r="AA464" s="57"/>
      <c r="AB464" s="56"/>
      <c r="AC464" s="56"/>
      <c r="AD464" s="56"/>
      <c r="AE464" s="56"/>
      <c r="AF464" s="56"/>
      <c r="AG464" s="57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1"/>
      <c r="AV464" s="1"/>
    </row>
    <row r="465" spans="1:48" ht="15.75" customHeight="1" x14ac:dyDescent="0.2">
      <c r="A465" s="56"/>
      <c r="B465" s="56"/>
      <c r="C465" s="56"/>
      <c r="D465" s="56"/>
      <c r="E465" s="56"/>
      <c r="F465" s="56"/>
      <c r="G465" s="56"/>
      <c r="H465" s="56"/>
      <c r="I465" s="56"/>
      <c r="J465" s="56"/>
      <c r="K465" s="56"/>
      <c r="L465" s="57"/>
      <c r="M465" s="57"/>
      <c r="N465" s="57"/>
      <c r="O465" s="56"/>
      <c r="P465" s="56"/>
      <c r="Q465" s="56"/>
      <c r="R465" s="56"/>
      <c r="S465" s="56"/>
      <c r="T465" s="56"/>
      <c r="U465" s="56"/>
      <c r="V465" s="56"/>
      <c r="W465" s="57"/>
      <c r="X465" s="56"/>
      <c r="Y465" s="56"/>
      <c r="Z465" s="56"/>
      <c r="AA465" s="57"/>
      <c r="AB465" s="56"/>
      <c r="AC465" s="56"/>
      <c r="AD465" s="56"/>
      <c r="AE465" s="56"/>
      <c r="AF465" s="56"/>
      <c r="AG465" s="57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1"/>
      <c r="AV465" s="1"/>
    </row>
    <row r="466" spans="1:48" ht="15.75" customHeight="1" x14ac:dyDescent="0.2">
      <c r="A466" s="56"/>
      <c r="B466" s="56"/>
      <c r="C466" s="56"/>
      <c r="D466" s="56"/>
      <c r="E466" s="56"/>
      <c r="F466" s="56"/>
      <c r="G466" s="56"/>
      <c r="H466" s="56"/>
      <c r="I466" s="56"/>
      <c r="J466" s="56"/>
      <c r="K466" s="56"/>
      <c r="L466" s="57"/>
      <c r="M466" s="57"/>
      <c r="N466" s="57"/>
      <c r="O466" s="56"/>
      <c r="P466" s="56"/>
      <c r="Q466" s="56"/>
      <c r="R466" s="56"/>
      <c r="S466" s="56"/>
      <c r="T466" s="56"/>
      <c r="U466" s="56"/>
      <c r="V466" s="56"/>
      <c r="W466" s="57"/>
      <c r="X466" s="56"/>
      <c r="Y466" s="56"/>
      <c r="Z466" s="56"/>
      <c r="AA466" s="57"/>
      <c r="AB466" s="56"/>
      <c r="AC466" s="56"/>
      <c r="AD466" s="56"/>
      <c r="AE466" s="56"/>
      <c r="AF466" s="56"/>
      <c r="AG466" s="57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1"/>
      <c r="AV466" s="1"/>
    </row>
    <row r="467" spans="1:48" ht="15.75" customHeight="1" x14ac:dyDescent="0.2">
      <c r="A467" s="56"/>
      <c r="B467" s="56"/>
      <c r="C467" s="56"/>
      <c r="D467" s="56"/>
      <c r="E467" s="56"/>
      <c r="F467" s="56"/>
      <c r="G467" s="56"/>
      <c r="H467" s="56"/>
      <c r="I467" s="56"/>
      <c r="J467" s="56"/>
      <c r="K467" s="56"/>
      <c r="L467" s="57"/>
      <c r="M467" s="57"/>
      <c r="N467" s="57"/>
      <c r="O467" s="56"/>
      <c r="P467" s="56"/>
      <c r="Q467" s="56"/>
      <c r="R467" s="56"/>
      <c r="S467" s="56"/>
      <c r="T467" s="56"/>
      <c r="U467" s="56"/>
      <c r="V467" s="56"/>
      <c r="W467" s="57"/>
      <c r="X467" s="56"/>
      <c r="Y467" s="56"/>
      <c r="Z467" s="56"/>
      <c r="AA467" s="57"/>
      <c r="AB467" s="56"/>
      <c r="AC467" s="56"/>
      <c r="AD467" s="56"/>
      <c r="AE467" s="56"/>
      <c r="AF467" s="56"/>
      <c r="AG467" s="57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1"/>
      <c r="AV467" s="1"/>
    </row>
    <row r="468" spans="1:48" ht="15.75" customHeight="1" x14ac:dyDescent="0.2">
      <c r="A468" s="56"/>
      <c r="B468" s="56"/>
      <c r="C468" s="56"/>
      <c r="D468" s="56"/>
      <c r="E468" s="56"/>
      <c r="F468" s="56"/>
      <c r="G468" s="56"/>
      <c r="H468" s="56"/>
      <c r="I468" s="56"/>
      <c r="J468" s="56"/>
      <c r="K468" s="56"/>
      <c r="L468" s="57"/>
      <c r="M468" s="57"/>
      <c r="N468" s="57"/>
      <c r="O468" s="56"/>
      <c r="P468" s="56"/>
      <c r="Q468" s="56"/>
      <c r="R468" s="56"/>
      <c r="S468" s="56"/>
      <c r="T468" s="56"/>
      <c r="U468" s="56"/>
      <c r="V468" s="56"/>
      <c r="W468" s="57"/>
      <c r="X468" s="56"/>
      <c r="Y468" s="56"/>
      <c r="Z468" s="56"/>
      <c r="AA468" s="57"/>
      <c r="AB468" s="56"/>
      <c r="AC468" s="56"/>
      <c r="AD468" s="56"/>
      <c r="AE468" s="56"/>
      <c r="AF468" s="56"/>
      <c r="AG468" s="57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1"/>
      <c r="AV468" s="1"/>
    </row>
    <row r="469" spans="1:48" ht="15.75" customHeight="1" x14ac:dyDescent="0.2">
      <c r="A469" s="56"/>
      <c r="B469" s="56"/>
      <c r="C469" s="56"/>
      <c r="D469" s="56"/>
      <c r="E469" s="56"/>
      <c r="F469" s="56"/>
      <c r="G469" s="56"/>
      <c r="H469" s="56"/>
      <c r="I469" s="56"/>
      <c r="J469" s="56"/>
      <c r="K469" s="56"/>
      <c r="L469" s="57"/>
      <c r="M469" s="57"/>
      <c r="N469" s="57"/>
      <c r="O469" s="56"/>
      <c r="P469" s="56"/>
      <c r="Q469" s="56"/>
      <c r="R469" s="56"/>
      <c r="S469" s="56"/>
      <c r="T469" s="56"/>
      <c r="U469" s="56"/>
      <c r="V469" s="56"/>
      <c r="W469" s="57"/>
      <c r="X469" s="56"/>
      <c r="Y469" s="56"/>
      <c r="Z469" s="56"/>
      <c r="AA469" s="57"/>
      <c r="AB469" s="56"/>
      <c r="AC469" s="56"/>
      <c r="AD469" s="56"/>
      <c r="AE469" s="56"/>
      <c r="AF469" s="56"/>
      <c r="AG469" s="57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1"/>
      <c r="AV469" s="1"/>
    </row>
    <row r="470" spans="1:48" ht="15.75" customHeight="1" x14ac:dyDescent="0.2">
      <c r="A470" s="56"/>
      <c r="B470" s="56"/>
      <c r="C470" s="56"/>
      <c r="D470" s="56"/>
      <c r="E470" s="56"/>
      <c r="F470" s="56"/>
      <c r="G470" s="56"/>
      <c r="H470" s="56"/>
      <c r="I470" s="56"/>
      <c r="J470" s="56"/>
      <c r="K470" s="56"/>
      <c r="L470" s="57"/>
      <c r="M470" s="57"/>
      <c r="N470" s="57"/>
      <c r="O470" s="56"/>
      <c r="P470" s="56"/>
      <c r="Q470" s="56"/>
      <c r="R470" s="56"/>
      <c r="S470" s="56"/>
      <c r="T470" s="56"/>
      <c r="U470" s="56"/>
      <c r="V470" s="56"/>
      <c r="W470" s="57"/>
      <c r="X470" s="56"/>
      <c r="Y470" s="56"/>
      <c r="Z470" s="56"/>
      <c r="AA470" s="57"/>
      <c r="AB470" s="56"/>
      <c r="AC470" s="56"/>
      <c r="AD470" s="56"/>
      <c r="AE470" s="56"/>
      <c r="AF470" s="56"/>
      <c r="AG470" s="57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1"/>
      <c r="AV470" s="1"/>
    </row>
    <row r="471" spans="1:48" ht="15.75" customHeight="1" x14ac:dyDescent="0.2">
      <c r="A471" s="56"/>
      <c r="B471" s="56"/>
      <c r="C471" s="56"/>
      <c r="D471" s="56"/>
      <c r="E471" s="56"/>
      <c r="F471" s="56"/>
      <c r="G471" s="56"/>
      <c r="H471" s="56"/>
      <c r="I471" s="56"/>
      <c r="J471" s="56"/>
      <c r="K471" s="56"/>
      <c r="L471" s="57"/>
      <c r="M471" s="57"/>
      <c r="N471" s="57"/>
      <c r="O471" s="56"/>
      <c r="P471" s="56"/>
      <c r="Q471" s="56"/>
      <c r="R471" s="56"/>
      <c r="S471" s="56"/>
      <c r="T471" s="56"/>
      <c r="U471" s="56"/>
      <c r="V471" s="56"/>
      <c r="W471" s="57"/>
      <c r="X471" s="56"/>
      <c r="Y471" s="56"/>
      <c r="Z471" s="56"/>
      <c r="AA471" s="57"/>
      <c r="AB471" s="56"/>
      <c r="AC471" s="56"/>
      <c r="AD471" s="56"/>
      <c r="AE471" s="56"/>
      <c r="AF471" s="56"/>
      <c r="AG471" s="57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1"/>
      <c r="AV471" s="1"/>
    </row>
    <row r="472" spans="1:48" ht="15.75" customHeight="1" x14ac:dyDescent="0.2">
      <c r="A472" s="56"/>
      <c r="B472" s="56"/>
      <c r="C472" s="56"/>
      <c r="D472" s="56"/>
      <c r="E472" s="56"/>
      <c r="F472" s="56"/>
      <c r="G472" s="56"/>
      <c r="H472" s="56"/>
      <c r="I472" s="56"/>
      <c r="J472" s="56"/>
      <c r="K472" s="56"/>
      <c r="L472" s="57"/>
      <c r="M472" s="57"/>
      <c r="N472" s="57"/>
      <c r="O472" s="56"/>
      <c r="P472" s="56"/>
      <c r="Q472" s="56"/>
      <c r="R472" s="56"/>
      <c r="S472" s="56"/>
      <c r="T472" s="56"/>
      <c r="U472" s="56"/>
      <c r="V472" s="56"/>
      <c r="W472" s="57"/>
      <c r="X472" s="56"/>
      <c r="Y472" s="56"/>
      <c r="Z472" s="56"/>
      <c r="AA472" s="57"/>
      <c r="AB472" s="56"/>
      <c r="AC472" s="56"/>
      <c r="AD472" s="56"/>
      <c r="AE472" s="56"/>
      <c r="AF472" s="56"/>
      <c r="AG472" s="57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1"/>
      <c r="AV472" s="1"/>
    </row>
    <row r="473" spans="1:48" ht="15.75" customHeight="1" x14ac:dyDescent="0.2">
      <c r="A473" s="56"/>
      <c r="B473" s="56"/>
      <c r="C473" s="56"/>
      <c r="D473" s="56"/>
      <c r="E473" s="56"/>
      <c r="F473" s="56"/>
      <c r="G473" s="56"/>
      <c r="H473" s="56"/>
      <c r="I473" s="56"/>
      <c r="J473" s="56"/>
      <c r="K473" s="56"/>
      <c r="L473" s="57"/>
      <c r="M473" s="57"/>
      <c r="N473" s="57"/>
      <c r="O473" s="56"/>
      <c r="P473" s="56"/>
      <c r="Q473" s="56"/>
      <c r="R473" s="56"/>
      <c r="S473" s="56"/>
      <c r="T473" s="56"/>
      <c r="U473" s="56"/>
      <c r="V473" s="56"/>
      <c r="W473" s="57"/>
      <c r="X473" s="56"/>
      <c r="Y473" s="56"/>
      <c r="Z473" s="56"/>
      <c r="AA473" s="57"/>
      <c r="AB473" s="56"/>
      <c r="AC473" s="56"/>
      <c r="AD473" s="56"/>
      <c r="AE473" s="56"/>
      <c r="AF473" s="56"/>
      <c r="AG473" s="57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1"/>
      <c r="AV473" s="1"/>
    </row>
    <row r="474" spans="1:48" ht="15.75" customHeight="1" x14ac:dyDescent="0.2">
      <c r="A474" s="56"/>
      <c r="B474" s="56"/>
      <c r="C474" s="56"/>
      <c r="D474" s="56"/>
      <c r="E474" s="56"/>
      <c r="F474" s="56"/>
      <c r="G474" s="56"/>
      <c r="H474" s="56"/>
      <c r="I474" s="56"/>
      <c r="J474" s="56"/>
      <c r="K474" s="56"/>
      <c r="L474" s="57"/>
      <c r="M474" s="57"/>
      <c r="N474" s="57"/>
      <c r="O474" s="56"/>
      <c r="P474" s="56"/>
      <c r="Q474" s="56"/>
      <c r="R474" s="56"/>
      <c r="S474" s="56"/>
      <c r="T474" s="56"/>
      <c r="U474" s="56"/>
      <c r="V474" s="56"/>
      <c r="W474" s="57"/>
      <c r="X474" s="56"/>
      <c r="Y474" s="56"/>
      <c r="Z474" s="56"/>
      <c r="AA474" s="57"/>
      <c r="AB474" s="56"/>
      <c r="AC474" s="56"/>
      <c r="AD474" s="56"/>
      <c r="AE474" s="56"/>
      <c r="AF474" s="56"/>
      <c r="AG474" s="57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1"/>
      <c r="AV474" s="1"/>
    </row>
    <row r="475" spans="1:48" ht="15.75" customHeight="1" x14ac:dyDescent="0.2">
      <c r="A475" s="56"/>
      <c r="B475" s="56"/>
      <c r="C475" s="56"/>
      <c r="D475" s="56"/>
      <c r="E475" s="56"/>
      <c r="F475" s="56"/>
      <c r="G475" s="56"/>
      <c r="H475" s="56"/>
      <c r="I475" s="56"/>
      <c r="J475" s="56"/>
      <c r="K475" s="56"/>
      <c r="L475" s="57"/>
      <c r="M475" s="57"/>
      <c r="N475" s="57"/>
      <c r="O475" s="56"/>
      <c r="P475" s="56"/>
      <c r="Q475" s="56"/>
      <c r="R475" s="56"/>
      <c r="S475" s="56"/>
      <c r="T475" s="56"/>
      <c r="U475" s="56"/>
      <c r="V475" s="56"/>
      <c r="W475" s="57"/>
      <c r="X475" s="56"/>
      <c r="Y475" s="56"/>
      <c r="Z475" s="56"/>
      <c r="AA475" s="57"/>
      <c r="AB475" s="56"/>
      <c r="AC475" s="56"/>
      <c r="AD475" s="56"/>
      <c r="AE475" s="56"/>
      <c r="AF475" s="56"/>
      <c r="AG475" s="57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1"/>
      <c r="AV475" s="1"/>
    </row>
    <row r="476" spans="1:48" ht="15.75" customHeight="1" x14ac:dyDescent="0.2">
      <c r="A476" s="56"/>
      <c r="B476" s="56"/>
      <c r="C476" s="56"/>
      <c r="D476" s="56"/>
      <c r="E476" s="56"/>
      <c r="F476" s="56"/>
      <c r="G476" s="56"/>
      <c r="H476" s="56"/>
      <c r="I476" s="56"/>
      <c r="J476" s="56"/>
      <c r="K476" s="56"/>
      <c r="L476" s="57"/>
      <c r="M476" s="57"/>
      <c r="N476" s="57"/>
      <c r="O476" s="56"/>
      <c r="P476" s="56"/>
      <c r="Q476" s="56"/>
      <c r="R476" s="56"/>
      <c r="S476" s="56"/>
      <c r="T476" s="56"/>
      <c r="U476" s="56"/>
      <c r="V476" s="56"/>
      <c r="W476" s="57"/>
      <c r="X476" s="56"/>
      <c r="Y476" s="56"/>
      <c r="Z476" s="56"/>
      <c r="AA476" s="57"/>
      <c r="AB476" s="56"/>
      <c r="AC476" s="56"/>
      <c r="AD476" s="56"/>
      <c r="AE476" s="56"/>
      <c r="AF476" s="56"/>
      <c r="AG476" s="57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1"/>
      <c r="AV476" s="1"/>
    </row>
    <row r="477" spans="1:48" ht="15.75" customHeight="1" x14ac:dyDescent="0.2">
      <c r="A477" s="56"/>
      <c r="B477" s="56"/>
      <c r="C477" s="56"/>
      <c r="D477" s="56"/>
      <c r="E477" s="56"/>
      <c r="F477" s="56"/>
      <c r="G477" s="56"/>
      <c r="H477" s="56"/>
      <c r="I477" s="56"/>
      <c r="J477" s="56"/>
      <c r="K477" s="56"/>
      <c r="L477" s="57"/>
      <c r="M477" s="57"/>
      <c r="N477" s="57"/>
      <c r="O477" s="56"/>
      <c r="P477" s="56"/>
      <c r="Q477" s="56"/>
      <c r="R477" s="56"/>
      <c r="S477" s="56"/>
      <c r="T477" s="56"/>
      <c r="U477" s="56"/>
      <c r="V477" s="56"/>
      <c r="W477" s="57"/>
      <c r="X477" s="56"/>
      <c r="Y477" s="56"/>
      <c r="Z477" s="56"/>
      <c r="AA477" s="57"/>
      <c r="AB477" s="56"/>
      <c r="AC477" s="56"/>
      <c r="AD477" s="56"/>
      <c r="AE477" s="56"/>
      <c r="AF477" s="56"/>
      <c r="AG477" s="57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1"/>
      <c r="AV477" s="1"/>
    </row>
    <row r="478" spans="1:48" ht="15.75" customHeight="1" x14ac:dyDescent="0.2">
      <c r="A478" s="56"/>
      <c r="B478" s="56"/>
      <c r="C478" s="56"/>
      <c r="D478" s="56"/>
      <c r="E478" s="56"/>
      <c r="F478" s="56"/>
      <c r="G478" s="56"/>
      <c r="H478" s="56"/>
      <c r="I478" s="56"/>
      <c r="J478" s="56"/>
      <c r="K478" s="56"/>
      <c r="L478" s="57"/>
      <c r="M478" s="57"/>
      <c r="N478" s="57"/>
      <c r="O478" s="56"/>
      <c r="P478" s="56"/>
      <c r="Q478" s="56"/>
      <c r="R478" s="56"/>
      <c r="S478" s="56"/>
      <c r="T478" s="56"/>
      <c r="U478" s="56"/>
      <c r="V478" s="56"/>
      <c r="W478" s="57"/>
      <c r="X478" s="56"/>
      <c r="Y478" s="56"/>
      <c r="Z478" s="56"/>
      <c r="AA478" s="57"/>
      <c r="AB478" s="56"/>
      <c r="AC478" s="56"/>
      <c r="AD478" s="56"/>
      <c r="AE478" s="56"/>
      <c r="AF478" s="56"/>
      <c r="AG478" s="57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1"/>
      <c r="AV478" s="1"/>
    </row>
    <row r="479" spans="1:48" ht="15.75" customHeight="1" x14ac:dyDescent="0.2">
      <c r="A479" s="56"/>
      <c r="B479" s="56"/>
      <c r="C479" s="56"/>
      <c r="D479" s="56"/>
      <c r="E479" s="56"/>
      <c r="F479" s="56"/>
      <c r="G479" s="56"/>
      <c r="H479" s="56"/>
      <c r="I479" s="56"/>
      <c r="J479" s="56"/>
      <c r="K479" s="56"/>
      <c r="L479" s="57"/>
      <c r="M479" s="57"/>
      <c r="N479" s="57"/>
      <c r="O479" s="56"/>
      <c r="P479" s="56"/>
      <c r="Q479" s="56"/>
      <c r="R479" s="56"/>
      <c r="S479" s="56"/>
      <c r="T479" s="56"/>
      <c r="U479" s="56"/>
      <c r="V479" s="56"/>
      <c r="W479" s="57"/>
      <c r="X479" s="56"/>
      <c r="Y479" s="56"/>
      <c r="Z479" s="56"/>
      <c r="AA479" s="57"/>
      <c r="AB479" s="56"/>
      <c r="AC479" s="56"/>
      <c r="AD479" s="56"/>
      <c r="AE479" s="56"/>
      <c r="AF479" s="56"/>
      <c r="AG479" s="57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1"/>
      <c r="AV479" s="1"/>
    </row>
    <row r="480" spans="1:48" ht="15.75" customHeight="1" x14ac:dyDescent="0.2">
      <c r="A480" s="56"/>
      <c r="B480" s="56"/>
      <c r="C480" s="56"/>
      <c r="D480" s="56"/>
      <c r="E480" s="56"/>
      <c r="F480" s="56"/>
      <c r="G480" s="56"/>
      <c r="H480" s="56"/>
      <c r="I480" s="56"/>
      <c r="J480" s="56"/>
      <c r="K480" s="56"/>
      <c r="L480" s="57"/>
      <c r="M480" s="57"/>
      <c r="N480" s="57"/>
      <c r="O480" s="56"/>
      <c r="P480" s="56"/>
      <c r="Q480" s="56"/>
      <c r="R480" s="56"/>
      <c r="S480" s="56"/>
      <c r="T480" s="56"/>
      <c r="U480" s="56"/>
      <c r="V480" s="56"/>
      <c r="W480" s="57"/>
      <c r="X480" s="56"/>
      <c r="Y480" s="56"/>
      <c r="Z480" s="56"/>
      <c r="AA480" s="57"/>
      <c r="AB480" s="56"/>
      <c r="AC480" s="56"/>
      <c r="AD480" s="56"/>
      <c r="AE480" s="56"/>
      <c r="AF480" s="56"/>
      <c r="AG480" s="57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1"/>
      <c r="AV480" s="1"/>
    </row>
    <row r="481" spans="1:48" ht="15.75" customHeight="1" x14ac:dyDescent="0.2">
      <c r="A481" s="56"/>
      <c r="B481" s="56"/>
      <c r="C481" s="56"/>
      <c r="D481" s="56"/>
      <c r="E481" s="56"/>
      <c r="F481" s="56"/>
      <c r="G481" s="56"/>
      <c r="H481" s="56"/>
      <c r="I481" s="56"/>
      <c r="J481" s="56"/>
      <c r="K481" s="56"/>
      <c r="L481" s="57"/>
      <c r="M481" s="57"/>
      <c r="N481" s="57"/>
      <c r="O481" s="56"/>
      <c r="P481" s="56"/>
      <c r="Q481" s="56"/>
      <c r="R481" s="56"/>
      <c r="S481" s="56"/>
      <c r="T481" s="56"/>
      <c r="U481" s="56"/>
      <c r="V481" s="56"/>
      <c r="W481" s="57"/>
      <c r="X481" s="56"/>
      <c r="Y481" s="56"/>
      <c r="Z481" s="56"/>
      <c r="AA481" s="57"/>
      <c r="AB481" s="56"/>
      <c r="AC481" s="56"/>
      <c r="AD481" s="56"/>
      <c r="AE481" s="56"/>
      <c r="AF481" s="56"/>
      <c r="AG481" s="57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1"/>
      <c r="AV481" s="1"/>
    </row>
    <row r="482" spans="1:48" ht="15.75" customHeight="1" x14ac:dyDescent="0.2">
      <c r="A482" s="56"/>
      <c r="B482" s="56"/>
      <c r="C482" s="56"/>
      <c r="D482" s="56"/>
      <c r="E482" s="56"/>
      <c r="F482" s="56"/>
      <c r="G482" s="56"/>
      <c r="H482" s="56"/>
      <c r="I482" s="56"/>
      <c r="J482" s="56"/>
      <c r="K482" s="56"/>
      <c r="L482" s="57"/>
      <c r="M482" s="57"/>
      <c r="N482" s="57"/>
      <c r="O482" s="56"/>
      <c r="P482" s="56"/>
      <c r="Q482" s="56"/>
      <c r="R482" s="56"/>
      <c r="S482" s="56"/>
      <c r="T482" s="56"/>
      <c r="U482" s="56"/>
      <c r="V482" s="56"/>
      <c r="W482" s="57"/>
      <c r="X482" s="56"/>
      <c r="Y482" s="56"/>
      <c r="Z482" s="56"/>
      <c r="AA482" s="57"/>
      <c r="AB482" s="56"/>
      <c r="AC482" s="56"/>
      <c r="AD482" s="56"/>
      <c r="AE482" s="56"/>
      <c r="AF482" s="56"/>
      <c r="AG482" s="57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1"/>
      <c r="AV482" s="1"/>
    </row>
    <row r="483" spans="1:48" ht="15.75" customHeight="1" x14ac:dyDescent="0.2">
      <c r="A483" s="56"/>
      <c r="B483" s="56"/>
      <c r="C483" s="56"/>
      <c r="D483" s="56"/>
      <c r="E483" s="56"/>
      <c r="F483" s="56"/>
      <c r="G483" s="56"/>
      <c r="H483" s="56"/>
      <c r="I483" s="56"/>
      <c r="J483" s="56"/>
      <c r="K483" s="56"/>
      <c r="L483" s="57"/>
      <c r="M483" s="57"/>
      <c r="N483" s="57"/>
      <c r="O483" s="56"/>
      <c r="P483" s="56"/>
      <c r="Q483" s="56"/>
      <c r="R483" s="56"/>
      <c r="S483" s="56"/>
      <c r="T483" s="56"/>
      <c r="U483" s="56"/>
      <c r="V483" s="56"/>
      <c r="W483" s="57"/>
      <c r="X483" s="56"/>
      <c r="Y483" s="56"/>
      <c r="Z483" s="56"/>
      <c r="AA483" s="57"/>
      <c r="AB483" s="56"/>
      <c r="AC483" s="56"/>
      <c r="AD483" s="56"/>
      <c r="AE483" s="56"/>
      <c r="AF483" s="56"/>
      <c r="AG483" s="57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1"/>
      <c r="AV483" s="1"/>
    </row>
    <row r="484" spans="1:48" ht="15.75" customHeight="1" x14ac:dyDescent="0.2">
      <c r="A484" s="56"/>
      <c r="B484" s="56"/>
      <c r="C484" s="56"/>
      <c r="D484" s="56"/>
      <c r="E484" s="56"/>
      <c r="F484" s="56"/>
      <c r="G484" s="56"/>
      <c r="H484" s="56"/>
      <c r="I484" s="56"/>
      <c r="J484" s="56"/>
      <c r="K484" s="56"/>
      <c r="L484" s="57"/>
      <c r="M484" s="57"/>
      <c r="N484" s="57"/>
      <c r="O484" s="56"/>
      <c r="P484" s="56"/>
      <c r="Q484" s="56"/>
      <c r="R484" s="56"/>
      <c r="S484" s="56"/>
      <c r="T484" s="56"/>
      <c r="U484" s="56"/>
      <c r="V484" s="56"/>
      <c r="W484" s="57"/>
      <c r="X484" s="56"/>
      <c r="Y484" s="56"/>
      <c r="Z484" s="56"/>
      <c r="AA484" s="57"/>
      <c r="AB484" s="56"/>
      <c r="AC484" s="56"/>
      <c r="AD484" s="56"/>
      <c r="AE484" s="56"/>
      <c r="AF484" s="56"/>
      <c r="AG484" s="57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1"/>
      <c r="AV484" s="1"/>
    </row>
    <row r="485" spans="1:48" ht="15.75" customHeight="1" x14ac:dyDescent="0.2">
      <c r="A485" s="56"/>
      <c r="B485" s="56"/>
      <c r="C485" s="56"/>
      <c r="D485" s="56"/>
      <c r="E485" s="56"/>
      <c r="F485" s="56"/>
      <c r="G485" s="56"/>
      <c r="H485" s="56"/>
      <c r="I485" s="56"/>
      <c r="J485" s="56"/>
      <c r="K485" s="56"/>
      <c r="L485" s="57"/>
      <c r="M485" s="57"/>
      <c r="N485" s="57"/>
      <c r="O485" s="56"/>
      <c r="P485" s="56"/>
      <c r="Q485" s="56"/>
      <c r="R485" s="56"/>
      <c r="S485" s="56"/>
      <c r="T485" s="56"/>
      <c r="U485" s="56"/>
      <c r="V485" s="56"/>
      <c r="W485" s="57"/>
      <c r="X485" s="56"/>
      <c r="Y485" s="56"/>
      <c r="Z485" s="56"/>
      <c r="AA485" s="57"/>
      <c r="AB485" s="56"/>
      <c r="AC485" s="56"/>
      <c r="AD485" s="56"/>
      <c r="AE485" s="56"/>
      <c r="AF485" s="56"/>
      <c r="AG485" s="57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1"/>
      <c r="AV485" s="1"/>
    </row>
    <row r="486" spans="1:48" ht="15.75" customHeight="1" x14ac:dyDescent="0.2">
      <c r="A486" s="56"/>
      <c r="B486" s="56"/>
      <c r="C486" s="56"/>
      <c r="D486" s="56"/>
      <c r="E486" s="56"/>
      <c r="F486" s="56"/>
      <c r="G486" s="56"/>
      <c r="H486" s="56"/>
      <c r="I486" s="56"/>
      <c r="J486" s="56"/>
      <c r="K486" s="56"/>
      <c r="L486" s="57"/>
      <c r="M486" s="57"/>
      <c r="N486" s="57"/>
      <c r="O486" s="56"/>
      <c r="P486" s="56"/>
      <c r="Q486" s="56"/>
      <c r="R486" s="56"/>
      <c r="S486" s="56"/>
      <c r="T486" s="56"/>
      <c r="U486" s="56"/>
      <c r="V486" s="56"/>
      <c r="W486" s="57"/>
      <c r="X486" s="56"/>
      <c r="Y486" s="56"/>
      <c r="Z486" s="56"/>
      <c r="AA486" s="57"/>
      <c r="AB486" s="56"/>
      <c r="AC486" s="56"/>
      <c r="AD486" s="56"/>
      <c r="AE486" s="56"/>
      <c r="AF486" s="56"/>
      <c r="AG486" s="57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1"/>
      <c r="AV486" s="1"/>
    </row>
    <row r="487" spans="1:48" ht="15.75" customHeight="1" x14ac:dyDescent="0.2">
      <c r="A487" s="56"/>
      <c r="B487" s="56"/>
      <c r="C487" s="56"/>
      <c r="D487" s="56"/>
      <c r="E487" s="56"/>
      <c r="F487" s="56"/>
      <c r="G487" s="56"/>
      <c r="H487" s="56"/>
      <c r="I487" s="56"/>
      <c r="J487" s="56"/>
      <c r="K487" s="56"/>
      <c r="L487" s="57"/>
      <c r="M487" s="57"/>
      <c r="N487" s="57"/>
      <c r="O487" s="56"/>
      <c r="P487" s="56"/>
      <c r="Q487" s="56"/>
      <c r="R487" s="56"/>
      <c r="S487" s="56"/>
      <c r="T487" s="56"/>
      <c r="U487" s="56"/>
      <c r="V487" s="56"/>
      <c r="W487" s="57"/>
      <c r="X487" s="56"/>
      <c r="Y487" s="56"/>
      <c r="Z487" s="56"/>
      <c r="AA487" s="57"/>
      <c r="AB487" s="56"/>
      <c r="AC487" s="56"/>
      <c r="AD487" s="56"/>
      <c r="AE487" s="56"/>
      <c r="AF487" s="56"/>
      <c r="AG487" s="57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1"/>
      <c r="AV487" s="1"/>
    </row>
    <row r="488" spans="1:48" ht="15.75" customHeight="1" x14ac:dyDescent="0.2">
      <c r="A488" s="56"/>
      <c r="B488" s="56"/>
      <c r="C488" s="56"/>
      <c r="D488" s="56"/>
      <c r="E488" s="56"/>
      <c r="F488" s="56"/>
      <c r="G488" s="56"/>
      <c r="H488" s="56"/>
      <c r="I488" s="56"/>
      <c r="J488" s="56"/>
      <c r="K488" s="56"/>
      <c r="L488" s="57"/>
      <c r="M488" s="57"/>
      <c r="N488" s="57"/>
      <c r="O488" s="56"/>
      <c r="P488" s="56"/>
      <c r="Q488" s="56"/>
      <c r="R488" s="56"/>
      <c r="S488" s="56"/>
      <c r="T488" s="56"/>
      <c r="U488" s="56"/>
      <c r="V488" s="56"/>
      <c r="W488" s="57"/>
      <c r="X488" s="56"/>
      <c r="Y488" s="56"/>
      <c r="Z488" s="56"/>
      <c r="AA488" s="57"/>
      <c r="AB488" s="56"/>
      <c r="AC488" s="56"/>
      <c r="AD488" s="56"/>
      <c r="AE488" s="56"/>
      <c r="AF488" s="56"/>
      <c r="AG488" s="57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1"/>
      <c r="AV488" s="1"/>
    </row>
    <row r="489" spans="1:48" ht="15.75" customHeight="1" x14ac:dyDescent="0.2">
      <c r="A489" s="56"/>
      <c r="B489" s="56"/>
      <c r="C489" s="56"/>
      <c r="D489" s="56"/>
      <c r="E489" s="56"/>
      <c r="F489" s="56"/>
      <c r="G489" s="56"/>
      <c r="H489" s="56"/>
      <c r="I489" s="56"/>
      <c r="J489" s="56"/>
      <c r="K489" s="56"/>
      <c r="L489" s="57"/>
      <c r="M489" s="57"/>
      <c r="N489" s="57"/>
      <c r="O489" s="56"/>
      <c r="P489" s="56"/>
      <c r="Q489" s="56"/>
      <c r="R489" s="56"/>
      <c r="S489" s="56"/>
      <c r="T489" s="56"/>
      <c r="U489" s="56"/>
      <c r="V489" s="56"/>
      <c r="W489" s="57"/>
      <c r="X489" s="56"/>
      <c r="Y489" s="56"/>
      <c r="Z489" s="56"/>
      <c r="AA489" s="57"/>
      <c r="AB489" s="56"/>
      <c r="AC489" s="56"/>
      <c r="AD489" s="56"/>
      <c r="AE489" s="56"/>
      <c r="AF489" s="56"/>
      <c r="AG489" s="57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1"/>
      <c r="AV489" s="1"/>
    </row>
    <row r="490" spans="1:48" ht="15.75" customHeight="1" x14ac:dyDescent="0.2">
      <c r="A490" s="56"/>
      <c r="B490" s="56"/>
      <c r="C490" s="56"/>
      <c r="D490" s="56"/>
      <c r="E490" s="56"/>
      <c r="F490" s="56"/>
      <c r="G490" s="56"/>
      <c r="H490" s="56"/>
      <c r="I490" s="56"/>
      <c r="J490" s="56"/>
      <c r="K490" s="56"/>
      <c r="L490" s="57"/>
      <c r="M490" s="57"/>
      <c r="N490" s="57"/>
      <c r="O490" s="56"/>
      <c r="P490" s="56"/>
      <c r="Q490" s="56"/>
      <c r="R490" s="56"/>
      <c r="S490" s="56"/>
      <c r="T490" s="56"/>
      <c r="U490" s="56"/>
      <c r="V490" s="56"/>
      <c r="W490" s="57"/>
      <c r="X490" s="56"/>
      <c r="Y490" s="56"/>
      <c r="Z490" s="56"/>
      <c r="AA490" s="57"/>
      <c r="AB490" s="56"/>
      <c r="AC490" s="56"/>
      <c r="AD490" s="56"/>
      <c r="AE490" s="56"/>
      <c r="AF490" s="56"/>
      <c r="AG490" s="57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1"/>
      <c r="AV490" s="1"/>
    </row>
    <row r="491" spans="1:48" ht="15.75" customHeight="1" x14ac:dyDescent="0.2">
      <c r="A491" s="56"/>
      <c r="B491" s="56"/>
      <c r="C491" s="56"/>
      <c r="D491" s="56"/>
      <c r="E491" s="56"/>
      <c r="F491" s="56"/>
      <c r="G491" s="56"/>
      <c r="H491" s="56"/>
      <c r="I491" s="56"/>
      <c r="J491" s="56"/>
      <c r="K491" s="56"/>
      <c r="L491" s="57"/>
      <c r="M491" s="57"/>
      <c r="N491" s="57"/>
      <c r="O491" s="56"/>
      <c r="P491" s="56"/>
      <c r="Q491" s="56"/>
      <c r="R491" s="56"/>
      <c r="S491" s="56"/>
      <c r="T491" s="56"/>
      <c r="U491" s="56"/>
      <c r="V491" s="56"/>
      <c r="W491" s="57"/>
      <c r="X491" s="56"/>
      <c r="Y491" s="56"/>
      <c r="Z491" s="56"/>
      <c r="AA491" s="57"/>
      <c r="AB491" s="56"/>
      <c r="AC491" s="56"/>
      <c r="AD491" s="56"/>
      <c r="AE491" s="56"/>
      <c r="AF491" s="56"/>
      <c r="AG491" s="57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1"/>
      <c r="AV491" s="1"/>
    </row>
    <row r="492" spans="1:48" ht="15.75" customHeight="1" x14ac:dyDescent="0.2">
      <c r="A492" s="56"/>
      <c r="B492" s="56"/>
      <c r="C492" s="56"/>
      <c r="D492" s="56"/>
      <c r="E492" s="56"/>
      <c r="F492" s="56"/>
      <c r="G492" s="56"/>
      <c r="H492" s="56"/>
      <c r="I492" s="56"/>
      <c r="J492" s="56"/>
      <c r="K492" s="56"/>
      <c r="L492" s="57"/>
      <c r="M492" s="57"/>
      <c r="N492" s="57"/>
      <c r="O492" s="56"/>
      <c r="P492" s="56"/>
      <c r="Q492" s="56"/>
      <c r="R492" s="56"/>
      <c r="S492" s="56"/>
      <c r="T492" s="56"/>
      <c r="U492" s="56"/>
      <c r="V492" s="56"/>
      <c r="W492" s="57"/>
      <c r="X492" s="56"/>
      <c r="Y492" s="56"/>
      <c r="Z492" s="56"/>
      <c r="AA492" s="57"/>
      <c r="AB492" s="56"/>
      <c r="AC492" s="56"/>
      <c r="AD492" s="56"/>
      <c r="AE492" s="56"/>
      <c r="AF492" s="56"/>
      <c r="AG492" s="57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1"/>
      <c r="AV492" s="1"/>
    </row>
    <row r="493" spans="1:48" ht="15.75" customHeight="1" x14ac:dyDescent="0.2">
      <c r="A493" s="56"/>
      <c r="B493" s="56"/>
      <c r="C493" s="56"/>
      <c r="D493" s="56"/>
      <c r="E493" s="56"/>
      <c r="F493" s="56"/>
      <c r="G493" s="56"/>
      <c r="H493" s="56"/>
      <c r="I493" s="56"/>
      <c r="J493" s="56"/>
      <c r="K493" s="56"/>
      <c r="L493" s="57"/>
      <c r="M493" s="57"/>
      <c r="N493" s="57"/>
      <c r="O493" s="56"/>
      <c r="P493" s="56"/>
      <c r="Q493" s="56"/>
      <c r="R493" s="56"/>
      <c r="S493" s="56"/>
      <c r="T493" s="56"/>
      <c r="U493" s="56"/>
      <c r="V493" s="56"/>
      <c r="W493" s="57"/>
      <c r="X493" s="56"/>
      <c r="Y493" s="56"/>
      <c r="Z493" s="56"/>
      <c r="AA493" s="57"/>
      <c r="AB493" s="56"/>
      <c r="AC493" s="56"/>
      <c r="AD493" s="56"/>
      <c r="AE493" s="56"/>
      <c r="AF493" s="56"/>
      <c r="AG493" s="57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1"/>
      <c r="AV493" s="1"/>
    </row>
    <row r="494" spans="1:48" ht="15.75" customHeight="1" x14ac:dyDescent="0.2">
      <c r="A494" s="56"/>
      <c r="B494" s="56"/>
      <c r="C494" s="56"/>
      <c r="D494" s="56"/>
      <c r="E494" s="56"/>
      <c r="F494" s="56"/>
      <c r="G494" s="56"/>
      <c r="H494" s="56"/>
      <c r="I494" s="56"/>
      <c r="J494" s="56"/>
      <c r="K494" s="56"/>
      <c r="L494" s="57"/>
      <c r="M494" s="57"/>
      <c r="N494" s="57"/>
      <c r="O494" s="56"/>
      <c r="P494" s="56"/>
      <c r="Q494" s="56"/>
      <c r="R494" s="56"/>
      <c r="S494" s="56"/>
      <c r="T494" s="56"/>
      <c r="U494" s="56"/>
      <c r="V494" s="56"/>
      <c r="W494" s="57"/>
      <c r="X494" s="56"/>
      <c r="Y494" s="56"/>
      <c r="Z494" s="56"/>
      <c r="AA494" s="57"/>
      <c r="AB494" s="56"/>
      <c r="AC494" s="56"/>
      <c r="AD494" s="56"/>
      <c r="AE494" s="56"/>
      <c r="AF494" s="56"/>
      <c r="AG494" s="57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1"/>
      <c r="AV494" s="1"/>
    </row>
    <row r="495" spans="1:48" ht="15.75" customHeight="1" x14ac:dyDescent="0.2">
      <c r="A495" s="56"/>
      <c r="B495" s="56"/>
      <c r="C495" s="56"/>
      <c r="D495" s="56"/>
      <c r="E495" s="56"/>
      <c r="F495" s="56"/>
      <c r="G495" s="56"/>
      <c r="H495" s="56"/>
      <c r="I495" s="56"/>
      <c r="J495" s="56"/>
      <c r="K495" s="56"/>
      <c r="L495" s="57"/>
      <c r="M495" s="57"/>
      <c r="N495" s="57"/>
      <c r="O495" s="56"/>
      <c r="P495" s="56"/>
      <c r="Q495" s="56"/>
      <c r="R495" s="56"/>
      <c r="S495" s="56"/>
      <c r="T495" s="56"/>
      <c r="U495" s="56"/>
      <c r="V495" s="56"/>
      <c r="W495" s="57"/>
      <c r="X495" s="56"/>
      <c r="Y495" s="56"/>
      <c r="Z495" s="56"/>
      <c r="AA495" s="57"/>
      <c r="AB495" s="56"/>
      <c r="AC495" s="56"/>
      <c r="AD495" s="56"/>
      <c r="AE495" s="56"/>
      <c r="AF495" s="56"/>
      <c r="AG495" s="57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1"/>
      <c r="AV495" s="1"/>
    </row>
    <row r="496" spans="1:48" ht="15.75" customHeight="1" x14ac:dyDescent="0.2">
      <c r="A496" s="56"/>
      <c r="B496" s="56"/>
      <c r="C496" s="56"/>
      <c r="D496" s="56"/>
      <c r="E496" s="56"/>
      <c r="F496" s="56"/>
      <c r="G496" s="56"/>
      <c r="H496" s="56"/>
      <c r="I496" s="56"/>
      <c r="J496" s="56"/>
      <c r="K496" s="56"/>
      <c r="L496" s="57"/>
      <c r="M496" s="57"/>
      <c r="N496" s="57"/>
      <c r="O496" s="56"/>
      <c r="P496" s="56"/>
      <c r="Q496" s="56"/>
      <c r="R496" s="56"/>
      <c r="S496" s="56"/>
      <c r="T496" s="56"/>
      <c r="U496" s="56"/>
      <c r="V496" s="56"/>
      <c r="W496" s="57"/>
      <c r="X496" s="56"/>
      <c r="Y496" s="56"/>
      <c r="Z496" s="56"/>
      <c r="AA496" s="57"/>
      <c r="AB496" s="56"/>
      <c r="AC496" s="56"/>
      <c r="AD496" s="56"/>
      <c r="AE496" s="56"/>
      <c r="AF496" s="56"/>
      <c r="AG496" s="57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1"/>
      <c r="AV496" s="1"/>
    </row>
    <row r="497" spans="1:48" ht="15.75" customHeight="1" x14ac:dyDescent="0.2">
      <c r="A497" s="56"/>
      <c r="B497" s="56"/>
      <c r="C497" s="56"/>
      <c r="D497" s="56"/>
      <c r="E497" s="56"/>
      <c r="F497" s="56"/>
      <c r="G497" s="56"/>
      <c r="H497" s="56"/>
      <c r="I497" s="56"/>
      <c r="J497" s="56"/>
      <c r="K497" s="56"/>
      <c r="L497" s="57"/>
      <c r="M497" s="57"/>
      <c r="N497" s="57"/>
      <c r="O497" s="56"/>
      <c r="P497" s="56"/>
      <c r="Q497" s="56"/>
      <c r="R497" s="56"/>
      <c r="S497" s="56"/>
      <c r="T497" s="56"/>
      <c r="U497" s="56"/>
      <c r="V497" s="56"/>
      <c r="W497" s="57"/>
      <c r="X497" s="56"/>
      <c r="Y497" s="56"/>
      <c r="Z497" s="56"/>
      <c r="AA497" s="57"/>
      <c r="AB497" s="56"/>
      <c r="AC497" s="56"/>
      <c r="AD497" s="56"/>
      <c r="AE497" s="56"/>
      <c r="AF497" s="56"/>
      <c r="AG497" s="57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1"/>
      <c r="AV497" s="1"/>
    </row>
  </sheetData>
  <mergeCells count="16">
    <mergeCell ref="AQ3:AT3"/>
    <mergeCell ref="AQ1:AT1"/>
    <mergeCell ref="I2:L2"/>
    <mergeCell ref="O2:X2"/>
    <mergeCell ref="Z2:AP2"/>
    <mergeCell ref="AQ2:AT2"/>
    <mergeCell ref="AG3:AI3"/>
    <mergeCell ref="AJ3:AL3"/>
    <mergeCell ref="AM3:AO3"/>
    <mergeCell ref="A1:H4"/>
    <mergeCell ref="I1:AP1"/>
    <mergeCell ref="I3:L3"/>
    <mergeCell ref="O3:R3"/>
    <mergeCell ref="U3:W3"/>
    <mergeCell ref="Z3:AB3"/>
    <mergeCell ref="AC3:AF3"/>
  </mergeCell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L957"/>
  <sheetViews>
    <sheetView workbookViewId="0">
      <pane xSplit="8" ySplit="5" topLeftCell="I6" activePane="bottomRight" state="frozen"/>
      <selection pane="topRight" activeCell="J1" sqref="J1"/>
      <selection pane="bottomLeft" activeCell="A6" sqref="A6"/>
      <selection pane="bottomRight" activeCell="D25" sqref="D25"/>
    </sheetView>
  </sheetViews>
  <sheetFormatPr defaultColWidth="12.5703125" defaultRowHeight="15" customHeight="1" x14ac:dyDescent="0.2"/>
  <cols>
    <col min="1" max="1" width="4.140625" customWidth="1"/>
    <col min="3" max="5" width="10.42578125" customWidth="1"/>
    <col min="6" max="6" width="15.140625" customWidth="1"/>
    <col min="7" max="8" width="10.42578125" customWidth="1"/>
    <col min="9" max="10" width="9.140625" customWidth="1"/>
    <col min="11" max="14" width="9.42578125" customWidth="1"/>
    <col min="15" max="19" width="11.28515625" customWidth="1"/>
    <col min="20" max="23" width="12" customWidth="1"/>
    <col min="24" max="24" width="15" customWidth="1"/>
    <col min="25" max="25" width="11.42578125" customWidth="1"/>
    <col min="26" max="27" width="13.28515625" customWidth="1"/>
    <col min="28" max="31" width="10.7109375" customWidth="1"/>
    <col min="32" max="32" width="8.85546875" customWidth="1"/>
    <col min="33" max="37" width="9.140625" customWidth="1"/>
    <col min="38" max="41" width="7.5703125" customWidth="1"/>
    <col min="42" max="42" width="13.7109375" customWidth="1"/>
    <col min="43" max="45" width="7.5703125" customWidth="1"/>
    <col min="46" max="47" width="10.7109375" customWidth="1"/>
  </cols>
  <sheetData>
    <row r="1" spans="1:64" ht="15.75" customHeight="1" x14ac:dyDescent="0.2">
      <c r="A1" s="139" t="s">
        <v>36</v>
      </c>
      <c r="B1" s="140"/>
      <c r="C1" s="140"/>
      <c r="D1" s="140"/>
      <c r="E1" s="140"/>
      <c r="F1" s="140"/>
      <c r="G1" s="140"/>
      <c r="H1" s="141"/>
      <c r="I1" s="148" t="s">
        <v>1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4"/>
      <c r="AT1" s="134"/>
      <c r="AU1" s="136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</row>
    <row r="2" spans="1:64" ht="56.25" customHeight="1" x14ac:dyDescent="0.2">
      <c r="A2" s="142"/>
      <c r="B2" s="143"/>
      <c r="C2" s="143"/>
      <c r="D2" s="143"/>
      <c r="E2" s="143"/>
      <c r="F2" s="143"/>
      <c r="G2" s="143"/>
      <c r="H2" s="144"/>
      <c r="I2" s="133" t="s">
        <v>2</v>
      </c>
      <c r="J2" s="134"/>
      <c r="K2" s="134"/>
      <c r="L2" s="134"/>
      <c r="M2" s="2"/>
      <c r="N2" s="2"/>
      <c r="O2" s="150" t="s">
        <v>3</v>
      </c>
      <c r="P2" s="134"/>
      <c r="Q2" s="134"/>
      <c r="R2" s="134"/>
      <c r="S2" s="134"/>
      <c r="T2" s="134"/>
      <c r="U2" s="134"/>
      <c r="V2" s="134"/>
      <c r="W2" s="151" t="s">
        <v>37</v>
      </c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6"/>
      <c r="AI2" s="14"/>
      <c r="AJ2" s="156" t="s">
        <v>38</v>
      </c>
      <c r="AK2" s="134"/>
      <c r="AL2" s="134"/>
      <c r="AM2" s="134"/>
      <c r="AN2" s="134"/>
      <c r="AO2" s="134"/>
      <c r="AP2" s="134"/>
      <c r="AQ2" s="136"/>
      <c r="AR2" s="152" t="s">
        <v>5</v>
      </c>
      <c r="AS2" s="134"/>
      <c r="AT2" s="134"/>
      <c r="AU2" s="134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</row>
    <row r="3" spans="1:64" ht="40.5" customHeight="1" x14ac:dyDescent="0.2">
      <c r="A3" s="142"/>
      <c r="B3" s="143"/>
      <c r="C3" s="143"/>
      <c r="D3" s="143"/>
      <c r="E3" s="143"/>
      <c r="F3" s="143"/>
      <c r="G3" s="143"/>
      <c r="H3" s="144"/>
      <c r="I3" s="133" t="s">
        <v>2</v>
      </c>
      <c r="J3" s="134"/>
      <c r="K3" s="134"/>
      <c r="L3" s="134"/>
      <c r="M3" s="2"/>
      <c r="N3" s="2"/>
      <c r="O3" s="135" t="s">
        <v>6</v>
      </c>
      <c r="P3" s="134"/>
      <c r="Q3" s="134"/>
      <c r="R3" s="137"/>
      <c r="S3" s="135" t="s">
        <v>7</v>
      </c>
      <c r="T3" s="134"/>
      <c r="U3" s="137"/>
      <c r="V3" s="5"/>
      <c r="W3" s="138" t="s">
        <v>39</v>
      </c>
      <c r="X3" s="134"/>
      <c r="Y3" s="136"/>
      <c r="Z3" s="138" t="s">
        <v>40</v>
      </c>
      <c r="AA3" s="134"/>
      <c r="AB3" s="134"/>
      <c r="AC3" s="6"/>
      <c r="AD3" s="6"/>
      <c r="AE3" s="138" t="s">
        <v>41</v>
      </c>
      <c r="AF3" s="134"/>
      <c r="AG3" s="134"/>
      <c r="AH3" s="7"/>
      <c r="AI3" s="7"/>
      <c r="AJ3" s="154" t="s">
        <v>42</v>
      </c>
      <c r="AK3" s="134"/>
      <c r="AL3" s="136"/>
      <c r="AM3" s="155" t="s">
        <v>43</v>
      </c>
      <c r="AN3" s="134"/>
      <c r="AO3" s="136"/>
      <c r="AP3" s="59" t="s">
        <v>44</v>
      </c>
      <c r="AQ3" s="59"/>
      <c r="AR3" s="153" t="s">
        <v>13</v>
      </c>
      <c r="AS3" s="134"/>
      <c r="AT3" s="134"/>
      <c r="AU3" s="136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</row>
    <row r="4" spans="1:64" ht="15.75" customHeight="1" x14ac:dyDescent="0.2">
      <c r="A4" s="145"/>
      <c r="B4" s="146"/>
      <c r="C4" s="146"/>
      <c r="D4" s="146"/>
      <c r="E4" s="146"/>
      <c r="F4" s="146"/>
      <c r="G4" s="146"/>
      <c r="H4" s="147"/>
      <c r="I4" s="8">
        <v>1</v>
      </c>
      <c r="J4" s="8">
        <v>2</v>
      </c>
      <c r="K4" s="9">
        <v>3</v>
      </c>
      <c r="L4" s="9">
        <v>6</v>
      </c>
      <c r="M4" s="9"/>
      <c r="N4" s="9"/>
      <c r="O4" s="10">
        <v>1</v>
      </c>
      <c r="P4" s="10">
        <v>1</v>
      </c>
      <c r="Q4" s="10">
        <v>1</v>
      </c>
      <c r="R4" s="10">
        <v>1</v>
      </c>
      <c r="S4" s="10">
        <v>2</v>
      </c>
      <c r="T4" s="12">
        <v>1</v>
      </c>
      <c r="U4" s="10">
        <v>1</v>
      </c>
      <c r="V4" s="13">
        <v>6</v>
      </c>
      <c r="W4" s="14">
        <v>1</v>
      </c>
      <c r="X4" s="14">
        <v>2</v>
      </c>
      <c r="Y4" s="14">
        <v>1</v>
      </c>
      <c r="Z4" s="14">
        <v>1</v>
      </c>
      <c r="AA4" s="14">
        <v>2</v>
      </c>
      <c r="AB4" s="14">
        <v>1</v>
      </c>
      <c r="AC4" s="14"/>
      <c r="AD4" s="14"/>
      <c r="AE4" s="14">
        <v>2</v>
      </c>
      <c r="AF4" s="14">
        <v>1</v>
      </c>
      <c r="AG4" s="14">
        <v>1</v>
      </c>
      <c r="AH4" s="7">
        <v>9</v>
      </c>
      <c r="AI4" s="7"/>
      <c r="AJ4" s="60">
        <v>1</v>
      </c>
      <c r="AK4" s="61">
        <v>1</v>
      </c>
      <c r="AL4" s="61">
        <v>1</v>
      </c>
      <c r="AM4" s="62">
        <v>1</v>
      </c>
      <c r="AN4" s="62">
        <v>1</v>
      </c>
      <c r="AO4" s="62">
        <v>1</v>
      </c>
      <c r="AP4" s="15">
        <v>1</v>
      </c>
      <c r="AQ4" s="15">
        <v>6</v>
      </c>
      <c r="AR4" s="15">
        <v>2</v>
      </c>
      <c r="AS4" s="15">
        <v>3</v>
      </c>
      <c r="AT4" s="15">
        <v>3</v>
      </c>
      <c r="AU4" s="15">
        <v>3</v>
      </c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</row>
    <row r="5" spans="1:64" ht="34.5" customHeight="1" x14ac:dyDescent="0.2">
      <c r="A5" s="63"/>
      <c r="B5" s="63" t="s">
        <v>17</v>
      </c>
      <c r="C5" s="17" t="s">
        <v>45</v>
      </c>
      <c r="D5" s="17" t="s">
        <v>19</v>
      </c>
      <c r="E5" s="18" t="s">
        <v>46</v>
      </c>
      <c r="F5" s="18" t="s">
        <v>47</v>
      </c>
      <c r="G5" s="18" t="s">
        <v>22</v>
      </c>
      <c r="H5" s="18" t="s">
        <v>23</v>
      </c>
      <c r="I5" s="19" t="s">
        <v>24</v>
      </c>
      <c r="J5" s="19" t="s">
        <v>25</v>
      </c>
      <c r="K5" s="19" t="s">
        <v>26</v>
      </c>
      <c r="L5" s="9" t="s">
        <v>27</v>
      </c>
      <c r="M5" s="9" t="s">
        <v>28</v>
      </c>
      <c r="N5" s="9" t="s">
        <v>48</v>
      </c>
      <c r="O5" s="10" t="s">
        <v>30</v>
      </c>
      <c r="P5" s="10" t="s">
        <v>31</v>
      </c>
      <c r="Q5" s="10" t="s">
        <v>32</v>
      </c>
      <c r="R5" s="11" t="s">
        <v>49</v>
      </c>
      <c r="S5" s="10" t="s">
        <v>30</v>
      </c>
      <c r="T5" s="10" t="s">
        <v>31</v>
      </c>
      <c r="U5" s="10" t="s">
        <v>33</v>
      </c>
      <c r="V5" s="13" t="s">
        <v>27</v>
      </c>
      <c r="W5" s="7" t="s">
        <v>30</v>
      </c>
      <c r="X5" s="14" t="s">
        <v>31</v>
      </c>
      <c r="Y5" s="14" t="s">
        <v>33</v>
      </c>
      <c r="Z5" s="7" t="s">
        <v>30</v>
      </c>
      <c r="AA5" s="14" t="s">
        <v>31</v>
      </c>
      <c r="AB5" s="14" t="s">
        <v>33</v>
      </c>
      <c r="AC5" s="14" t="s">
        <v>28</v>
      </c>
      <c r="AD5" s="14" t="s">
        <v>50</v>
      </c>
      <c r="AE5" s="14" t="s">
        <v>30</v>
      </c>
      <c r="AF5" s="14" t="s">
        <v>31</v>
      </c>
      <c r="AG5" s="14" t="s">
        <v>33</v>
      </c>
      <c r="AH5" s="7" t="s">
        <v>27</v>
      </c>
      <c r="AI5" s="14" t="s">
        <v>50</v>
      </c>
      <c r="AJ5" s="60" t="s">
        <v>30</v>
      </c>
      <c r="AK5" s="60" t="s">
        <v>31</v>
      </c>
      <c r="AL5" s="60" t="s">
        <v>33</v>
      </c>
      <c r="AM5" s="64" t="s">
        <v>30</v>
      </c>
      <c r="AN5" s="64" t="s">
        <v>30</v>
      </c>
      <c r="AO5" s="64" t="s">
        <v>33</v>
      </c>
      <c r="AP5" s="15" t="s">
        <v>30</v>
      </c>
      <c r="AQ5" s="15" t="s">
        <v>27</v>
      </c>
      <c r="AR5" s="15" t="s">
        <v>30</v>
      </c>
      <c r="AS5" s="15" t="s">
        <v>31</v>
      </c>
      <c r="AT5" s="15" t="s">
        <v>32</v>
      </c>
      <c r="AU5" s="15" t="s">
        <v>27</v>
      </c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</row>
    <row r="6" spans="1:64" ht="13.5" customHeight="1" x14ac:dyDescent="0.2">
      <c r="A6" s="65">
        <v>1</v>
      </c>
      <c r="B6" s="66">
        <v>22222087</v>
      </c>
      <c r="C6" s="32">
        <v>4.8517920634920637</v>
      </c>
      <c r="D6" s="32">
        <v>4.9406809523809523</v>
      </c>
      <c r="E6" s="32">
        <f t="shared" ref="E6:E8" si="0">((L6*6)+(V6*6)+(AH6*9)+(AQ6*6)+(AU6*3))/30</f>
        <v>8.4092499999999983</v>
      </c>
      <c r="F6" s="32"/>
      <c r="G6" s="33">
        <f t="shared" ref="G6:G56" si="1">(C6+E6)/2</f>
        <v>6.6305210317460315</v>
      </c>
      <c r="H6" s="33">
        <f t="shared" ref="H6:H7" si="2">(D6+E6)/2</f>
        <v>6.6749654761904758</v>
      </c>
      <c r="I6" s="26">
        <v>14</v>
      </c>
      <c r="J6" s="26">
        <v>0.75</v>
      </c>
      <c r="K6" s="67">
        <v>6.5</v>
      </c>
      <c r="L6" s="23">
        <f t="shared" ref="L6:L8" si="3">(I6+(J6*2)+(K6*3))/6</f>
        <v>5.833333333333333</v>
      </c>
      <c r="M6" s="23"/>
      <c r="N6" s="23"/>
      <c r="O6" s="26">
        <v>0.5</v>
      </c>
      <c r="P6" s="26">
        <v>0</v>
      </c>
      <c r="Q6" s="26">
        <v>0</v>
      </c>
      <c r="R6" s="22">
        <f>(O6+P6+Q6)/3</f>
        <v>0.16666666666666666</v>
      </c>
      <c r="S6" s="22">
        <v>14.590999999999999</v>
      </c>
      <c r="T6" s="23">
        <v>15.773</v>
      </c>
      <c r="U6" s="23">
        <f>((S6*2)+T6)/3</f>
        <v>14.984999999999999</v>
      </c>
      <c r="V6" s="23">
        <f t="shared" ref="V6:V8" si="4">(R6+U6)/2</f>
        <v>7.5758333333333328</v>
      </c>
      <c r="W6" s="68">
        <v>0</v>
      </c>
      <c r="X6" s="29">
        <v>0.33</v>
      </c>
      <c r="Y6" s="69">
        <f t="shared" ref="Y6:Y7" si="5">(W6+(X6*2))/3</f>
        <v>0.22</v>
      </c>
      <c r="Z6" s="26">
        <v>8.1999999999999993</v>
      </c>
      <c r="AA6" s="26">
        <v>3.1</v>
      </c>
      <c r="AB6" s="22">
        <f t="shared" ref="AB6:AB8" si="6">(Z6+(AA6*2))/3</f>
        <v>4.8</v>
      </c>
      <c r="AC6" s="22"/>
      <c r="AD6" s="22"/>
      <c r="AE6" s="26">
        <v>10</v>
      </c>
      <c r="AF6" s="44">
        <v>12.5</v>
      </c>
      <c r="AG6" s="23">
        <f>((AE6*2)+AF6)/3</f>
        <v>10.833333333333334</v>
      </c>
      <c r="AH6" s="23">
        <f t="shared" ref="AH6:AH8" si="7">(Y6+AB6+AG6)/3</f>
        <v>5.2844444444444445</v>
      </c>
      <c r="AI6" s="23"/>
      <c r="AJ6" s="26">
        <v>18</v>
      </c>
      <c r="AK6" s="26">
        <v>18.2</v>
      </c>
      <c r="AL6" s="23">
        <f>AVERAGE(AJ6:AK6)</f>
        <v>18.100000000000001</v>
      </c>
      <c r="AM6" s="26">
        <v>13.25</v>
      </c>
      <c r="AN6" s="22">
        <v>0</v>
      </c>
      <c r="AO6" s="22">
        <f>AVERAGE(AM6:AN6)</f>
        <v>6.625</v>
      </c>
      <c r="AP6" s="26">
        <v>18</v>
      </c>
      <c r="AQ6" s="23">
        <f t="shared" ref="AQ6:AQ8" si="8">(AL6+AO6+AP6)/3</f>
        <v>14.241666666666667</v>
      </c>
      <c r="AR6" s="26">
        <v>10.5</v>
      </c>
      <c r="AS6" s="26">
        <v>12.5</v>
      </c>
      <c r="AT6" s="26">
        <v>15</v>
      </c>
      <c r="AU6" s="22">
        <f t="shared" ref="AU6:AU7" si="9">((AR6*2)+(AS6*3)+(AT6*3))/8</f>
        <v>12.9375</v>
      </c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</row>
    <row r="7" spans="1:64" ht="17.25" customHeight="1" x14ac:dyDescent="0.2">
      <c r="A7" s="65">
        <v>2</v>
      </c>
      <c r="B7" s="71">
        <v>22022853</v>
      </c>
      <c r="C7" s="72">
        <v>7.5953253968253964</v>
      </c>
      <c r="D7" s="72">
        <v>7.9512777777777774</v>
      </c>
      <c r="E7" s="32">
        <f t="shared" si="0"/>
        <v>8.6496666666666666</v>
      </c>
      <c r="F7" s="32"/>
      <c r="G7" s="33">
        <f t="shared" si="1"/>
        <v>8.1224960317460315</v>
      </c>
      <c r="H7" s="33">
        <f t="shared" si="2"/>
        <v>8.300472222222222</v>
      </c>
      <c r="I7" s="26">
        <v>18</v>
      </c>
      <c r="J7" s="26">
        <v>2.5</v>
      </c>
      <c r="K7" s="67">
        <v>0</v>
      </c>
      <c r="L7" s="23">
        <f t="shared" si="3"/>
        <v>3.8333333333333335</v>
      </c>
      <c r="M7" s="23"/>
      <c r="N7" s="23"/>
      <c r="O7" s="26"/>
      <c r="P7" s="26"/>
      <c r="Q7" s="26"/>
      <c r="R7" s="22">
        <v>4.83</v>
      </c>
      <c r="S7" s="22"/>
      <c r="T7" s="23"/>
      <c r="U7" s="23">
        <v>15.81</v>
      </c>
      <c r="V7" s="23">
        <f t="shared" si="4"/>
        <v>10.32</v>
      </c>
      <c r="W7" s="40">
        <v>8.91</v>
      </c>
      <c r="X7" s="41">
        <v>3.83</v>
      </c>
      <c r="Y7" s="69">
        <f t="shared" si="5"/>
        <v>5.5233333333333334</v>
      </c>
      <c r="Z7" s="26">
        <v>11.1</v>
      </c>
      <c r="AA7" s="26">
        <v>3.7</v>
      </c>
      <c r="AB7" s="22">
        <f t="shared" si="6"/>
        <v>6.166666666666667</v>
      </c>
      <c r="AC7" s="38"/>
      <c r="AD7" s="38"/>
      <c r="AE7" s="35"/>
      <c r="AF7" s="36"/>
      <c r="AG7" s="23">
        <v>14</v>
      </c>
      <c r="AH7" s="23">
        <f t="shared" si="7"/>
        <v>8.5633333333333344</v>
      </c>
      <c r="AI7" s="23"/>
      <c r="AJ7" s="22"/>
      <c r="AK7" s="22"/>
      <c r="AL7" s="23">
        <v>12</v>
      </c>
      <c r="AM7" s="23"/>
      <c r="AN7" s="22"/>
      <c r="AO7" s="22">
        <v>11.25</v>
      </c>
      <c r="AP7" s="23">
        <v>6</v>
      </c>
      <c r="AQ7" s="23">
        <f t="shared" si="8"/>
        <v>9.75</v>
      </c>
      <c r="AR7" s="26">
        <v>12.25</v>
      </c>
      <c r="AS7" s="26">
        <v>14.5</v>
      </c>
      <c r="AT7" s="26">
        <v>12</v>
      </c>
      <c r="AU7" s="22">
        <f t="shared" si="9"/>
        <v>13</v>
      </c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</row>
    <row r="8" spans="1:64" ht="17.25" customHeight="1" x14ac:dyDescent="0.2">
      <c r="A8" s="65">
        <v>3</v>
      </c>
      <c r="B8" s="71">
        <v>22121829</v>
      </c>
      <c r="C8" s="72">
        <v>7.580857142857143</v>
      </c>
      <c r="D8" s="72">
        <v>9.0070476190476203</v>
      </c>
      <c r="E8" s="32">
        <f t="shared" si="0"/>
        <v>9.1896666666666693</v>
      </c>
      <c r="F8" s="22">
        <f>((N8*6)+(V8*6)+(AI8*9)+(AQ8*6)+(AU8*3))/30</f>
        <v>10.469666666666667</v>
      </c>
      <c r="G8" s="33">
        <f t="shared" si="1"/>
        <v>8.3852619047619061</v>
      </c>
      <c r="H8" s="33">
        <f>(D8+F8)/2</f>
        <v>9.7383571428571436</v>
      </c>
      <c r="I8" s="26">
        <v>12</v>
      </c>
      <c r="J8" s="26">
        <v>0.75</v>
      </c>
      <c r="K8" s="67">
        <v>13.5</v>
      </c>
      <c r="L8" s="23">
        <f t="shared" si="3"/>
        <v>9</v>
      </c>
      <c r="M8" s="23">
        <v>5.75</v>
      </c>
      <c r="N8" s="23">
        <f>((I8*1)+(M8*2)+(K8*3))/6</f>
        <v>10.666666666666666</v>
      </c>
      <c r="O8" s="26"/>
      <c r="P8" s="26"/>
      <c r="Q8" s="26"/>
      <c r="R8" s="22">
        <v>5</v>
      </c>
      <c r="S8" s="22"/>
      <c r="T8" s="23"/>
      <c r="U8" s="23">
        <v>16.809999999999999</v>
      </c>
      <c r="V8" s="23">
        <f t="shared" si="4"/>
        <v>10.904999999999999</v>
      </c>
      <c r="W8" s="28">
        <v>10.43</v>
      </c>
      <c r="X8" s="28">
        <v>12.33</v>
      </c>
      <c r="Y8" s="73">
        <v>0</v>
      </c>
      <c r="Z8" s="26">
        <v>11</v>
      </c>
      <c r="AA8" s="26">
        <v>0</v>
      </c>
      <c r="AB8" s="22">
        <f t="shared" si="6"/>
        <v>3.6666666666666665</v>
      </c>
      <c r="AC8" s="22">
        <v>14.2</v>
      </c>
      <c r="AD8" s="22">
        <f>(Z8+(AC8*2))/3</f>
        <v>13.133333333333333</v>
      </c>
      <c r="AE8" s="26"/>
      <c r="AF8" s="26"/>
      <c r="AG8" s="23">
        <v>14.25</v>
      </c>
      <c r="AH8" s="23">
        <f t="shared" si="7"/>
        <v>5.9722222222222223</v>
      </c>
      <c r="AI8" s="23">
        <f>(Y8+AD8+AG8)/3</f>
        <v>9.1277777777777782</v>
      </c>
      <c r="AJ8" s="22"/>
      <c r="AK8" s="22"/>
      <c r="AL8" s="23">
        <v>18.329999999999998</v>
      </c>
      <c r="AM8" s="23"/>
      <c r="AN8" s="22"/>
      <c r="AO8" s="22">
        <v>11.6</v>
      </c>
      <c r="AP8" s="23">
        <v>4</v>
      </c>
      <c r="AQ8" s="23">
        <f t="shared" si="8"/>
        <v>11.31</v>
      </c>
      <c r="AR8" s="26"/>
      <c r="AS8" s="26"/>
      <c r="AT8" s="26"/>
      <c r="AU8" s="22">
        <v>11.55</v>
      </c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</row>
    <row r="9" spans="1:64" ht="15.75" customHeight="1" x14ac:dyDescent="0.2">
      <c r="A9" s="65">
        <v>4</v>
      </c>
      <c r="B9" s="74">
        <v>22222031</v>
      </c>
      <c r="C9" s="72">
        <v>9.0275523809523825</v>
      </c>
      <c r="D9" s="72">
        <v>9.541838095238095</v>
      </c>
      <c r="E9" s="22">
        <v>10.42</v>
      </c>
      <c r="F9" s="22"/>
      <c r="G9" s="33">
        <f t="shared" si="1"/>
        <v>9.7237761904761904</v>
      </c>
      <c r="H9" s="22">
        <v>10</v>
      </c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6"/>
      <c r="X9" s="77"/>
      <c r="Y9" s="75"/>
      <c r="Z9" s="75"/>
      <c r="AA9" s="75"/>
      <c r="AB9" s="75"/>
      <c r="AC9" s="76"/>
      <c r="AD9" s="76"/>
      <c r="AE9" s="76"/>
      <c r="AF9" s="77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</row>
    <row r="10" spans="1:64" ht="15.75" customHeight="1" x14ac:dyDescent="0.2">
      <c r="A10" s="65">
        <v>5</v>
      </c>
      <c r="B10" s="78">
        <v>22322469</v>
      </c>
      <c r="C10" s="72">
        <v>8.6471130952380957</v>
      </c>
      <c r="D10" s="72">
        <v>9.8415575396825385</v>
      </c>
      <c r="E10" s="22">
        <f t="shared" ref="E10:E12" si="10">((L10*6)+(V10*6)+(AH10*9)+(AQ10*6)+(AU10*3))/30</f>
        <v>11.217316666666667</v>
      </c>
      <c r="F10" s="22"/>
      <c r="G10" s="33">
        <f t="shared" si="1"/>
        <v>9.9322148809523814</v>
      </c>
      <c r="H10" s="22">
        <f t="shared" ref="H10:H11" si="11">(D10+E10)/2</f>
        <v>10.529437103174603</v>
      </c>
      <c r="I10" s="26">
        <v>15</v>
      </c>
      <c r="J10" s="26">
        <v>9.75</v>
      </c>
      <c r="K10" s="67">
        <v>10</v>
      </c>
      <c r="L10" s="23">
        <f t="shared" ref="L10:L11" si="12">(I10+(J10*2)+(K10*3))/6</f>
        <v>10.75</v>
      </c>
      <c r="M10" s="23"/>
      <c r="N10" s="23"/>
      <c r="O10" s="26">
        <v>4.75</v>
      </c>
      <c r="P10" s="26">
        <v>9.5</v>
      </c>
      <c r="Q10" s="26">
        <v>7</v>
      </c>
      <c r="R10" s="22">
        <f t="shared" ref="R10:R12" si="13">(O10+P10+Q10)/3</f>
        <v>7.083333333333333</v>
      </c>
      <c r="S10" s="22">
        <v>14.273</v>
      </c>
      <c r="T10" s="23">
        <v>14.090999999999999</v>
      </c>
      <c r="U10" s="23">
        <f t="shared" ref="U10:U11" si="14">((S10*2)+T10)/3</f>
        <v>14.212333333333333</v>
      </c>
      <c r="V10" s="23">
        <f t="shared" ref="V10:V12" si="15">(R10+U10)/2</f>
        <v>10.647833333333333</v>
      </c>
      <c r="W10" s="28">
        <v>3.48</v>
      </c>
      <c r="X10" s="28">
        <v>7.83</v>
      </c>
      <c r="Y10" s="69">
        <f t="shared" ref="Y10:Y12" si="16">(W10+(X10*2))/3</f>
        <v>6.38</v>
      </c>
      <c r="Z10" s="26">
        <v>10.5</v>
      </c>
      <c r="AA10" s="26">
        <v>7</v>
      </c>
      <c r="AB10" s="22">
        <f t="shared" ref="AB10:AB12" si="17">(Z10+(AA10*2))/3</f>
        <v>8.1666666666666661</v>
      </c>
      <c r="AC10" s="22"/>
      <c r="AD10" s="22"/>
      <c r="AE10" s="26">
        <v>13.5</v>
      </c>
      <c r="AF10" s="26">
        <v>13.5</v>
      </c>
      <c r="AG10" s="23">
        <f t="shared" ref="AG10:AG11" si="18">((AE10*2)+AF10)/3</f>
        <v>13.5</v>
      </c>
      <c r="AH10" s="23">
        <f t="shared" ref="AH10:AH12" si="19">(Y10+AB10+AG10)/3</f>
        <v>9.3488888888888884</v>
      </c>
      <c r="AI10" s="23"/>
      <c r="AJ10" s="26">
        <v>11</v>
      </c>
      <c r="AK10" s="26">
        <v>10.8</v>
      </c>
      <c r="AL10" s="23">
        <f t="shared" ref="AL10:AL11" si="20">AVERAGE(AJ10:AK10)</f>
        <v>10.9</v>
      </c>
      <c r="AM10" s="26">
        <v>13.25</v>
      </c>
      <c r="AN10" s="26">
        <v>11.13</v>
      </c>
      <c r="AO10" s="22">
        <f t="shared" ref="AO10:AO11" si="21">AVERAGE(AM10:AN10)</f>
        <v>12.190000000000001</v>
      </c>
      <c r="AP10" s="26">
        <v>10.5</v>
      </c>
      <c r="AQ10" s="23">
        <f t="shared" ref="AQ10:AQ12" si="22">(AL10+AO10+AP10)/3</f>
        <v>11.196666666666667</v>
      </c>
      <c r="AR10" s="26">
        <v>19.5</v>
      </c>
      <c r="AS10" s="26">
        <v>18.5</v>
      </c>
      <c r="AT10" s="26">
        <v>19</v>
      </c>
      <c r="AU10" s="22">
        <f t="shared" ref="AU10:AU11" si="23">((AR10*2)+(AS10*3)+(AT10*3))/8</f>
        <v>18.9375</v>
      </c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</row>
    <row r="11" spans="1:64" ht="15.75" customHeight="1" x14ac:dyDescent="0.2">
      <c r="A11" s="65">
        <v>6</v>
      </c>
      <c r="B11" s="79">
        <v>22222062</v>
      </c>
      <c r="C11" s="72">
        <v>9.3036073015873022</v>
      </c>
      <c r="D11" s="72">
        <v>9.7512263492063482</v>
      </c>
      <c r="E11" s="22">
        <f t="shared" si="10"/>
        <v>10.658150000000001</v>
      </c>
      <c r="F11" s="22"/>
      <c r="G11" s="33">
        <f t="shared" si="1"/>
        <v>9.9808786507936524</v>
      </c>
      <c r="H11" s="22">
        <f t="shared" si="11"/>
        <v>10.204688174603174</v>
      </c>
      <c r="I11" s="26">
        <v>16</v>
      </c>
      <c r="J11" s="26">
        <v>7</v>
      </c>
      <c r="K11" s="67">
        <v>14.75</v>
      </c>
      <c r="L11" s="23">
        <f t="shared" si="12"/>
        <v>12.375</v>
      </c>
      <c r="M11" s="23"/>
      <c r="N11" s="23"/>
      <c r="O11" s="26">
        <v>2.25</v>
      </c>
      <c r="P11" s="26">
        <v>5.75</v>
      </c>
      <c r="Q11" s="26">
        <v>4</v>
      </c>
      <c r="R11" s="22">
        <f t="shared" si="13"/>
        <v>4</v>
      </c>
      <c r="S11" s="22">
        <v>14.455</v>
      </c>
      <c r="T11" s="23">
        <v>14.227</v>
      </c>
      <c r="U11" s="23">
        <f t="shared" si="14"/>
        <v>14.379</v>
      </c>
      <c r="V11" s="23">
        <f t="shared" si="15"/>
        <v>9.1894999999999989</v>
      </c>
      <c r="W11" s="28">
        <v>8.6999999999999993</v>
      </c>
      <c r="X11" s="28">
        <v>4.67</v>
      </c>
      <c r="Y11" s="69">
        <f t="shared" si="16"/>
        <v>6.0133333333333328</v>
      </c>
      <c r="Z11" s="26">
        <v>13.3</v>
      </c>
      <c r="AA11" s="26">
        <v>5.4</v>
      </c>
      <c r="AB11" s="22">
        <f t="shared" si="17"/>
        <v>8.0333333333333332</v>
      </c>
      <c r="AC11" s="22"/>
      <c r="AD11" s="22"/>
      <c r="AE11" s="26">
        <v>12.5</v>
      </c>
      <c r="AF11" s="26">
        <v>13</v>
      </c>
      <c r="AG11" s="23">
        <f t="shared" si="18"/>
        <v>12.666666666666666</v>
      </c>
      <c r="AH11" s="23">
        <f t="shared" si="19"/>
        <v>8.9044444444444437</v>
      </c>
      <c r="AI11" s="23"/>
      <c r="AJ11" s="26">
        <v>8</v>
      </c>
      <c r="AK11" s="26">
        <v>9.9</v>
      </c>
      <c r="AL11" s="23">
        <f t="shared" si="20"/>
        <v>8.9499999999999993</v>
      </c>
      <c r="AM11" s="26">
        <v>16.75</v>
      </c>
      <c r="AN11" s="26">
        <v>12.88</v>
      </c>
      <c r="AO11" s="22">
        <f t="shared" si="21"/>
        <v>14.815000000000001</v>
      </c>
      <c r="AP11" s="26">
        <v>12.5</v>
      </c>
      <c r="AQ11" s="23">
        <f t="shared" si="22"/>
        <v>12.088333333333333</v>
      </c>
      <c r="AR11" s="26">
        <v>12</v>
      </c>
      <c r="AS11" s="26">
        <v>11.5</v>
      </c>
      <c r="AT11" s="26">
        <v>14</v>
      </c>
      <c r="AU11" s="22">
        <f t="shared" si="23"/>
        <v>12.5625</v>
      </c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</row>
    <row r="12" spans="1:64" ht="15.75" customHeight="1" x14ac:dyDescent="0.2">
      <c r="A12" s="65">
        <v>7</v>
      </c>
      <c r="B12" s="66">
        <v>22221962</v>
      </c>
      <c r="C12" s="38">
        <v>10.819609523809524</v>
      </c>
      <c r="D12" s="38"/>
      <c r="E12" s="32">
        <f t="shared" si="10"/>
        <v>9.8024333333333331</v>
      </c>
      <c r="F12" s="32">
        <f>((L12*6)+(V12*6)+(AI12*9)+(AQ12*6)+(AU12*3))/30</f>
        <v>9.9690999999999992</v>
      </c>
      <c r="G12" s="22">
        <f t="shared" si="1"/>
        <v>10.311021428571429</v>
      </c>
      <c r="H12" s="22">
        <f>(C12+F12)/2</f>
        <v>10.394354761904761</v>
      </c>
      <c r="I12" s="75"/>
      <c r="J12" s="75"/>
      <c r="K12" s="75"/>
      <c r="L12" s="23">
        <v>10.333</v>
      </c>
      <c r="M12" s="23"/>
      <c r="N12" s="23"/>
      <c r="O12" s="26">
        <v>1</v>
      </c>
      <c r="P12" s="26">
        <v>0</v>
      </c>
      <c r="Q12" s="26">
        <v>2</v>
      </c>
      <c r="R12" s="22">
        <f t="shared" si="13"/>
        <v>1</v>
      </c>
      <c r="S12" s="22"/>
      <c r="T12" s="23"/>
      <c r="U12" s="23">
        <v>15.85</v>
      </c>
      <c r="V12" s="23">
        <f t="shared" si="15"/>
        <v>8.4250000000000007</v>
      </c>
      <c r="W12" s="28">
        <v>10.220000000000001</v>
      </c>
      <c r="X12" s="28">
        <v>3.17</v>
      </c>
      <c r="Y12" s="69">
        <f t="shared" si="16"/>
        <v>5.5200000000000005</v>
      </c>
      <c r="Z12" s="26">
        <v>11.8</v>
      </c>
      <c r="AA12" s="26">
        <v>3</v>
      </c>
      <c r="AB12" s="22">
        <f t="shared" si="17"/>
        <v>5.9333333333333336</v>
      </c>
      <c r="AC12" s="22">
        <v>5.5</v>
      </c>
      <c r="AD12" s="22">
        <f>(Z12+(AC12*2))/3</f>
        <v>7.6000000000000005</v>
      </c>
      <c r="AE12" s="26"/>
      <c r="AF12" s="26"/>
      <c r="AG12" s="23">
        <v>13.333</v>
      </c>
      <c r="AH12" s="23">
        <f t="shared" si="19"/>
        <v>8.2621111111111105</v>
      </c>
      <c r="AI12" s="23">
        <f>(Y12+AD12+AG12)/3</f>
        <v>8.8176666666666677</v>
      </c>
      <c r="AJ12" s="22"/>
      <c r="AK12" s="22"/>
      <c r="AL12" s="23">
        <v>13.333</v>
      </c>
      <c r="AM12" s="23"/>
      <c r="AN12" s="22"/>
      <c r="AO12" s="22">
        <v>11.5</v>
      </c>
      <c r="AP12" s="23">
        <v>10</v>
      </c>
      <c r="AQ12" s="23">
        <f t="shared" si="22"/>
        <v>11.610999999999999</v>
      </c>
      <c r="AR12" s="26"/>
      <c r="AS12" s="26"/>
      <c r="AT12" s="26"/>
      <c r="AU12" s="22">
        <v>12.5</v>
      </c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</row>
    <row r="13" spans="1:64" ht="15.75" customHeight="1" x14ac:dyDescent="0.2">
      <c r="A13" s="65">
        <v>8</v>
      </c>
      <c r="B13" s="74">
        <v>22222010</v>
      </c>
      <c r="C13" s="38">
        <v>10.33817619047619</v>
      </c>
      <c r="D13" s="38"/>
      <c r="E13" s="22">
        <v>10.664999999999999</v>
      </c>
      <c r="F13" s="22"/>
      <c r="G13" s="22">
        <f t="shared" si="1"/>
        <v>10.501588095238095</v>
      </c>
      <c r="H13" s="22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26"/>
      <c r="AS13" s="26"/>
      <c r="AT13" s="26"/>
      <c r="AU13" s="22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</row>
    <row r="14" spans="1:64" ht="15.75" customHeight="1" x14ac:dyDescent="0.2">
      <c r="A14" s="65">
        <v>9</v>
      </c>
      <c r="B14" s="78">
        <v>22322484</v>
      </c>
      <c r="C14" s="72">
        <v>9.0560647619047625</v>
      </c>
      <c r="D14" s="72">
        <v>9.2393980952380961</v>
      </c>
      <c r="E14" s="22">
        <f>((L14*6)+(V14*6)+(AH14*9)+(AQ14*6)+(AU14*3))/30</f>
        <v>11.948883333333333</v>
      </c>
      <c r="F14" s="22"/>
      <c r="G14" s="22">
        <f t="shared" si="1"/>
        <v>10.502474047619048</v>
      </c>
      <c r="H14" s="22">
        <f>(D14+E14)/2</f>
        <v>10.594140714285714</v>
      </c>
      <c r="I14" s="26">
        <v>14</v>
      </c>
      <c r="J14" s="26">
        <v>17.25</v>
      </c>
      <c r="K14" s="67">
        <v>12</v>
      </c>
      <c r="L14" s="23">
        <f>(I14+(J14*2)+(K14*3))/6</f>
        <v>14.083333333333334</v>
      </c>
      <c r="M14" s="23"/>
      <c r="N14" s="23"/>
      <c r="O14" s="26">
        <v>6</v>
      </c>
      <c r="P14" s="26">
        <v>2.75</v>
      </c>
      <c r="Q14" s="26">
        <v>5</v>
      </c>
      <c r="R14" s="22">
        <f>(O14+P14+Q14)/3</f>
        <v>4.583333333333333</v>
      </c>
      <c r="S14" s="22">
        <v>14.090999999999999</v>
      </c>
      <c r="T14" s="23">
        <v>15.727</v>
      </c>
      <c r="U14" s="23">
        <f>((S14*2)+T14)/3</f>
        <v>14.636333333333333</v>
      </c>
      <c r="V14" s="23">
        <f>(R14+U14)/2</f>
        <v>9.6098333333333326</v>
      </c>
      <c r="W14" s="40">
        <v>11.09</v>
      </c>
      <c r="X14" s="41">
        <v>8.5</v>
      </c>
      <c r="Y14" s="69">
        <f>(W14+(X14*2))/3</f>
        <v>9.3633333333333333</v>
      </c>
      <c r="Z14" s="26">
        <v>14.3</v>
      </c>
      <c r="AA14" s="26">
        <v>5.3</v>
      </c>
      <c r="AB14" s="22">
        <f>(Z14+(AA14*2))/3</f>
        <v>8.2999999999999989</v>
      </c>
      <c r="AC14" s="38"/>
      <c r="AD14" s="38"/>
      <c r="AE14" s="35">
        <v>14.5</v>
      </c>
      <c r="AF14" s="36">
        <v>13.5</v>
      </c>
      <c r="AG14" s="23">
        <f>((AE14*2)+AF14)/3</f>
        <v>14.166666666666666</v>
      </c>
      <c r="AH14" s="23">
        <f>(Y14+AB14+AG14)/3</f>
        <v>10.61</v>
      </c>
      <c r="AI14" s="23"/>
      <c r="AJ14" s="26">
        <v>16</v>
      </c>
      <c r="AK14" s="26">
        <v>7</v>
      </c>
      <c r="AL14" s="23">
        <f>AVERAGE(AJ14:AK14)</f>
        <v>11.5</v>
      </c>
      <c r="AM14" s="26">
        <v>13.25</v>
      </c>
      <c r="AN14" s="26">
        <v>10.38</v>
      </c>
      <c r="AO14" s="22">
        <f>AVERAGE(AM14:AN14)</f>
        <v>11.815000000000001</v>
      </c>
      <c r="AP14" s="26">
        <v>16</v>
      </c>
      <c r="AQ14" s="23">
        <f>(AL14+AO14+AP14)/3</f>
        <v>13.104999999999999</v>
      </c>
      <c r="AR14" s="26">
        <v>13.5</v>
      </c>
      <c r="AS14" s="26">
        <v>14.5</v>
      </c>
      <c r="AT14" s="26">
        <v>14</v>
      </c>
      <c r="AU14" s="22">
        <f>((AR14*2)+(AS14*3)+(AT14*3))/8</f>
        <v>14.0625</v>
      </c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</row>
    <row r="15" spans="1:64" ht="15.75" customHeight="1" x14ac:dyDescent="0.2">
      <c r="A15" s="65">
        <v>10</v>
      </c>
      <c r="B15" s="71">
        <v>22122375</v>
      </c>
      <c r="C15" s="38">
        <v>10.33404761904762</v>
      </c>
      <c r="D15" s="38"/>
      <c r="E15" s="22">
        <v>10.704000000000001</v>
      </c>
      <c r="F15" s="22"/>
      <c r="G15" s="22">
        <f t="shared" si="1"/>
        <v>10.51902380952381</v>
      </c>
      <c r="H15" s="22"/>
      <c r="I15" s="80"/>
      <c r="J15" s="80"/>
      <c r="K15" s="75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</row>
    <row r="16" spans="1:64" ht="15.75" customHeight="1" x14ac:dyDescent="0.2">
      <c r="A16" s="65">
        <v>11</v>
      </c>
      <c r="B16" s="66">
        <v>22222033</v>
      </c>
      <c r="C16" s="72">
        <v>9.8657447619047609</v>
      </c>
      <c r="D16" s="38"/>
      <c r="E16" s="22">
        <v>11.205</v>
      </c>
      <c r="F16" s="22"/>
      <c r="G16" s="22">
        <f t="shared" si="1"/>
        <v>10.535372380952381</v>
      </c>
      <c r="H16" s="22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6"/>
      <c r="X16" s="77"/>
      <c r="Y16" s="75"/>
      <c r="Z16" s="75"/>
      <c r="AA16" s="75"/>
      <c r="AB16" s="75"/>
      <c r="AC16" s="76"/>
      <c r="AD16" s="76"/>
      <c r="AE16" s="76"/>
      <c r="AF16" s="77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</row>
    <row r="17" spans="1:64" ht="15.75" customHeight="1" x14ac:dyDescent="0.2">
      <c r="A17" s="65">
        <v>12</v>
      </c>
      <c r="B17" s="66">
        <v>22221998</v>
      </c>
      <c r="C17" s="72">
        <v>9.6408333333333349</v>
      </c>
      <c r="D17" s="38"/>
      <c r="E17" s="22">
        <v>11.456</v>
      </c>
      <c r="F17" s="22"/>
      <c r="G17" s="22">
        <f t="shared" si="1"/>
        <v>10.548416666666668</v>
      </c>
      <c r="H17" s="22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6"/>
      <c r="X17" s="77"/>
      <c r="Y17" s="75"/>
      <c r="Z17" s="75"/>
      <c r="AA17" s="75"/>
      <c r="AB17" s="75"/>
      <c r="AC17" s="76"/>
      <c r="AD17" s="76"/>
      <c r="AE17" s="76"/>
      <c r="AF17" s="77"/>
      <c r="AG17" s="75"/>
      <c r="AH17" s="75"/>
      <c r="AI17" s="75"/>
      <c r="AJ17" s="75"/>
      <c r="AK17" s="75"/>
      <c r="AL17" s="75"/>
      <c r="AM17" s="75"/>
      <c r="AN17" s="75"/>
      <c r="AO17" s="22"/>
      <c r="AP17" s="22"/>
      <c r="AQ17" s="22"/>
      <c r="AR17" s="22"/>
      <c r="AS17" s="22"/>
      <c r="AT17" s="22"/>
      <c r="AU17" s="22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</row>
    <row r="18" spans="1:64" ht="15.75" customHeight="1" x14ac:dyDescent="0.2">
      <c r="A18" s="65">
        <v>13</v>
      </c>
      <c r="B18" s="78">
        <v>22322498</v>
      </c>
      <c r="C18" s="72">
        <v>9.0663358730158734</v>
      </c>
      <c r="D18" s="38"/>
      <c r="E18" s="22">
        <f t="shared" ref="E18:E20" si="24">((L18*6)+(V18*6)+(AH18*9)+(AQ18*6)+(AU18*3))/30</f>
        <v>12.1303</v>
      </c>
      <c r="F18" s="22"/>
      <c r="G18" s="22">
        <f t="shared" si="1"/>
        <v>10.598317936507936</v>
      </c>
      <c r="H18" s="22"/>
      <c r="I18" s="26">
        <v>18.5</v>
      </c>
      <c r="J18" s="26">
        <v>12.5</v>
      </c>
      <c r="K18" s="67">
        <v>16.5</v>
      </c>
      <c r="L18" s="23">
        <f t="shared" ref="L18:L20" si="25">(I18+(J18*2)+(K18*3))/6</f>
        <v>15.5</v>
      </c>
      <c r="M18" s="23"/>
      <c r="N18" s="23"/>
      <c r="O18" s="26">
        <v>9</v>
      </c>
      <c r="P18" s="26">
        <v>2.75</v>
      </c>
      <c r="Q18" s="26">
        <v>10</v>
      </c>
      <c r="R18" s="22">
        <f t="shared" ref="R18:R20" si="26">(O18+P18+Q18)/3</f>
        <v>7.25</v>
      </c>
      <c r="S18" s="22">
        <v>14.727</v>
      </c>
      <c r="T18" s="23">
        <v>14.455</v>
      </c>
      <c r="U18" s="23">
        <f t="shared" ref="U18:U20" si="27">((S18*2)+T18)/3</f>
        <v>14.636333333333333</v>
      </c>
      <c r="V18" s="23">
        <f t="shared" ref="V18:V20" si="28">(R18+U18)/2</f>
        <v>10.943166666666666</v>
      </c>
      <c r="W18" s="40">
        <v>3.91</v>
      </c>
      <c r="X18" s="41">
        <v>4.33</v>
      </c>
      <c r="Y18" s="69">
        <f t="shared" ref="Y18:Y20" si="29">(W18+(X18*2))/3</f>
        <v>4.1900000000000004</v>
      </c>
      <c r="Z18" s="26">
        <v>10.9</v>
      </c>
      <c r="AA18" s="26">
        <v>4.8</v>
      </c>
      <c r="AB18" s="22">
        <f t="shared" ref="AB18:AB20" si="30">(Z18+(AA18*2))/3</f>
        <v>6.833333333333333</v>
      </c>
      <c r="AC18" s="38"/>
      <c r="AD18" s="38"/>
      <c r="AE18" s="35">
        <v>13.5</v>
      </c>
      <c r="AF18" s="36">
        <v>14</v>
      </c>
      <c r="AG18" s="23">
        <f t="shared" ref="AG18:AG20" si="31">((AE18*2)+AF18)/3</f>
        <v>13.666666666666666</v>
      </c>
      <c r="AH18" s="23">
        <f t="shared" ref="AH18:AH20" si="32">(Y18+AB18+AG18)/3</f>
        <v>8.2299999999999986</v>
      </c>
      <c r="AI18" s="23"/>
      <c r="AJ18" s="26">
        <v>14</v>
      </c>
      <c r="AK18" s="26">
        <v>11.8</v>
      </c>
      <c r="AL18" s="23">
        <f t="shared" ref="AL18:AL20" si="33">AVERAGE(AJ18:AK18)</f>
        <v>12.9</v>
      </c>
      <c r="AM18" s="26">
        <v>13.25</v>
      </c>
      <c r="AN18" s="26">
        <v>14.13</v>
      </c>
      <c r="AO18" s="22">
        <f t="shared" ref="AO18:AO20" si="34">AVERAGE(AM18:AN18)</f>
        <v>13.690000000000001</v>
      </c>
      <c r="AP18" s="26">
        <v>12</v>
      </c>
      <c r="AQ18" s="23">
        <f t="shared" ref="AQ18:AQ20" si="35">(AL18+AO18+AP18)/3</f>
        <v>12.863333333333335</v>
      </c>
      <c r="AR18" s="26">
        <v>18.75</v>
      </c>
      <c r="AS18" s="26">
        <v>18.5</v>
      </c>
      <c r="AT18" s="26">
        <v>17</v>
      </c>
      <c r="AU18" s="22">
        <f t="shared" ref="AU18:AU20" si="36">((AR18*2)+(AS18*3)+(AT18*3))/8</f>
        <v>18</v>
      </c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</row>
    <row r="19" spans="1:64" ht="15.75" customHeight="1" x14ac:dyDescent="0.2">
      <c r="A19" s="65">
        <v>14</v>
      </c>
      <c r="B19" s="78">
        <v>22322486</v>
      </c>
      <c r="C19" s="38">
        <v>10.616649365079365</v>
      </c>
      <c r="D19" s="38"/>
      <c r="E19" s="22">
        <f t="shared" si="24"/>
        <v>10.946483333333333</v>
      </c>
      <c r="F19" s="22"/>
      <c r="G19" s="22">
        <f t="shared" si="1"/>
        <v>10.781566349206349</v>
      </c>
      <c r="H19" s="22"/>
      <c r="I19" s="26">
        <v>16</v>
      </c>
      <c r="J19" s="26">
        <v>4.75</v>
      </c>
      <c r="K19" s="67">
        <v>8</v>
      </c>
      <c r="L19" s="23">
        <f t="shared" si="25"/>
        <v>8.25</v>
      </c>
      <c r="M19" s="23"/>
      <c r="N19" s="23"/>
      <c r="O19" s="26">
        <v>1</v>
      </c>
      <c r="P19" s="26">
        <v>4</v>
      </c>
      <c r="Q19" s="26">
        <v>13</v>
      </c>
      <c r="R19" s="22">
        <f t="shared" si="26"/>
        <v>6</v>
      </c>
      <c r="S19" s="22">
        <v>15.273</v>
      </c>
      <c r="T19" s="23">
        <v>16.091000000000001</v>
      </c>
      <c r="U19" s="23">
        <f t="shared" si="27"/>
        <v>15.545666666666667</v>
      </c>
      <c r="V19" s="23">
        <f t="shared" si="28"/>
        <v>10.772833333333335</v>
      </c>
      <c r="W19" s="40">
        <v>13.91</v>
      </c>
      <c r="X19" s="41">
        <v>5.83</v>
      </c>
      <c r="Y19" s="69">
        <f t="shared" si="29"/>
        <v>8.5233333333333334</v>
      </c>
      <c r="Z19" s="26">
        <v>12.9</v>
      </c>
      <c r="AA19" s="26">
        <v>3.7</v>
      </c>
      <c r="AB19" s="22">
        <f t="shared" si="30"/>
        <v>6.7666666666666666</v>
      </c>
      <c r="AC19" s="38"/>
      <c r="AD19" s="38"/>
      <c r="AE19" s="35">
        <v>11</v>
      </c>
      <c r="AF19" s="36">
        <v>14</v>
      </c>
      <c r="AG19" s="23">
        <f t="shared" si="31"/>
        <v>12</v>
      </c>
      <c r="AH19" s="23">
        <f t="shared" si="32"/>
        <v>9.0966666666666658</v>
      </c>
      <c r="AI19" s="23"/>
      <c r="AJ19" s="26">
        <v>9</v>
      </c>
      <c r="AK19" s="26">
        <v>16.2</v>
      </c>
      <c r="AL19" s="23">
        <f t="shared" si="33"/>
        <v>12.6</v>
      </c>
      <c r="AM19" s="26">
        <v>13.25</v>
      </c>
      <c r="AN19" s="26">
        <v>12.25</v>
      </c>
      <c r="AO19" s="22">
        <f t="shared" si="34"/>
        <v>12.75</v>
      </c>
      <c r="AP19" s="26">
        <v>19</v>
      </c>
      <c r="AQ19" s="23">
        <f t="shared" si="35"/>
        <v>14.783333333333333</v>
      </c>
      <c r="AR19" s="26">
        <v>17</v>
      </c>
      <c r="AS19" s="26">
        <v>15.5</v>
      </c>
      <c r="AT19" s="26">
        <v>12</v>
      </c>
      <c r="AU19" s="22">
        <f t="shared" si="36"/>
        <v>14.5625</v>
      </c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</row>
    <row r="20" spans="1:64" ht="15.75" customHeight="1" x14ac:dyDescent="0.2">
      <c r="A20" s="65">
        <v>15</v>
      </c>
      <c r="B20" s="78">
        <v>22322502</v>
      </c>
      <c r="C20" s="72">
        <v>9.5965741269841267</v>
      </c>
      <c r="D20" s="38"/>
      <c r="E20" s="22">
        <f t="shared" si="24"/>
        <v>11.993333333333334</v>
      </c>
      <c r="F20" s="22"/>
      <c r="G20" s="22">
        <f t="shared" si="1"/>
        <v>10.794953730158731</v>
      </c>
      <c r="H20" s="22"/>
      <c r="I20" s="26">
        <v>16</v>
      </c>
      <c r="J20" s="26">
        <v>14.75</v>
      </c>
      <c r="K20" s="67">
        <v>14.75</v>
      </c>
      <c r="L20" s="23">
        <f t="shared" si="25"/>
        <v>14.958333333333334</v>
      </c>
      <c r="M20" s="23"/>
      <c r="N20" s="23"/>
      <c r="O20" s="26">
        <v>7.25</v>
      </c>
      <c r="P20" s="26">
        <v>1.5</v>
      </c>
      <c r="Q20" s="26">
        <v>10</v>
      </c>
      <c r="R20" s="22">
        <f t="shared" si="26"/>
        <v>6.25</v>
      </c>
      <c r="S20" s="22">
        <v>14.455</v>
      </c>
      <c r="T20" s="23">
        <v>14.5</v>
      </c>
      <c r="U20" s="23">
        <f t="shared" si="27"/>
        <v>14.469999999999999</v>
      </c>
      <c r="V20" s="23">
        <f t="shared" si="28"/>
        <v>10.36</v>
      </c>
      <c r="W20" s="40">
        <v>7.17</v>
      </c>
      <c r="X20" s="41">
        <v>6.17</v>
      </c>
      <c r="Y20" s="69">
        <f t="shared" si="29"/>
        <v>6.503333333333333</v>
      </c>
      <c r="Z20" s="26">
        <v>12.3</v>
      </c>
      <c r="AA20" s="26">
        <v>8.1999999999999993</v>
      </c>
      <c r="AB20" s="22">
        <f t="shared" si="30"/>
        <v>9.5666666666666664</v>
      </c>
      <c r="AC20" s="38"/>
      <c r="AD20" s="38"/>
      <c r="AE20" s="35">
        <v>14.5</v>
      </c>
      <c r="AF20" s="36">
        <v>14.5</v>
      </c>
      <c r="AG20" s="23">
        <f t="shared" si="31"/>
        <v>14.5</v>
      </c>
      <c r="AH20" s="23">
        <f t="shared" si="32"/>
        <v>10.19</v>
      </c>
      <c r="AI20" s="23"/>
      <c r="AJ20" s="26">
        <v>13</v>
      </c>
      <c r="AK20" s="26">
        <v>15.3</v>
      </c>
      <c r="AL20" s="23">
        <f t="shared" si="33"/>
        <v>14.15</v>
      </c>
      <c r="AM20" s="26">
        <v>13.25</v>
      </c>
      <c r="AN20" s="26">
        <v>12.13</v>
      </c>
      <c r="AO20" s="22">
        <f t="shared" si="34"/>
        <v>12.690000000000001</v>
      </c>
      <c r="AP20" s="26">
        <v>9.5</v>
      </c>
      <c r="AQ20" s="23">
        <f t="shared" si="35"/>
        <v>12.113333333333335</v>
      </c>
      <c r="AR20" s="26">
        <v>16</v>
      </c>
      <c r="AS20" s="26">
        <v>14</v>
      </c>
      <c r="AT20" s="26">
        <v>14</v>
      </c>
      <c r="AU20" s="22">
        <f t="shared" si="36"/>
        <v>14.5</v>
      </c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</row>
    <row r="21" spans="1:64" ht="15.75" customHeight="1" x14ac:dyDescent="0.2">
      <c r="A21" s="65">
        <v>16</v>
      </c>
      <c r="B21" s="66">
        <v>22222082</v>
      </c>
      <c r="C21" s="72">
        <v>9.4124499999999998</v>
      </c>
      <c r="D21" s="38"/>
      <c r="E21" s="22">
        <v>12.292999999999999</v>
      </c>
      <c r="F21" s="22"/>
      <c r="G21" s="22">
        <f t="shared" si="1"/>
        <v>10.852725</v>
      </c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38"/>
      <c r="X21" s="50"/>
      <c r="Y21" s="22"/>
      <c r="Z21" s="22"/>
      <c r="AA21" s="22"/>
      <c r="AB21" s="22"/>
      <c r="AC21" s="38"/>
      <c r="AD21" s="38"/>
      <c r="AE21" s="38"/>
      <c r="AF21" s="50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</row>
    <row r="22" spans="1:64" ht="15.75" customHeight="1" x14ac:dyDescent="0.2">
      <c r="A22" s="65">
        <v>17</v>
      </c>
      <c r="B22" s="78">
        <v>22322481</v>
      </c>
      <c r="C22" s="38">
        <v>10.202251825396825</v>
      </c>
      <c r="D22" s="38"/>
      <c r="E22" s="22">
        <f t="shared" ref="E22:E56" si="37">((L22*6)+(V22*6)+(AH22*9)+(AQ22*6)+(AU22*3))/30</f>
        <v>11.545866666666667</v>
      </c>
      <c r="F22" s="22"/>
      <c r="G22" s="22">
        <f t="shared" si="1"/>
        <v>10.874059246031745</v>
      </c>
      <c r="H22" s="22"/>
      <c r="I22" s="23">
        <v>17</v>
      </c>
      <c r="J22" s="23">
        <v>11.5</v>
      </c>
      <c r="K22" s="67">
        <v>12.5</v>
      </c>
      <c r="L22" s="23">
        <f t="shared" ref="L22:L56" si="38">(I22+(J22*2)+(K22*3))/6</f>
        <v>12.916666666666666</v>
      </c>
      <c r="M22" s="23"/>
      <c r="N22" s="23"/>
      <c r="O22" s="26">
        <v>7</v>
      </c>
      <c r="P22" s="26">
        <v>5</v>
      </c>
      <c r="Q22" s="26">
        <v>12</v>
      </c>
      <c r="R22" s="22">
        <f t="shared" ref="R22:R56" si="39">(O22+P22+Q22)/3</f>
        <v>8</v>
      </c>
      <c r="S22" s="22">
        <v>14.682</v>
      </c>
      <c r="T22" s="23">
        <v>14.682</v>
      </c>
      <c r="U22" s="23">
        <f t="shared" ref="U22:U56" si="40">((S22*2)+T22)/3</f>
        <v>14.682</v>
      </c>
      <c r="V22" s="23">
        <f t="shared" ref="V22:V56" si="41">(R22+U22)/2</f>
        <v>11.341000000000001</v>
      </c>
      <c r="W22" s="40">
        <v>6.3</v>
      </c>
      <c r="X22" s="41">
        <v>7.5</v>
      </c>
      <c r="Y22" s="69">
        <f t="shared" ref="Y22:Y56" si="42">(W22+(X22*2))/3</f>
        <v>7.1000000000000005</v>
      </c>
      <c r="Z22" s="26">
        <v>14.3</v>
      </c>
      <c r="AA22" s="26">
        <v>7.5</v>
      </c>
      <c r="AB22" s="22">
        <f t="shared" ref="AB22:AB56" si="43">(Z22+(AA22*2))/3</f>
        <v>9.7666666666666675</v>
      </c>
      <c r="AC22" s="38"/>
      <c r="AD22" s="38"/>
      <c r="AE22" s="35">
        <v>14.5</v>
      </c>
      <c r="AF22" s="36">
        <v>14</v>
      </c>
      <c r="AG22" s="23">
        <f t="shared" ref="AG22:AG56" si="44">((AE22*2)+AF22)/3</f>
        <v>14.333333333333334</v>
      </c>
      <c r="AH22" s="23">
        <f t="shared" ref="AH22:AH56" si="45">(Y22+AB22+AG22)/3</f>
        <v>10.4</v>
      </c>
      <c r="AI22" s="23"/>
      <c r="AJ22" s="26">
        <v>14</v>
      </c>
      <c r="AK22" s="26">
        <v>13.6</v>
      </c>
      <c r="AL22" s="23">
        <f t="shared" ref="AL22:AL56" si="46">AVERAGE(AJ22:AK22)</f>
        <v>13.8</v>
      </c>
      <c r="AM22" s="26">
        <v>13.25</v>
      </c>
      <c r="AN22" s="26">
        <v>14.13</v>
      </c>
      <c r="AO22" s="22">
        <f t="shared" ref="AO22:AO56" si="47">AVERAGE(AM22:AN22)</f>
        <v>13.690000000000001</v>
      </c>
      <c r="AP22" s="26">
        <v>7</v>
      </c>
      <c r="AQ22" s="23">
        <f t="shared" ref="AQ22:AQ56" si="48">(AL22+AO22+AP22)/3</f>
        <v>11.496666666666668</v>
      </c>
      <c r="AR22" s="26">
        <v>13.5</v>
      </c>
      <c r="AS22" s="26">
        <v>13</v>
      </c>
      <c r="AT22" s="26">
        <v>12</v>
      </c>
      <c r="AU22" s="22">
        <f t="shared" ref="AU22:AU33" si="49">((AR22*2)+(AS22*3)+(AT22*3))/8</f>
        <v>12.75</v>
      </c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</row>
    <row r="23" spans="1:64" ht="15.75" customHeight="1" x14ac:dyDescent="0.2">
      <c r="A23" s="65">
        <v>18</v>
      </c>
      <c r="B23" s="78">
        <v>22322519</v>
      </c>
      <c r="C23" s="38">
        <v>10.30445380952381</v>
      </c>
      <c r="D23" s="38"/>
      <c r="E23" s="22">
        <f t="shared" si="37"/>
        <v>11.59925</v>
      </c>
      <c r="F23" s="22"/>
      <c r="G23" s="22">
        <f t="shared" si="1"/>
        <v>10.951851904761906</v>
      </c>
      <c r="H23" s="22"/>
      <c r="I23" s="26">
        <v>15</v>
      </c>
      <c r="J23" s="26">
        <v>12.75</v>
      </c>
      <c r="K23" s="67">
        <v>9.5</v>
      </c>
      <c r="L23" s="23">
        <f t="shared" si="38"/>
        <v>11.5</v>
      </c>
      <c r="M23" s="23"/>
      <c r="N23" s="23"/>
      <c r="O23" s="26">
        <v>4.75</v>
      </c>
      <c r="P23" s="26">
        <v>3.75</v>
      </c>
      <c r="Q23" s="26">
        <v>9</v>
      </c>
      <c r="R23" s="22">
        <f t="shared" si="39"/>
        <v>5.833333333333333</v>
      </c>
      <c r="S23" s="22">
        <v>16.091000000000001</v>
      </c>
      <c r="T23" s="23">
        <v>16.318000000000001</v>
      </c>
      <c r="U23" s="23">
        <f t="shared" si="40"/>
        <v>16.166666666666668</v>
      </c>
      <c r="V23" s="23">
        <f t="shared" si="41"/>
        <v>11</v>
      </c>
      <c r="W23" s="40">
        <v>10</v>
      </c>
      <c r="X23" s="41">
        <v>7.17</v>
      </c>
      <c r="Y23" s="69">
        <f t="shared" si="42"/>
        <v>8.1133333333333333</v>
      </c>
      <c r="Z23" s="26">
        <v>11.8</v>
      </c>
      <c r="AA23" s="26">
        <v>10.4</v>
      </c>
      <c r="AB23" s="22">
        <f t="shared" si="43"/>
        <v>10.866666666666667</v>
      </c>
      <c r="AC23" s="38"/>
      <c r="AD23" s="38"/>
      <c r="AE23" s="35">
        <v>14</v>
      </c>
      <c r="AF23" s="36">
        <v>14</v>
      </c>
      <c r="AG23" s="23">
        <f t="shared" si="44"/>
        <v>14</v>
      </c>
      <c r="AH23" s="23">
        <f t="shared" si="45"/>
        <v>10.993333333333334</v>
      </c>
      <c r="AI23" s="23"/>
      <c r="AJ23" s="26">
        <v>12</v>
      </c>
      <c r="AK23" s="26">
        <v>16.600000000000001</v>
      </c>
      <c r="AL23" s="23">
        <f t="shared" si="46"/>
        <v>14.3</v>
      </c>
      <c r="AM23" s="26">
        <v>17.75</v>
      </c>
      <c r="AN23" s="26">
        <v>15.25</v>
      </c>
      <c r="AO23" s="22">
        <f t="shared" si="47"/>
        <v>16.5</v>
      </c>
      <c r="AP23" s="26">
        <v>8.5</v>
      </c>
      <c r="AQ23" s="23">
        <f t="shared" si="48"/>
        <v>13.1</v>
      </c>
      <c r="AR23" s="26">
        <v>10.5</v>
      </c>
      <c r="AS23" s="26">
        <v>12.5</v>
      </c>
      <c r="AT23" s="26">
        <v>12</v>
      </c>
      <c r="AU23" s="22">
        <f t="shared" si="49"/>
        <v>11.8125</v>
      </c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</row>
    <row r="24" spans="1:64" ht="15.75" customHeight="1" x14ac:dyDescent="0.2">
      <c r="A24" s="65">
        <v>19</v>
      </c>
      <c r="B24" s="78">
        <v>22322460</v>
      </c>
      <c r="C24" s="72">
        <v>9.7355355555555541</v>
      </c>
      <c r="D24" s="38"/>
      <c r="E24" s="22">
        <f t="shared" si="37"/>
        <v>12.241166666666667</v>
      </c>
      <c r="F24" s="22"/>
      <c r="G24" s="22">
        <f t="shared" si="1"/>
        <v>10.988351111111111</v>
      </c>
      <c r="H24" s="22"/>
      <c r="I24" s="26">
        <v>15</v>
      </c>
      <c r="J24" s="26">
        <v>13</v>
      </c>
      <c r="K24" s="67">
        <v>10</v>
      </c>
      <c r="L24" s="23">
        <f t="shared" si="38"/>
        <v>11.833333333333334</v>
      </c>
      <c r="M24" s="23"/>
      <c r="N24" s="23"/>
      <c r="O24" s="26">
        <v>6.25</v>
      </c>
      <c r="P24" s="26">
        <v>10.5</v>
      </c>
      <c r="Q24" s="26">
        <v>8</v>
      </c>
      <c r="R24" s="22">
        <f t="shared" si="39"/>
        <v>8.25</v>
      </c>
      <c r="S24" s="22">
        <v>15.545</v>
      </c>
      <c r="T24" s="23">
        <v>14.955</v>
      </c>
      <c r="U24" s="23">
        <f t="shared" si="40"/>
        <v>15.348333333333334</v>
      </c>
      <c r="V24" s="23">
        <f t="shared" si="41"/>
        <v>11.799166666666668</v>
      </c>
      <c r="W24" s="40">
        <v>13.91</v>
      </c>
      <c r="X24" s="41">
        <v>9</v>
      </c>
      <c r="Y24" s="69">
        <f t="shared" si="42"/>
        <v>10.636666666666667</v>
      </c>
      <c r="Z24" s="26">
        <v>17.100000000000001</v>
      </c>
      <c r="AA24" s="26">
        <v>8.3000000000000007</v>
      </c>
      <c r="AB24" s="22">
        <f t="shared" si="43"/>
        <v>11.233333333333334</v>
      </c>
      <c r="AC24" s="38"/>
      <c r="AD24" s="38"/>
      <c r="AE24" s="35">
        <v>15</v>
      </c>
      <c r="AF24" s="36">
        <v>14</v>
      </c>
      <c r="AG24" s="23">
        <f t="shared" si="44"/>
        <v>14.666666666666666</v>
      </c>
      <c r="AH24" s="23">
        <f t="shared" si="45"/>
        <v>12.17888888888889</v>
      </c>
      <c r="AI24" s="23"/>
      <c r="AJ24" s="26">
        <v>14</v>
      </c>
      <c r="AK24" s="26">
        <v>7.2</v>
      </c>
      <c r="AL24" s="23">
        <f t="shared" si="46"/>
        <v>10.6</v>
      </c>
      <c r="AM24" s="26">
        <v>12.75</v>
      </c>
      <c r="AN24" s="26">
        <v>13.38</v>
      </c>
      <c r="AO24" s="22">
        <f t="shared" si="47"/>
        <v>13.065000000000001</v>
      </c>
      <c r="AP24" s="26">
        <v>12.5</v>
      </c>
      <c r="AQ24" s="23">
        <f t="shared" si="48"/>
        <v>12.055</v>
      </c>
      <c r="AR24" s="26">
        <v>14.5</v>
      </c>
      <c r="AS24" s="26">
        <v>14</v>
      </c>
      <c r="AT24" s="26">
        <v>15</v>
      </c>
      <c r="AU24" s="22">
        <f t="shared" si="49"/>
        <v>14.5</v>
      </c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64" ht="15.75" customHeight="1" x14ac:dyDescent="0.2">
      <c r="A25" s="65">
        <v>20</v>
      </c>
      <c r="B25" s="78">
        <v>22322465</v>
      </c>
      <c r="C25" s="38">
        <v>11.586213015873016</v>
      </c>
      <c r="D25" s="38"/>
      <c r="E25" s="22">
        <f t="shared" si="37"/>
        <v>10.395616666666665</v>
      </c>
      <c r="F25" s="22"/>
      <c r="G25" s="22">
        <f t="shared" si="1"/>
        <v>10.990914841269841</v>
      </c>
      <c r="H25" s="22"/>
      <c r="I25" s="26">
        <v>16</v>
      </c>
      <c r="J25" s="26">
        <v>6</v>
      </c>
      <c r="K25" s="67">
        <v>10</v>
      </c>
      <c r="L25" s="23">
        <f t="shared" si="38"/>
        <v>9.6666666666666661</v>
      </c>
      <c r="M25" s="23"/>
      <c r="N25" s="23"/>
      <c r="O25" s="26">
        <v>2.75</v>
      </c>
      <c r="P25" s="26">
        <v>0.75</v>
      </c>
      <c r="Q25" s="26">
        <v>5</v>
      </c>
      <c r="R25" s="22">
        <f t="shared" si="39"/>
        <v>2.8333333333333335</v>
      </c>
      <c r="S25" s="22">
        <v>15.045</v>
      </c>
      <c r="T25" s="23">
        <v>15.090999999999999</v>
      </c>
      <c r="U25" s="23">
        <f t="shared" si="40"/>
        <v>15.060333333333332</v>
      </c>
      <c r="V25" s="23">
        <f t="shared" si="41"/>
        <v>8.9468333333333323</v>
      </c>
      <c r="W25" s="40">
        <v>5.87</v>
      </c>
      <c r="X25" s="41"/>
      <c r="Y25" s="69">
        <f t="shared" si="42"/>
        <v>1.9566666666666668</v>
      </c>
      <c r="Z25" s="26">
        <v>16.5</v>
      </c>
      <c r="AA25" s="26">
        <v>6.5</v>
      </c>
      <c r="AB25" s="22">
        <f t="shared" si="43"/>
        <v>9.8333333333333339</v>
      </c>
      <c r="AC25" s="38"/>
      <c r="AD25" s="38"/>
      <c r="AE25" s="35">
        <v>14</v>
      </c>
      <c r="AF25" s="36">
        <v>14.5</v>
      </c>
      <c r="AG25" s="23">
        <f t="shared" si="44"/>
        <v>14.166666666666666</v>
      </c>
      <c r="AH25" s="23">
        <f t="shared" si="45"/>
        <v>8.6522222222222229</v>
      </c>
      <c r="AI25" s="23"/>
      <c r="AJ25" s="26">
        <v>11</v>
      </c>
      <c r="AK25" s="26">
        <v>7</v>
      </c>
      <c r="AL25" s="23">
        <f t="shared" si="46"/>
        <v>9</v>
      </c>
      <c r="AM25" s="26">
        <v>14.25</v>
      </c>
      <c r="AN25" s="26">
        <v>13.38</v>
      </c>
      <c r="AO25" s="22">
        <f t="shared" si="47"/>
        <v>13.815000000000001</v>
      </c>
      <c r="AP25" s="26">
        <v>15</v>
      </c>
      <c r="AQ25" s="23">
        <f t="shared" si="48"/>
        <v>12.604999999999999</v>
      </c>
      <c r="AR25" s="26">
        <v>18</v>
      </c>
      <c r="AS25" s="26">
        <v>14.5</v>
      </c>
      <c r="AT25" s="26">
        <v>15</v>
      </c>
      <c r="AU25" s="22">
        <f t="shared" si="49"/>
        <v>15.5625</v>
      </c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</row>
    <row r="26" spans="1:64" ht="15.75" customHeight="1" x14ac:dyDescent="0.2">
      <c r="A26" s="65">
        <v>21</v>
      </c>
      <c r="B26" s="78">
        <v>22322500</v>
      </c>
      <c r="C26" s="72">
        <v>9.871064761904762</v>
      </c>
      <c r="D26" s="72">
        <v>9.8139219047619051</v>
      </c>
      <c r="E26" s="22">
        <f t="shared" si="37"/>
        <v>12.2285</v>
      </c>
      <c r="F26" s="22"/>
      <c r="G26" s="22">
        <f t="shared" si="1"/>
        <v>11.049782380952381</v>
      </c>
      <c r="H26" s="22">
        <f>(D26+E26)/2</f>
        <v>11.021210952380953</v>
      </c>
      <c r="I26" s="26">
        <v>17</v>
      </c>
      <c r="J26" s="26">
        <v>11.75</v>
      </c>
      <c r="K26" s="67">
        <v>12</v>
      </c>
      <c r="L26" s="23">
        <f t="shared" si="38"/>
        <v>12.75</v>
      </c>
      <c r="M26" s="23"/>
      <c r="N26" s="23"/>
      <c r="O26" s="26">
        <v>4.25</v>
      </c>
      <c r="P26" s="26">
        <v>1.25</v>
      </c>
      <c r="Q26" s="26">
        <v>7</v>
      </c>
      <c r="R26" s="22">
        <f t="shared" si="39"/>
        <v>4.166666666666667</v>
      </c>
      <c r="S26" s="22">
        <v>15.818</v>
      </c>
      <c r="T26" s="23">
        <v>15.864000000000001</v>
      </c>
      <c r="U26" s="23">
        <f t="shared" si="40"/>
        <v>15.833333333333334</v>
      </c>
      <c r="V26" s="23">
        <f t="shared" si="41"/>
        <v>10</v>
      </c>
      <c r="W26" s="40">
        <v>16.52</v>
      </c>
      <c r="X26" s="41">
        <v>5.33</v>
      </c>
      <c r="Y26" s="69">
        <f t="shared" si="42"/>
        <v>9.06</v>
      </c>
      <c r="Z26" s="26">
        <v>11.8</v>
      </c>
      <c r="AA26" s="26">
        <v>3.6</v>
      </c>
      <c r="AB26" s="22">
        <f t="shared" si="43"/>
        <v>6.333333333333333</v>
      </c>
      <c r="AC26" s="38"/>
      <c r="AD26" s="38"/>
      <c r="AE26" s="35">
        <v>13.5</v>
      </c>
      <c r="AF26" s="36">
        <v>13.5</v>
      </c>
      <c r="AG26" s="23">
        <f t="shared" si="44"/>
        <v>13.5</v>
      </c>
      <c r="AH26" s="23">
        <f t="shared" si="45"/>
        <v>9.6311111111111121</v>
      </c>
      <c r="AI26" s="23"/>
      <c r="AJ26" s="26">
        <v>15</v>
      </c>
      <c r="AK26" s="26">
        <v>18.3</v>
      </c>
      <c r="AL26" s="23">
        <f t="shared" si="46"/>
        <v>16.649999999999999</v>
      </c>
      <c r="AM26" s="26">
        <v>16.75</v>
      </c>
      <c r="AN26" s="26">
        <v>11.25</v>
      </c>
      <c r="AO26" s="22">
        <f t="shared" si="47"/>
        <v>14</v>
      </c>
      <c r="AP26" s="26">
        <v>20</v>
      </c>
      <c r="AQ26" s="23">
        <f t="shared" si="48"/>
        <v>16.883333333333333</v>
      </c>
      <c r="AR26" s="26">
        <v>16</v>
      </c>
      <c r="AS26" s="26">
        <v>12</v>
      </c>
      <c r="AT26" s="26">
        <v>15</v>
      </c>
      <c r="AU26" s="22">
        <f t="shared" si="49"/>
        <v>14.125</v>
      </c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</row>
    <row r="27" spans="1:64" ht="15.75" customHeight="1" x14ac:dyDescent="0.2">
      <c r="A27" s="65">
        <v>22</v>
      </c>
      <c r="B27" s="78">
        <v>22322450</v>
      </c>
      <c r="C27" s="38">
        <v>10.08636253968254</v>
      </c>
      <c r="D27" s="38"/>
      <c r="E27" s="22">
        <f t="shared" si="37"/>
        <v>12.268483333333332</v>
      </c>
      <c r="F27" s="22"/>
      <c r="G27" s="22">
        <f t="shared" si="1"/>
        <v>11.177422936507936</v>
      </c>
      <c r="H27" s="38"/>
      <c r="I27" s="26">
        <v>20</v>
      </c>
      <c r="J27" s="26">
        <v>10</v>
      </c>
      <c r="K27" s="67">
        <v>11.5</v>
      </c>
      <c r="L27" s="23">
        <f t="shared" si="38"/>
        <v>12.416666666666666</v>
      </c>
      <c r="M27" s="23"/>
      <c r="N27" s="23"/>
      <c r="O27" s="26">
        <v>4.5</v>
      </c>
      <c r="P27" s="26">
        <v>4.75</v>
      </c>
      <c r="Q27" s="26">
        <v>12</v>
      </c>
      <c r="R27" s="22">
        <f t="shared" si="39"/>
        <v>7.083333333333333</v>
      </c>
      <c r="S27" s="22">
        <v>16.591000000000001</v>
      </c>
      <c r="T27" s="23">
        <v>16.454999999999998</v>
      </c>
      <c r="U27" s="23">
        <f t="shared" si="40"/>
        <v>16.545666666666666</v>
      </c>
      <c r="V27" s="23">
        <f t="shared" si="41"/>
        <v>11.814499999999999</v>
      </c>
      <c r="W27" s="40">
        <v>11.74</v>
      </c>
      <c r="X27" s="41">
        <v>11.33</v>
      </c>
      <c r="Y27" s="69">
        <f t="shared" si="42"/>
        <v>11.466666666666667</v>
      </c>
      <c r="Z27" s="26">
        <v>12.6</v>
      </c>
      <c r="AA27" s="26">
        <v>6.1</v>
      </c>
      <c r="AB27" s="22">
        <f t="shared" si="43"/>
        <v>8.2666666666666657</v>
      </c>
      <c r="AC27" s="38"/>
      <c r="AD27" s="38"/>
      <c r="AE27" s="35">
        <v>14</v>
      </c>
      <c r="AF27" s="36">
        <v>14.5</v>
      </c>
      <c r="AG27" s="23">
        <f t="shared" si="44"/>
        <v>14.166666666666666</v>
      </c>
      <c r="AH27" s="23">
        <f t="shared" si="45"/>
        <v>11.299999999999999</v>
      </c>
      <c r="AI27" s="23"/>
      <c r="AJ27" s="26">
        <v>12</v>
      </c>
      <c r="AK27" s="26">
        <v>8.4</v>
      </c>
      <c r="AL27" s="23">
        <f t="shared" si="46"/>
        <v>10.199999999999999</v>
      </c>
      <c r="AM27" s="26">
        <v>17</v>
      </c>
      <c r="AN27" s="26">
        <v>17.13</v>
      </c>
      <c r="AO27" s="22">
        <f t="shared" si="47"/>
        <v>17.064999999999998</v>
      </c>
      <c r="AP27" s="26">
        <v>6.5</v>
      </c>
      <c r="AQ27" s="23">
        <f t="shared" si="48"/>
        <v>11.255000000000001</v>
      </c>
      <c r="AR27" s="26">
        <v>19.5</v>
      </c>
      <c r="AS27" s="26">
        <v>19</v>
      </c>
      <c r="AT27" s="26">
        <v>15.5</v>
      </c>
      <c r="AU27" s="22">
        <f t="shared" si="49"/>
        <v>17.8125</v>
      </c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</row>
    <row r="28" spans="1:64" ht="15.75" customHeight="1" x14ac:dyDescent="0.2">
      <c r="A28" s="65">
        <v>23</v>
      </c>
      <c r="B28" s="78">
        <v>22322471</v>
      </c>
      <c r="C28" s="38">
        <v>10.890482698412699</v>
      </c>
      <c r="D28" s="38"/>
      <c r="E28" s="22">
        <f t="shared" si="37"/>
        <v>11.564600000000002</v>
      </c>
      <c r="F28" s="22"/>
      <c r="G28" s="22">
        <f t="shared" si="1"/>
        <v>11.227541349206351</v>
      </c>
      <c r="H28" s="38"/>
      <c r="I28" s="26">
        <v>18</v>
      </c>
      <c r="J28" s="26">
        <v>5.5</v>
      </c>
      <c r="K28" s="67">
        <v>11</v>
      </c>
      <c r="L28" s="23">
        <f t="shared" si="38"/>
        <v>10.333333333333334</v>
      </c>
      <c r="M28" s="23"/>
      <c r="N28" s="23"/>
      <c r="O28" s="26">
        <v>7.25</v>
      </c>
      <c r="P28" s="26">
        <v>9.5</v>
      </c>
      <c r="Q28" s="26">
        <v>14</v>
      </c>
      <c r="R28" s="22">
        <f t="shared" si="39"/>
        <v>10.25</v>
      </c>
      <c r="S28" s="22">
        <v>15.182</v>
      </c>
      <c r="T28" s="23">
        <v>15.364000000000001</v>
      </c>
      <c r="U28" s="23">
        <f t="shared" si="40"/>
        <v>15.242666666666667</v>
      </c>
      <c r="V28" s="23">
        <f t="shared" si="41"/>
        <v>12.746333333333332</v>
      </c>
      <c r="W28" s="40">
        <v>5.87</v>
      </c>
      <c r="X28" s="41">
        <v>8.83</v>
      </c>
      <c r="Y28" s="69">
        <f t="shared" si="42"/>
        <v>7.8433333333333337</v>
      </c>
      <c r="Z28" s="26">
        <v>14.9</v>
      </c>
      <c r="AA28" s="26">
        <v>5.8</v>
      </c>
      <c r="AB28" s="22">
        <f t="shared" si="43"/>
        <v>8.8333333333333339</v>
      </c>
      <c r="AC28" s="38"/>
      <c r="AD28" s="38"/>
      <c r="AE28" s="35">
        <v>13.5</v>
      </c>
      <c r="AF28" s="36">
        <v>14.5</v>
      </c>
      <c r="AG28" s="23">
        <f t="shared" si="44"/>
        <v>13.833333333333334</v>
      </c>
      <c r="AH28" s="23">
        <f t="shared" si="45"/>
        <v>10.170000000000002</v>
      </c>
      <c r="AI28" s="23"/>
      <c r="AJ28" s="26">
        <v>13</v>
      </c>
      <c r="AK28" s="26">
        <v>11.8</v>
      </c>
      <c r="AL28" s="23">
        <f t="shared" si="46"/>
        <v>12.4</v>
      </c>
      <c r="AM28" s="26">
        <v>17.5</v>
      </c>
      <c r="AN28" s="26">
        <v>14.63</v>
      </c>
      <c r="AO28" s="22">
        <f t="shared" si="47"/>
        <v>16.065000000000001</v>
      </c>
      <c r="AP28" s="26">
        <v>6</v>
      </c>
      <c r="AQ28" s="23">
        <f t="shared" si="48"/>
        <v>11.488333333333335</v>
      </c>
      <c r="AR28" s="26">
        <v>14.5</v>
      </c>
      <c r="AS28" s="26">
        <v>17</v>
      </c>
      <c r="AT28" s="26">
        <v>16</v>
      </c>
      <c r="AU28" s="22">
        <f t="shared" si="49"/>
        <v>16</v>
      </c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</row>
    <row r="29" spans="1:64" ht="15.75" customHeight="1" x14ac:dyDescent="0.2">
      <c r="A29" s="65">
        <v>24</v>
      </c>
      <c r="B29" s="78">
        <v>22322489</v>
      </c>
      <c r="C29" s="38">
        <v>10.568531904761905</v>
      </c>
      <c r="D29" s="38"/>
      <c r="E29" s="22">
        <f t="shared" si="37"/>
        <v>12.080883333333334</v>
      </c>
      <c r="F29" s="22"/>
      <c r="G29" s="22">
        <f t="shared" si="1"/>
        <v>11.324707619047619</v>
      </c>
      <c r="H29" s="38"/>
      <c r="I29" s="26">
        <v>18</v>
      </c>
      <c r="J29" s="26">
        <v>11</v>
      </c>
      <c r="K29" s="67">
        <v>11.25</v>
      </c>
      <c r="L29" s="23">
        <f t="shared" si="38"/>
        <v>12.291666666666666</v>
      </c>
      <c r="M29" s="23"/>
      <c r="N29" s="23"/>
      <c r="O29" s="26">
        <v>5.5</v>
      </c>
      <c r="P29" s="26">
        <v>3.5</v>
      </c>
      <c r="Q29" s="26">
        <v>7</v>
      </c>
      <c r="R29" s="22">
        <f t="shared" si="39"/>
        <v>5.333333333333333</v>
      </c>
      <c r="S29" s="22">
        <v>14.227</v>
      </c>
      <c r="T29" s="23">
        <v>14.5</v>
      </c>
      <c r="U29" s="23">
        <f t="shared" si="40"/>
        <v>14.318</v>
      </c>
      <c r="V29" s="23">
        <f t="shared" si="41"/>
        <v>9.8256666666666668</v>
      </c>
      <c r="W29" s="40">
        <v>10.220000000000001</v>
      </c>
      <c r="X29" s="41">
        <v>7.63</v>
      </c>
      <c r="Y29" s="69">
        <f t="shared" si="42"/>
        <v>8.4933333333333341</v>
      </c>
      <c r="Z29" s="26">
        <v>16.7</v>
      </c>
      <c r="AA29" s="26">
        <v>10</v>
      </c>
      <c r="AB29" s="22">
        <f t="shared" si="43"/>
        <v>12.233333333333334</v>
      </c>
      <c r="AC29" s="38"/>
      <c r="AD29" s="38"/>
      <c r="AE29" s="35">
        <v>15</v>
      </c>
      <c r="AF29" s="36">
        <v>13.5</v>
      </c>
      <c r="AG29" s="23">
        <f t="shared" si="44"/>
        <v>14.5</v>
      </c>
      <c r="AH29" s="23">
        <f t="shared" si="45"/>
        <v>11.742222222222223</v>
      </c>
      <c r="AI29" s="23"/>
      <c r="AJ29" s="26">
        <v>13</v>
      </c>
      <c r="AK29" s="26">
        <v>9.6</v>
      </c>
      <c r="AL29" s="23">
        <f t="shared" si="46"/>
        <v>11.3</v>
      </c>
      <c r="AM29" s="26">
        <v>14.25</v>
      </c>
      <c r="AN29" s="26">
        <v>13.38</v>
      </c>
      <c r="AO29" s="22">
        <f t="shared" si="47"/>
        <v>13.815000000000001</v>
      </c>
      <c r="AP29" s="26">
        <v>13</v>
      </c>
      <c r="AQ29" s="23">
        <f t="shared" si="48"/>
        <v>12.705</v>
      </c>
      <c r="AR29" s="26">
        <v>18</v>
      </c>
      <c r="AS29" s="26">
        <v>17.5</v>
      </c>
      <c r="AT29" s="26">
        <v>13</v>
      </c>
      <c r="AU29" s="22">
        <f t="shared" si="49"/>
        <v>15.9375</v>
      </c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</row>
    <row r="30" spans="1:64" ht="15.75" customHeight="1" x14ac:dyDescent="0.2">
      <c r="A30" s="65">
        <v>25</v>
      </c>
      <c r="B30" s="78">
        <v>22322474</v>
      </c>
      <c r="C30" s="38">
        <v>10.521071428571428</v>
      </c>
      <c r="D30" s="38"/>
      <c r="E30" s="22">
        <f t="shared" si="37"/>
        <v>12.434683333333334</v>
      </c>
      <c r="F30" s="22"/>
      <c r="G30" s="22">
        <f t="shared" si="1"/>
        <v>11.477877380952382</v>
      </c>
      <c r="H30" s="38"/>
      <c r="I30" s="26">
        <v>17</v>
      </c>
      <c r="J30" s="26">
        <v>12</v>
      </c>
      <c r="K30" s="67">
        <v>10.75</v>
      </c>
      <c r="L30" s="23">
        <f t="shared" si="38"/>
        <v>12.208333333333334</v>
      </c>
      <c r="M30" s="23"/>
      <c r="N30" s="23"/>
      <c r="O30" s="26">
        <v>5</v>
      </c>
      <c r="P30" s="26">
        <v>9.25</v>
      </c>
      <c r="Q30" s="26">
        <v>12</v>
      </c>
      <c r="R30" s="22">
        <f t="shared" si="39"/>
        <v>8.75</v>
      </c>
      <c r="S30" s="22">
        <v>14.635999999999999</v>
      </c>
      <c r="T30" s="23">
        <v>14.635999999999999</v>
      </c>
      <c r="U30" s="23">
        <f t="shared" si="40"/>
        <v>14.636000000000001</v>
      </c>
      <c r="V30" s="23">
        <f t="shared" si="41"/>
        <v>11.693000000000001</v>
      </c>
      <c r="W30" s="40">
        <v>9.57</v>
      </c>
      <c r="X30" s="41">
        <v>8</v>
      </c>
      <c r="Y30" s="69">
        <f t="shared" si="42"/>
        <v>8.5233333333333334</v>
      </c>
      <c r="Z30" s="26">
        <v>17.899999999999999</v>
      </c>
      <c r="AA30" s="26">
        <v>6</v>
      </c>
      <c r="AB30" s="22">
        <f t="shared" si="43"/>
        <v>9.9666666666666668</v>
      </c>
      <c r="AC30" s="38"/>
      <c r="AD30" s="38"/>
      <c r="AE30" s="35">
        <v>15</v>
      </c>
      <c r="AF30" s="36">
        <v>14</v>
      </c>
      <c r="AG30" s="23">
        <f t="shared" si="44"/>
        <v>14.666666666666666</v>
      </c>
      <c r="AH30" s="23">
        <f t="shared" si="45"/>
        <v>11.052222222222222</v>
      </c>
      <c r="AI30" s="23"/>
      <c r="AJ30" s="26">
        <v>14</v>
      </c>
      <c r="AK30" s="26">
        <v>13.6</v>
      </c>
      <c r="AL30" s="23">
        <f t="shared" si="46"/>
        <v>13.8</v>
      </c>
      <c r="AM30" s="26">
        <v>14.25</v>
      </c>
      <c r="AN30" s="26">
        <v>16.25</v>
      </c>
      <c r="AO30" s="22">
        <f t="shared" si="47"/>
        <v>15.25</v>
      </c>
      <c r="AP30" s="26">
        <v>14</v>
      </c>
      <c r="AQ30" s="23">
        <f t="shared" si="48"/>
        <v>14.35</v>
      </c>
      <c r="AR30" s="26">
        <v>13</v>
      </c>
      <c r="AS30" s="26">
        <v>15.5</v>
      </c>
      <c r="AT30" s="26">
        <v>15</v>
      </c>
      <c r="AU30" s="22">
        <f t="shared" si="49"/>
        <v>14.6875</v>
      </c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</row>
    <row r="31" spans="1:64" ht="15.75" customHeight="1" x14ac:dyDescent="0.2">
      <c r="A31" s="65">
        <v>26</v>
      </c>
      <c r="B31" s="78">
        <v>22322501</v>
      </c>
      <c r="C31" s="38">
        <v>10.617681825396826</v>
      </c>
      <c r="D31" s="38"/>
      <c r="E31" s="22">
        <f t="shared" si="37"/>
        <v>12.769516666666666</v>
      </c>
      <c r="F31" s="22"/>
      <c r="G31" s="22">
        <f t="shared" si="1"/>
        <v>11.693599246031745</v>
      </c>
      <c r="H31" s="38"/>
      <c r="I31" s="26">
        <v>17</v>
      </c>
      <c r="J31" s="26">
        <v>13.5</v>
      </c>
      <c r="K31" s="67">
        <v>13</v>
      </c>
      <c r="L31" s="23">
        <f t="shared" si="38"/>
        <v>13.833333333333334</v>
      </c>
      <c r="M31" s="23"/>
      <c r="N31" s="23"/>
      <c r="O31" s="26">
        <v>5.5</v>
      </c>
      <c r="P31" s="26">
        <v>9.5</v>
      </c>
      <c r="Q31" s="26">
        <v>7</v>
      </c>
      <c r="R31" s="22">
        <f t="shared" si="39"/>
        <v>7.333333333333333</v>
      </c>
      <c r="S31" s="22">
        <v>15.182</v>
      </c>
      <c r="T31" s="23">
        <v>15.409000000000001</v>
      </c>
      <c r="U31" s="23">
        <f t="shared" si="40"/>
        <v>15.257666666666667</v>
      </c>
      <c r="V31" s="23">
        <f t="shared" si="41"/>
        <v>11.295500000000001</v>
      </c>
      <c r="W31" s="40">
        <v>10.87</v>
      </c>
      <c r="X31" s="41">
        <v>7.5</v>
      </c>
      <c r="Y31" s="69">
        <f t="shared" si="42"/>
        <v>8.6233333333333331</v>
      </c>
      <c r="Z31" s="26">
        <v>17</v>
      </c>
      <c r="AA31" s="26">
        <v>9.4</v>
      </c>
      <c r="AB31" s="22">
        <f t="shared" si="43"/>
        <v>11.933333333333332</v>
      </c>
      <c r="AC31" s="38"/>
      <c r="AD31" s="38"/>
      <c r="AE31" s="35">
        <v>14.5</v>
      </c>
      <c r="AF31" s="36">
        <v>14.5</v>
      </c>
      <c r="AG31" s="23">
        <f t="shared" si="44"/>
        <v>14.5</v>
      </c>
      <c r="AH31" s="23">
        <f t="shared" si="45"/>
        <v>11.685555555555554</v>
      </c>
      <c r="AI31" s="23"/>
      <c r="AJ31" s="26">
        <v>10</v>
      </c>
      <c r="AK31" s="26">
        <v>10.199999999999999</v>
      </c>
      <c r="AL31" s="23">
        <f t="shared" si="46"/>
        <v>10.1</v>
      </c>
      <c r="AM31" s="26">
        <v>12.75</v>
      </c>
      <c r="AN31" s="26">
        <v>13.13</v>
      </c>
      <c r="AO31" s="22">
        <f t="shared" si="47"/>
        <v>12.940000000000001</v>
      </c>
      <c r="AP31" s="26">
        <v>17</v>
      </c>
      <c r="AQ31" s="23">
        <f t="shared" si="48"/>
        <v>13.346666666666666</v>
      </c>
      <c r="AR31" s="26">
        <v>20</v>
      </c>
      <c r="AS31" s="26">
        <v>16.5</v>
      </c>
      <c r="AT31" s="26">
        <v>12</v>
      </c>
      <c r="AU31" s="22">
        <f t="shared" si="49"/>
        <v>15.6875</v>
      </c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</row>
    <row r="32" spans="1:64" ht="15.75" customHeight="1" x14ac:dyDescent="0.2">
      <c r="A32" s="65">
        <v>27</v>
      </c>
      <c r="B32" s="78">
        <v>22322534</v>
      </c>
      <c r="C32" s="38">
        <v>12.169437936507936</v>
      </c>
      <c r="D32" s="38"/>
      <c r="E32" s="22">
        <f t="shared" si="37"/>
        <v>11.550666666666666</v>
      </c>
      <c r="F32" s="22"/>
      <c r="G32" s="22">
        <f t="shared" si="1"/>
        <v>11.860052301587302</v>
      </c>
      <c r="H32" s="38"/>
      <c r="I32" s="26">
        <v>16</v>
      </c>
      <c r="J32" s="26">
        <v>13.5</v>
      </c>
      <c r="K32" s="67">
        <v>8.5</v>
      </c>
      <c r="L32" s="23">
        <f t="shared" si="38"/>
        <v>11.416666666666666</v>
      </c>
      <c r="M32" s="23"/>
      <c r="N32" s="23"/>
      <c r="O32" s="26">
        <v>5.5</v>
      </c>
      <c r="P32" s="26">
        <v>4.75</v>
      </c>
      <c r="Q32" s="26">
        <v>12</v>
      </c>
      <c r="R32" s="22">
        <f t="shared" si="39"/>
        <v>7.416666666666667</v>
      </c>
      <c r="S32" s="22">
        <v>14.727</v>
      </c>
      <c r="T32" s="23">
        <v>14.635999999999999</v>
      </c>
      <c r="U32" s="23">
        <f t="shared" si="40"/>
        <v>14.696666666666667</v>
      </c>
      <c r="V32" s="23">
        <f t="shared" si="41"/>
        <v>11.056666666666667</v>
      </c>
      <c r="W32" s="40">
        <v>10</v>
      </c>
      <c r="X32" s="41">
        <v>7</v>
      </c>
      <c r="Y32" s="69">
        <f t="shared" si="42"/>
        <v>8</v>
      </c>
      <c r="Z32" s="26">
        <v>11.1</v>
      </c>
      <c r="AA32" s="26">
        <v>7.8</v>
      </c>
      <c r="AB32" s="22">
        <f t="shared" si="43"/>
        <v>8.9</v>
      </c>
      <c r="AC32" s="38"/>
      <c r="AD32" s="38"/>
      <c r="AE32" s="35">
        <v>16.5</v>
      </c>
      <c r="AF32" s="36">
        <v>14</v>
      </c>
      <c r="AG32" s="23">
        <f t="shared" si="44"/>
        <v>15.666666666666666</v>
      </c>
      <c r="AH32" s="23">
        <f t="shared" si="45"/>
        <v>10.855555555555554</v>
      </c>
      <c r="AI32" s="23"/>
      <c r="AJ32" s="26">
        <v>14</v>
      </c>
      <c r="AK32" s="26">
        <v>14.6</v>
      </c>
      <c r="AL32" s="23">
        <f t="shared" si="46"/>
        <v>14.3</v>
      </c>
      <c r="AM32" s="26">
        <v>14.25</v>
      </c>
      <c r="AN32" s="26">
        <v>14.63</v>
      </c>
      <c r="AO32" s="22">
        <f t="shared" si="47"/>
        <v>14.440000000000001</v>
      </c>
      <c r="AP32" s="26">
        <v>8</v>
      </c>
      <c r="AQ32" s="23">
        <f t="shared" si="48"/>
        <v>12.246666666666668</v>
      </c>
      <c r="AR32" s="26">
        <v>13.5</v>
      </c>
      <c r="AS32" s="26">
        <v>15</v>
      </c>
      <c r="AT32" s="26">
        <v>12</v>
      </c>
      <c r="AU32" s="22">
        <f t="shared" si="49"/>
        <v>13.5</v>
      </c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70"/>
      <c r="BL32" s="70"/>
    </row>
    <row r="33" spans="1:64" ht="15.75" customHeight="1" x14ac:dyDescent="0.2">
      <c r="A33" s="65">
        <v>28</v>
      </c>
      <c r="B33" s="78">
        <v>22322523</v>
      </c>
      <c r="C33" s="38">
        <v>10.944054285714286</v>
      </c>
      <c r="D33" s="38"/>
      <c r="E33" s="22">
        <f t="shared" si="37"/>
        <v>13.126616666666667</v>
      </c>
      <c r="F33" s="22"/>
      <c r="G33" s="22">
        <f t="shared" si="1"/>
        <v>12.035335476190475</v>
      </c>
      <c r="H33" s="38"/>
      <c r="I33" s="26">
        <v>17.5</v>
      </c>
      <c r="J33" s="26">
        <v>10.75</v>
      </c>
      <c r="K33" s="67">
        <v>13</v>
      </c>
      <c r="L33" s="23">
        <f t="shared" si="38"/>
        <v>13</v>
      </c>
      <c r="M33" s="23"/>
      <c r="N33" s="23"/>
      <c r="O33" s="26">
        <v>7.75</v>
      </c>
      <c r="P33" s="26">
        <v>7.25</v>
      </c>
      <c r="Q33" s="26">
        <v>9</v>
      </c>
      <c r="R33" s="22">
        <f t="shared" si="39"/>
        <v>8</v>
      </c>
      <c r="S33" s="22">
        <v>16.318000000000001</v>
      </c>
      <c r="T33" s="23">
        <v>15.955</v>
      </c>
      <c r="U33" s="23">
        <f t="shared" si="40"/>
        <v>16.196999999999999</v>
      </c>
      <c r="V33" s="23">
        <f t="shared" si="41"/>
        <v>12.0985</v>
      </c>
      <c r="W33" s="40">
        <v>13.48</v>
      </c>
      <c r="X33" s="41">
        <v>9.33</v>
      </c>
      <c r="Y33" s="69">
        <f t="shared" si="42"/>
        <v>10.713333333333333</v>
      </c>
      <c r="Z33" s="26">
        <v>14.4</v>
      </c>
      <c r="AA33" s="26">
        <v>9.6999999999999993</v>
      </c>
      <c r="AB33" s="22">
        <f t="shared" si="43"/>
        <v>11.266666666666666</v>
      </c>
      <c r="AC33" s="38"/>
      <c r="AD33" s="38"/>
      <c r="AE33" s="35">
        <v>13.5</v>
      </c>
      <c r="AF33" s="36">
        <v>14.5</v>
      </c>
      <c r="AG33" s="23">
        <f t="shared" si="44"/>
        <v>13.833333333333334</v>
      </c>
      <c r="AH33" s="23">
        <f t="shared" si="45"/>
        <v>11.937777777777777</v>
      </c>
      <c r="AI33" s="23"/>
      <c r="AJ33" s="26">
        <v>16</v>
      </c>
      <c r="AK33" s="26">
        <v>15.2</v>
      </c>
      <c r="AL33" s="23">
        <f t="shared" si="46"/>
        <v>15.6</v>
      </c>
      <c r="AM33" s="26">
        <v>12.75</v>
      </c>
      <c r="AN33" s="26">
        <v>10.63</v>
      </c>
      <c r="AO33" s="22">
        <f t="shared" si="47"/>
        <v>11.690000000000001</v>
      </c>
      <c r="AP33" s="26">
        <v>15</v>
      </c>
      <c r="AQ33" s="23">
        <f t="shared" si="48"/>
        <v>14.096666666666666</v>
      </c>
      <c r="AR33" s="26">
        <v>16.5</v>
      </c>
      <c r="AS33" s="26">
        <v>18.5</v>
      </c>
      <c r="AT33" s="26">
        <v>16</v>
      </c>
      <c r="AU33" s="22">
        <f t="shared" si="49"/>
        <v>17.0625</v>
      </c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</row>
    <row r="34" spans="1:64" ht="15.75" customHeight="1" x14ac:dyDescent="0.2">
      <c r="A34" s="65">
        <v>29</v>
      </c>
      <c r="B34" s="78">
        <v>22322492</v>
      </c>
      <c r="C34" s="38">
        <v>12.913270000000001</v>
      </c>
      <c r="D34" s="38"/>
      <c r="E34" s="22">
        <f t="shared" si="37"/>
        <v>11.258666666666667</v>
      </c>
      <c r="F34" s="22"/>
      <c r="G34" s="22">
        <f t="shared" si="1"/>
        <v>12.085968333333334</v>
      </c>
      <c r="H34" s="38"/>
      <c r="I34" s="26">
        <v>16</v>
      </c>
      <c r="J34" s="26">
        <v>13.25</v>
      </c>
      <c r="K34" s="67">
        <v>10</v>
      </c>
      <c r="L34" s="23">
        <f t="shared" si="38"/>
        <v>12.083333333333334</v>
      </c>
      <c r="M34" s="23"/>
      <c r="N34" s="23"/>
      <c r="O34" s="26">
        <v>7.25</v>
      </c>
      <c r="P34" s="26">
        <v>2.5</v>
      </c>
      <c r="Q34" s="26">
        <v>12</v>
      </c>
      <c r="R34" s="22">
        <f t="shared" si="39"/>
        <v>7.25</v>
      </c>
      <c r="S34" s="22">
        <v>16.635999999999999</v>
      </c>
      <c r="T34" s="23">
        <v>16.818000000000001</v>
      </c>
      <c r="U34" s="23">
        <f t="shared" si="40"/>
        <v>16.696666666666669</v>
      </c>
      <c r="V34" s="23">
        <f t="shared" si="41"/>
        <v>11.973333333333334</v>
      </c>
      <c r="W34" s="40">
        <v>16.09</v>
      </c>
      <c r="X34" s="41">
        <v>8.5</v>
      </c>
      <c r="Y34" s="69">
        <f t="shared" si="42"/>
        <v>11.030000000000001</v>
      </c>
      <c r="Z34" s="26">
        <v>16.399999999999999</v>
      </c>
      <c r="AA34" s="26">
        <v>8.6999999999999993</v>
      </c>
      <c r="AB34" s="22">
        <f t="shared" si="43"/>
        <v>11.266666666666666</v>
      </c>
      <c r="AC34" s="38"/>
      <c r="AD34" s="38"/>
      <c r="AE34" s="35">
        <v>14</v>
      </c>
      <c r="AF34" s="36">
        <v>14.5</v>
      </c>
      <c r="AG34" s="23">
        <f t="shared" si="44"/>
        <v>14.166666666666666</v>
      </c>
      <c r="AH34" s="23">
        <f t="shared" si="45"/>
        <v>12.154444444444444</v>
      </c>
      <c r="AI34" s="23"/>
      <c r="AJ34" s="26">
        <v>13</v>
      </c>
      <c r="AK34" s="26">
        <v>16.899999999999999</v>
      </c>
      <c r="AL34" s="23">
        <f t="shared" si="46"/>
        <v>14.95</v>
      </c>
      <c r="AM34" s="26">
        <v>16.75</v>
      </c>
      <c r="AN34" s="26">
        <v>11.38</v>
      </c>
      <c r="AO34" s="22">
        <f t="shared" si="47"/>
        <v>14.065000000000001</v>
      </c>
      <c r="AP34" s="26">
        <v>13</v>
      </c>
      <c r="AQ34" s="23">
        <f t="shared" si="48"/>
        <v>14.005000000000001</v>
      </c>
      <c r="AR34" s="26">
        <v>17</v>
      </c>
      <c r="AS34" s="26">
        <v>16.5</v>
      </c>
      <c r="AT34" s="26">
        <v>18</v>
      </c>
      <c r="AU34" s="33">
        <v>0</v>
      </c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</row>
    <row r="35" spans="1:64" ht="15.75" customHeight="1" x14ac:dyDescent="0.2">
      <c r="A35" s="65">
        <v>30</v>
      </c>
      <c r="B35" s="78">
        <v>22322466</v>
      </c>
      <c r="C35" s="38">
        <v>11.418917936507937</v>
      </c>
      <c r="D35" s="38"/>
      <c r="E35" s="22">
        <f t="shared" si="37"/>
        <v>14.304516666666666</v>
      </c>
      <c r="F35" s="22"/>
      <c r="G35" s="22">
        <f t="shared" si="1"/>
        <v>12.861717301587301</v>
      </c>
      <c r="H35" s="38"/>
      <c r="I35" s="26">
        <v>15</v>
      </c>
      <c r="J35" s="26">
        <v>13.75</v>
      </c>
      <c r="K35" s="67">
        <v>11.25</v>
      </c>
      <c r="L35" s="23">
        <f t="shared" si="38"/>
        <v>12.708333333333334</v>
      </c>
      <c r="M35" s="23"/>
      <c r="N35" s="23"/>
      <c r="O35" s="26">
        <v>5.75</v>
      </c>
      <c r="P35" s="26">
        <v>14.25</v>
      </c>
      <c r="Q35" s="26">
        <v>18</v>
      </c>
      <c r="R35" s="22">
        <f t="shared" si="39"/>
        <v>12.666666666666666</v>
      </c>
      <c r="S35" s="22">
        <v>16.273</v>
      </c>
      <c r="T35" s="23">
        <v>16.681999999999999</v>
      </c>
      <c r="U35" s="23">
        <f t="shared" si="40"/>
        <v>16.409333333333333</v>
      </c>
      <c r="V35" s="23">
        <f t="shared" si="41"/>
        <v>14.538</v>
      </c>
      <c r="W35" s="40">
        <v>14.35</v>
      </c>
      <c r="X35" s="41">
        <v>11.17</v>
      </c>
      <c r="Y35" s="69">
        <f t="shared" si="42"/>
        <v>12.229999999999999</v>
      </c>
      <c r="Z35" s="26">
        <v>16.100000000000001</v>
      </c>
      <c r="AA35" s="26">
        <v>11.7</v>
      </c>
      <c r="AB35" s="22">
        <f t="shared" si="43"/>
        <v>13.166666666666666</v>
      </c>
      <c r="AC35" s="38"/>
      <c r="AD35" s="38"/>
      <c r="AE35" s="35">
        <v>14.5</v>
      </c>
      <c r="AF35" s="36">
        <v>14</v>
      </c>
      <c r="AG35" s="23">
        <f t="shared" si="44"/>
        <v>14.333333333333334</v>
      </c>
      <c r="AH35" s="23">
        <f t="shared" si="45"/>
        <v>13.243333333333332</v>
      </c>
      <c r="AI35" s="23"/>
      <c r="AJ35" s="26">
        <v>16</v>
      </c>
      <c r="AK35" s="26">
        <v>12.9</v>
      </c>
      <c r="AL35" s="23">
        <f t="shared" si="46"/>
        <v>14.45</v>
      </c>
      <c r="AM35" s="26">
        <v>17.75</v>
      </c>
      <c r="AN35" s="26">
        <v>17.13</v>
      </c>
      <c r="AO35" s="22">
        <f t="shared" si="47"/>
        <v>17.439999999999998</v>
      </c>
      <c r="AP35" s="26">
        <v>18</v>
      </c>
      <c r="AQ35" s="23">
        <f t="shared" si="48"/>
        <v>16.63</v>
      </c>
      <c r="AR35" s="26">
        <v>14.25</v>
      </c>
      <c r="AS35" s="26">
        <v>18</v>
      </c>
      <c r="AT35" s="26">
        <v>14</v>
      </c>
      <c r="AU35" s="22">
        <f t="shared" ref="AU35:AU56" si="50">((AR35*2)+(AS35*3)+(AT35*3))/8</f>
        <v>15.5625</v>
      </c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</row>
    <row r="36" spans="1:64" ht="16.5" customHeight="1" x14ac:dyDescent="0.2">
      <c r="A36" s="65">
        <v>31</v>
      </c>
      <c r="B36" s="78">
        <v>22322532</v>
      </c>
      <c r="C36" s="38">
        <v>12.675353015873016</v>
      </c>
      <c r="D36" s="38"/>
      <c r="E36" s="22">
        <f t="shared" si="37"/>
        <v>13.498333333333335</v>
      </c>
      <c r="F36" s="22"/>
      <c r="G36" s="22">
        <f t="shared" si="1"/>
        <v>13.086843174603175</v>
      </c>
      <c r="H36" s="38"/>
      <c r="I36" s="26">
        <v>17</v>
      </c>
      <c r="J36" s="26">
        <v>18.25</v>
      </c>
      <c r="K36" s="67">
        <v>13.25</v>
      </c>
      <c r="L36" s="23">
        <f t="shared" si="38"/>
        <v>15.541666666666666</v>
      </c>
      <c r="M36" s="23"/>
      <c r="N36" s="23"/>
      <c r="O36" s="26">
        <v>5.25</v>
      </c>
      <c r="P36" s="26">
        <v>15</v>
      </c>
      <c r="Q36" s="26">
        <v>12</v>
      </c>
      <c r="R36" s="22">
        <f t="shared" si="39"/>
        <v>10.75</v>
      </c>
      <c r="S36" s="22">
        <v>16.318000000000001</v>
      </c>
      <c r="T36" s="23">
        <v>16.408999999999999</v>
      </c>
      <c r="U36" s="23">
        <f t="shared" si="40"/>
        <v>16.348333333333333</v>
      </c>
      <c r="V36" s="23">
        <f t="shared" si="41"/>
        <v>13.549166666666666</v>
      </c>
      <c r="W36" s="40">
        <v>12.17</v>
      </c>
      <c r="X36" s="41">
        <v>7.83</v>
      </c>
      <c r="Y36" s="69">
        <f t="shared" si="42"/>
        <v>9.2766666666666655</v>
      </c>
      <c r="Z36" s="26">
        <v>12.2</v>
      </c>
      <c r="AA36" s="26">
        <v>7.2</v>
      </c>
      <c r="AB36" s="22">
        <f t="shared" si="43"/>
        <v>8.8666666666666671</v>
      </c>
      <c r="AC36" s="38"/>
      <c r="AD36" s="38"/>
      <c r="AE36" s="35">
        <v>13</v>
      </c>
      <c r="AF36" s="36">
        <v>13.5</v>
      </c>
      <c r="AG36" s="23">
        <f t="shared" si="44"/>
        <v>13.166666666666666</v>
      </c>
      <c r="AH36" s="23">
        <f t="shared" si="45"/>
        <v>10.436666666666666</v>
      </c>
      <c r="AI36" s="23"/>
      <c r="AJ36" s="26">
        <v>17</v>
      </c>
      <c r="AK36" s="26">
        <v>18.600000000000001</v>
      </c>
      <c r="AL36" s="23">
        <f t="shared" si="46"/>
        <v>17.8</v>
      </c>
      <c r="AM36" s="26">
        <v>13.25</v>
      </c>
      <c r="AN36" s="26">
        <v>13</v>
      </c>
      <c r="AO36" s="22">
        <f t="shared" si="47"/>
        <v>13.125</v>
      </c>
      <c r="AP36" s="26">
        <v>12</v>
      </c>
      <c r="AQ36" s="23">
        <f t="shared" si="48"/>
        <v>14.308333333333332</v>
      </c>
      <c r="AR36" s="26">
        <v>19.5</v>
      </c>
      <c r="AS36" s="26">
        <v>17.5</v>
      </c>
      <c r="AT36" s="26">
        <v>14.5</v>
      </c>
      <c r="AU36" s="22">
        <f t="shared" si="50"/>
        <v>16.875</v>
      </c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</row>
    <row r="37" spans="1:64" ht="15.75" customHeight="1" x14ac:dyDescent="0.2">
      <c r="A37" s="65">
        <v>32</v>
      </c>
      <c r="B37" s="78">
        <v>22322522</v>
      </c>
      <c r="C37" s="38">
        <v>12.766435079365078</v>
      </c>
      <c r="D37" s="38"/>
      <c r="E37" s="22">
        <f t="shared" si="37"/>
        <v>13.500916666666667</v>
      </c>
      <c r="F37" s="22"/>
      <c r="G37" s="22">
        <f t="shared" si="1"/>
        <v>13.133675873015871</v>
      </c>
      <c r="H37" s="38"/>
      <c r="I37" s="26">
        <v>17</v>
      </c>
      <c r="J37" s="26">
        <v>4.75</v>
      </c>
      <c r="K37" s="67">
        <v>14</v>
      </c>
      <c r="L37" s="23">
        <f t="shared" si="38"/>
        <v>11.416666666666666</v>
      </c>
      <c r="M37" s="23"/>
      <c r="N37" s="23"/>
      <c r="O37" s="26">
        <v>10.5</v>
      </c>
      <c r="P37" s="26">
        <v>14.5</v>
      </c>
      <c r="Q37" s="26">
        <v>12</v>
      </c>
      <c r="R37" s="22">
        <f t="shared" si="39"/>
        <v>12.333333333333334</v>
      </c>
      <c r="S37" s="22">
        <v>16.327000000000002</v>
      </c>
      <c r="T37" s="23">
        <v>16.635999999999999</v>
      </c>
      <c r="U37" s="23">
        <f t="shared" si="40"/>
        <v>16.430000000000003</v>
      </c>
      <c r="V37" s="23">
        <f t="shared" si="41"/>
        <v>14.381666666666668</v>
      </c>
      <c r="W37" s="40">
        <v>4.57</v>
      </c>
      <c r="X37" s="41">
        <v>10</v>
      </c>
      <c r="Y37" s="69">
        <f t="shared" si="42"/>
        <v>8.19</v>
      </c>
      <c r="Z37" s="26">
        <v>16.8</v>
      </c>
      <c r="AA37" s="26">
        <v>7.5</v>
      </c>
      <c r="AB37" s="22">
        <f t="shared" si="43"/>
        <v>10.6</v>
      </c>
      <c r="AC37" s="38"/>
      <c r="AD37" s="38"/>
      <c r="AE37" s="35">
        <v>16.5</v>
      </c>
      <c r="AF37" s="36">
        <v>15</v>
      </c>
      <c r="AG37" s="23">
        <f t="shared" si="44"/>
        <v>16</v>
      </c>
      <c r="AH37" s="23">
        <f t="shared" si="45"/>
        <v>11.596666666666666</v>
      </c>
      <c r="AI37" s="23"/>
      <c r="AJ37" s="26">
        <v>19</v>
      </c>
      <c r="AK37" s="26">
        <v>8.8000000000000007</v>
      </c>
      <c r="AL37" s="23">
        <f t="shared" si="46"/>
        <v>13.9</v>
      </c>
      <c r="AM37" s="26">
        <v>17.5</v>
      </c>
      <c r="AN37" s="26">
        <v>14.13</v>
      </c>
      <c r="AO37" s="22">
        <f t="shared" si="47"/>
        <v>15.815000000000001</v>
      </c>
      <c r="AP37" s="26">
        <v>19.5</v>
      </c>
      <c r="AQ37" s="23">
        <f t="shared" si="48"/>
        <v>16.405000000000001</v>
      </c>
      <c r="AR37" s="26">
        <v>17.5</v>
      </c>
      <c r="AS37" s="26">
        <v>17.5</v>
      </c>
      <c r="AT37" s="26">
        <v>13</v>
      </c>
      <c r="AU37" s="22">
        <f t="shared" si="50"/>
        <v>15.8125</v>
      </c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</row>
    <row r="38" spans="1:64" ht="15.75" customHeight="1" x14ac:dyDescent="0.2">
      <c r="A38" s="65">
        <v>33</v>
      </c>
      <c r="B38" s="78">
        <v>22322453</v>
      </c>
      <c r="C38" s="38">
        <v>12.049034444444443</v>
      </c>
      <c r="D38" s="38"/>
      <c r="E38" s="22">
        <f t="shared" si="37"/>
        <v>14.260666666666667</v>
      </c>
      <c r="F38" s="22"/>
      <c r="G38" s="22">
        <f t="shared" si="1"/>
        <v>13.154850555555555</v>
      </c>
      <c r="H38" s="38"/>
      <c r="I38" s="26">
        <v>15</v>
      </c>
      <c r="J38" s="26">
        <v>16.25</v>
      </c>
      <c r="K38" s="67">
        <v>14</v>
      </c>
      <c r="L38" s="23">
        <f t="shared" si="38"/>
        <v>14.916666666666666</v>
      </c>
      <c r="M38" s="23"/>
      <c r="N38" s="23"/>
      <c r="O38" s="26">
        <v>4</v>
      </c>
      <c r="P38" s="26">
        <v>8.25</v>
      </c>
      <c r="Q38" s="26">
        <v>9</v>
      </c>
      <c r="R38" s="22">
        <f t="shared" si="39"/>
        <v>7.083333333333333</v>
      </c>
      <c r="S38" s="22">
        <v>16.5</v>
      </c>
      <c r="T38" s="23">
        <v>16.5</v>
      </c>
      <c r="U38" s="23">
        <f t="shared" si="40"/>
        <v>16.5</v>
      </c>
      <c r="V38" s="23">
        <f t="shared" si="41"/>
        <v>11.791666666666666</v>
      </c>
      <c r="W38" s="40">
        <v>13.26</v>
      </c>
      <c r="X38" s="41">
        <v>14.33</v>
      </c>
      <c r="Y38" s="69">
        <f t="shared" si="42"/>
        <v>13.973333333333334</v>
      </c>
      <c r="Z38" s="26">
        <v>16.600000000000001</v>
      </c>
      <c r="AA38" s="26">
        <v>10.4</v>
      </c>
      <c r="AB38" s="22">
        <f t="shared" si="43"/>
        <v>12.466666666666669</v>
      </c>
      <c r="AC38" s="38"/>
      <c r="AD38" s="38"/>
      <c r="AE38" s="35">
        <v>15</v>
      </c>
      <c r="AF38" s="36">
        <v>14</v>
      </c>
      <c r="AG38" s="23">
        <f t="shared" si="44"/>
        <v>14.666666666666666</v>
      </c>
      <c r="AH38" s="23">
        <f t="shared" si="45"/>
        <v>13.702222222222224</v>
      </c>
      <c r="AI38" s="23"/>
      <c r="AJ38" s="26">
        <v>17</v>
      </c>
      <c r="AK38" s="26">
        <v>17.5</v>
      </c>
      <c r="AL38" s="23">
        <f t="shared" si="46"/>
        <v>17.25</v>
      </c>
      <c r="AM38" s="26">
        <v>16.75</v>
      </c>
      <c r="AN38" s="26">
        <v>12.5</v>
      </c>
      <c r="AO38" s="22">
        <f t="shared" si="47"/>
        <v>14.625</v>
      </c>
      <c r="AP38" s="26">
        <v>20</v>
      </c>
      <c r="AQ38" s="23">
        <f t="shared" si="48"/>
        <v>17.291666666666668</v>
      </c>
      <c r="AR38" s="26">
        <v>12</v>
      </c>
      <c r="AS38" s="26">
        <v>14.5</v>
      </c>
      <c r="AT38" s="26">
        <v>13.5</v>
      </c>
      <c r="AU38" s="22">
        <f t="shared" si="50"/>
        <v>13.5</v>
      </c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</row>
    <row r="39" spans="1:64" ht="15.75" customHeight="1" x14ac:dyDescent="0.2">
      <c r="A39" s="65">
        <v>34</v>
      </c>
      <c r="B39" s="78">
        <v>22322526</v>
      </c>
      <c r="C39" s="38">
        <v>13.135013333333331</v>
      </c>
      <c r="D39" s="38"/>
      <c r="E39" s="22">
        <f t="shared" si="37"/>
        <v>13.468133333333332</v>
      </c>
      <c r="F39" s="22"/>
      <c r="G39" s="22">
        <f t="shared" si="1"/>
        <v>13.301573333333332</v>
      </c>
      <c r="H39" s="38"/>
      <c r="I39" s="26">
        <v>19</v>
      </c>
      <c r="J39" s="26">
        <v>12</v>
      </c>
      <c r="K39" s="67">
        <v>10.5</v>
      </c>
      <c r="L39" s="23">
        <f t="shared" si="38"/>
        <v>12.416666666666666</v>
      </c>
      <c r="M39" s="23"/>
      <c r="N39" s="23"/>
      <c r="O39" s="26">
        <v>10.5</v>
      </c>
      <c r="P39" s="26">
        <v>15.75</v>
      </c>
      <c r="Q39" s="26">
        <v>7</v>
      </c>
      <c r="R39" s="22">
        <f t="shared" si="39"/>
        <v>11.083333333333334</v>
      </c>
      <c r="S39" s="22">
        <v>17.864000000000001</v>
      </c>
      <c r="T39" s="23">
        <v>17.591000000000001</v>
      </c>
      <c r="U39" s="23">
        <f t="shared" si="40"/>
        <v>17.773</v>
      </c>
      <c r="V39" s="23">
        <f t="shared" si="41"/>
        <v>14.428166666666666</v>
      </c>
      <c r="W39" s="40">
        <v>10.65</v>
      </c>
      <c r="X39" s="41">
        <v>12.5</v>
      </c>
      <c r="Y39" s="69">
        <f t="shared" si="42"/>
        <v>11.883333333333333</v>
      </c>
      <c r="Z39" s="26">
        <v>17.899999999999999</v>
      </c>
      <c r="AA39" s="26">
        <v>10.4</v>
      </c>
      <c r="AB39" s="22">
        <f t="shared" si="43"/>
        <v>12.9</v>
      </c>
      <c r="AC39" s="38"/>
      <c r="AD39" s="38"/>
      <c r="AE39" s="35">
        <v>15.5</v>
      </c>
      <c r="AF39" s="36">
        <v>15</v>
      </c>
      <c r="AG39" s="23">
        <f t="shared" si="44"/>
        <v>15.333333333333334</v>
      </c>
      <c r="AH39" s="23">
        <f t="shared" si="45"/>
        <v>13.372222222222222</v>
      </c>
      <c r="AI39" s="23"/>
      <c r="AJ39" s="26">
        <v>13</v>
      </c>
      <c r="AK39" s="26">
        <v>20</v>
      </c>
      <c r="AL39" s="23">
        <f t="shared" si="46"/>
        <v>16.5</v>
      </c>
      <c r="AM39" s="26">
        <v>16.75</v>
      </c>
      <c r="AN39" s="26">
        <v>11.5</v>
      </c>
      <c r="AO39" s="22">
        <f t="shared" si="47"/>
        <v>14.125</v>
      </c>
      <c r="AP39" s="26">
        <v>11</v>
      </c>
      <c r="AQ39" s="23">
        <f t="shared" si="48"/>
        <v>13.875</v>
      </c>
      <c r="AR39" s="26">
        <v>13.5</v>
      </c>
      <c r="AS39" s="26">
        <v>16</v>
      </c>
      <c r="AT39" s="26">
        <v>10</v>
      </c>
      <c r="AU39" s="22">
        <f t="shared" si="50"/>
        <v>13.125</v>
      </c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</row>
    <row r="40" spans="1:64" ht="15.75" customHeight="1" x14ac:dyDescent="0.2">
      <c r="A40" s="65">
        <v>35</v>
      </c>
      <c r="B40" s="78">
        <v>22322494</v>
      </c>
      <c r="C40" s="38">
        <v>13.012813492063492</v>
      </c>
      <c r="D40" s="38"/>
      <c r="E40" s="22">
        <f t="shared" si="37"/>
        <v>14.222783333333336</v>
      </c>
      <c r="F40" s="22"/>
      <c r="G40" s="22">
        <f t="shared" si="1"/>
        <v>13.617798412698413</v>
      </c>
      <c r="H40" s="38"/>
      <c r="I40" s="23">
        <v>18.5</v>
      </c>
      <c r="J40" s="23">
        <v>16</v>
      </c>
      <c r="K40" s="67">
        <v>11</v>
      </c>
      <c r="L40" s="23">
        <f t="shared" si="38"/>
        <v>13.916666666666666</v>
      </c>
      <c r="M40" s="23"/>
      <c r="N40" s="23"/>
      <c r="O40" s="26">
        <v>7</v>
      </c>
      <c r="P40" s="26">
        <v>16</v>
      </c>
      <c r="Q40" s="26">
        <v>11</v>
      </c>
      <c r="R40" s="22">
        <f t="shared" si="39"/>
        <v>11.333333333333334</v>
      </c>
      <c r="S40" s="22">
        <v>16.318000000000001</v>
      </c>
      <c r="T40" s="23">
        <v>17.045000000000002</v>
      </c>
      <c r="U40" s="23">
        <f t="shared" si="40"/>
        <v>16.560333333333336</v>
      </c>
      <c r="V40" s="23">
        <f t="shared" si="41"/>
        <v>13.946833333333334</v>
      </c>
      <c r="W40" s="40">
        <v>15.22</v>
      </c>
      <c r="X40" s="41">
        <v>10.67</v>
      </c>
      <c r="Y40" s="69">
        <f t="shared" si="42"/>
        <v>12.186666666666667</v>
      </c>
      <c r="Z40" s="26">
        <v>16.600000000000001</v>
      </c>
      <c r="AA40" s="26">
        <v>10.1</v>
      </c>
      <c r="AB40" s="22">
        <f t="shared" si="43"/>
        <v>12.266666666666666</v>
      </c>
      <c r="AC40" s="38"/>
      <c r="AD40" s="38"/>
      <c r="AE40" s="35">
        <v>16.5</v>
      </c>
      <c r="AF40" s="36">
        <v>14.5</v>
      </c>
      <c r="AG40" s="23">
        <f t="shared" si="44"/>
        <v>15.833333333333334</v>
      </c>
      <c r="AH40" s="23">
        <f t="shared" si="45"/>
        <v>13.42888888888889</v>
      </c>
      <c r="AI40" s="23"/>
      <c r="AJ40" s="26">
        <v>17</v>
      </c>
      <c r="AK40" s="26">
        <v>16.7</v>
      </c>
      <c r="AL40" s="23">
        <f t="shared" si="46"/>
        <v>16.850000000000001</v>
      </c>
      <c r="AM40" s="26">
        <v>17.75</v>
      </c>
      <c r="AN40" s="26">
        <v>15.38</v>
      </c>
      <c r="AO40" s="22">
        <f t="shared" si="47"/>
        <v>16.565000000000001</v>
      </c>
      <c r="AP40" s="26">
        <v>13.5</v>
      </c>
      <c r="AQ40" s="23">
        <f t="shared" si="48"/>
        <v>15.638333333333335</v>
      </c>
      <c r="AR40" s="26">
        <v>17</v>
      </c>
      <c r="AS40" s="26">
        <v>14.5</v>
      </c>
      <c r="AT40" s="26">
        <v>14</v>
      </c>
      <c r="AU40" s="22">
        <f t="shared" si="50"/>
        <v>14.9375</v>
      </c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</row>
    <row r="41" spans="1:64" ht="15.75" customHeight="1" x14ac:dyDescent="0.2">
      <c r="A41" s="65">
        <v>36</v>
      </c>
      <c r="B41" s="78">
        <v>22322480</v>
      </c>
      <c r="C41" s="38">
        <v>13.553525079365079</v>
      </c>
      <c r="D41" s="38"/>
      <c r="E41" s="22">
        <f t="shared" si="37"/>
        <v>14.393933333333333</v>
      </c>
      <c r="F41" s="22"/>
      <c r="G41" s="22">
        <f t="shared" si="1"/>
        <v>13.973729206349205</v>
      </c>
      <c r="H41" s="38"/>
      <c r="I41" s="26">
        <v>19</v>
      </c>
      <c r="J41" s="26">
        <v>19</v>
      </c>
      <c r="K41" s="67">
        <v>15</v>
      </c>
      <c r="L41" s="23">
        <f t="shared" si="38"/>
        <v>17</v>
      </c>
      <c r="M41" s="23"/>
      <c r="N41" s="23"/>
      <c r="O41" s="26">
        <v>6.5</v>
      </c>
      <c r="P41" s="26">
        <v>15.5</v>
      </c>
      <c r="Q41" s="26">
        <v>14</v>
      </c>
      <c r="R41" s="22">
        <f t="shared" si="39"/>
        <v>12</v>
      </c>
      <c r="S41" s="22">
        <v>14.818</v>
      </c>
      <c r="T41" s="23">
        <v>14.682</v>
      </c>
      <c r="U41" s="23">
        <f t="shared" si="40"/>
        <v>14.772666666666666</v>
      </c>
      <c r="V41" s="23">
        <f t="shared" si="41"/>
        <v>13.386333333333333</v>
      </c>
      <c r="W41" s="40">
        <v>13.48</v>
      </c>
      <c r="X41" s="41">
        <v>12.67</v>
      </c>
      <c r="Y41" s="69">
        <f t="shared" si="42"/>
        <v>12.94</v>
      </c>
      <c r="Z41" s="26">
        <v>18.100000000000001</v>
      </c>
      <c r="AA41" s="26">
        <v>7.7</v>
      </c>
      <c r="AB41" s="22">
        <f t="shared" si="43"/>
        <v>11.166666666666666</v>
      </c>
      <c r="AC41" s="38"/>
      <c r="AD41" s="38"/>
      <c r="AE41" s="35">
        <v>15.5</v>
      </c>
      <c r="AF41" s="36">
        <v>14.5</v>
      </c>
      <c r="AG41" s="23">
        <f t="shared" si="44"/>
        <v>15.166666666666666</v>
      </c>
      <c r="AH41" s="23">
        <f t="shared" si="45"/>
        <v>13.091111111111111</v>
      </c>
      <c r="AI41" s="23"/>
      <c r="AJ41" s="26">
        <v>15</v>
      </c>
      <c r="AK41" s="26">
        <v>14.8</v>
      </c>
      <c r="AL41" s="23">
        <f t="shared" si="46"/>
        <v>14.9</v>
      </c>
      <c r="AM41" s="26">
        <v>14.25</v>
      </c>
      <c r="AN41" s="26">
        <v>16.63</v>
      </c>
      <c r="AO41" s="22">
        <f t="shared" si="47"/>
        <v>15.44</v>
      </c>
      <c r="AP41" s="26">
        <v>11.5</v>
      </c>
      <c r="AQ41" s="23">
        <f t="shared" si="48"/>
        <v>13.946666666666667</v>
      </c>
      <c r="AR41" s="26">
        <v>19</v>
      </c>
      <c r="AS41" s="26">
        <v>18</v>
      </c>
      <c r="AT41" s="26">
        <v>12</v>
      </c>
      <c r="AU41" s="22">
        <f t="shared" si="50"/>
        <v>16</v>
      </c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</row>
    <row r="42" spans="1:64" ht="15.75" customHeight="1" x14ac:dyDescent="0.2">
      <c r="A42" s="65">
        <v>37</v>
      </c>
      <c r="B42" s="78">
        <v>22322537</v>
      </c>
      <c r="C42" s="38">
        <v>12.943399523809523</v>
      </c>
      <c r="D42" s="38"/>
      <c r="E42" s="22">
        <f t="shared" si="37"/>
        <v>15.163266666666665</v>
      </c>
      <c r="F42" s="22"/>
      <c r="G42" s="22">
        <f t="shared" si="1"/>
        <v>14.053333095238095</v>
      </c>
      <c r="H42" s="38"/>
      <c r="I42" s="26">
        <v>20</v>
      </c>
      <c r="J42" s="26">
        <v>19</v>
      </c>
      <c r="K42" s="67">
        <v>15.25</v>
      </c>
      <c r="L42" s="23">
        <f t="shared" si="38"/>
        <v>17.291666666666668</v>
      </c>
      <c r="M42" s="23"/>
      <c r="N42" s="23"/>
      <c r="O42" s="26">
        <v>10</v>
      </c>
      <c r="P42" s="26">
        <v>15.25</v>
      </c>
      <c r="Q42" s="26">
        <v>11</v>
      </c>
      <c r="R42" s="22">
        <f t="shared" si="39"/>
        <v>12.083333333333334</v>
      </c>
      <c r="S42" s="22">
        <v>16.318000000000001</v>
      </c>
      <c r="T42" s="23">
        <v>16.681999999999999</v>
      </c>
      <c r="U42" s="23">
        <f t="shared" si="40"/>
        <v>16.439333333333334</v>
      </c>
      <c r="V42" s="23">
        <f t="shared" si="41"/>
        <v>14.261333333333333</v>
      </c>
      <c r="W42" s="40">
        <v>17.39</v>
      </c>
      <c r="X42" s="41">
        <v>11.67</v>
      </c>
      <c r="Y42" s="69">
        <f t="shared" si="42"/>
        <v>13.576666666666668</v>
      </c>
      <c r="Z42" s="26">
        <v>13.8</v>
      </c>
      <c r="AA42" s="26">
        <v>10.5</v>
      </c>
      <c r="AB42" s="22">
        <f t="shared" si="43"/>
        <v>11.6</v>
      </c>
      <c r="AC42" s="38"/>
      <c r="AD42" s="38"/>
      <c r="AE42" s="35">
        <v>16</v>
      </c>
      <c r="AF42" s="36">
        <v>14.5</v>
      </c>
      <c r="AG42" s="23">
        <f t="shared" si="44"/>
        <v>15.5</v>
      </c>
      <c r="AH42" s="23">
        <f t="shared" si="45"/>
        <v>13.558888888888889</v>
      </c>
      <c r="AI42" s="23"/>
      <c r="AJ42" s="26">
        <v>19</v>
      </c>
      <c r="AK42" s="26">
        <v>18.3</v>
      </c>
      <c r="AL42" s="23">
        <f t="shared" si="46"/>
        <v>18.649999999999999</v>
      </c>
      <c r="AM42" s="26">
        <v>17.75</v>
      </c>
      <c r="AN42" s="26">
        <v>15</v>
      </c>
      <c r="AO42" s="22">
        <f t="shared" si="47"/>
        <v>16.375</v>
      </c>
      <c r="AP42" s="26">
        <v>19.5</v>
      </c>
      <c r="AQ42" s="23">
        <f t="shared" si="48"/>
        <v>18.175000000000001</v>
      </c>
      <c r="AR42" s="26">
        <v>13</v>
      </c>
      <c r="AS42" s="26">
        <v>10</v>
      </c>
      <c r="AT42" s="26">
        <v>12</v>
      </c>
      <c r="AU42" s="22">
        <f t="shared" si="50"/>
        <v>11.5</v>
      </c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</row>
    <row r="43" spans="1:64" ht="15.75" customHeight="1" x14ac:dyDescent="0.2">
      <c r="A43" s="65">
        <v>38</v>
      </c>
      <c r="B43" s="78">
        <v>22322462</v>
      </c>
      <c r="C43" s="22">
        <v>13.048650793650795</v>
      </c>
      <c r="D43" s="22"/>
      <c r="E43" s="22">
        <f t="shared" si="37"/>
        <v>15.076716666666666</v>
      </c>
      <c r="F43" s="22"/>
      <c r="G43" s="22">
        <f t="shared" si="1"/>
        <v>14.062683730158732</v>
      </c>
      <c r="H43" s="38"/>
      <c r="I43" s="26">
        <v>18</v>
      </c>
      <c r="J43" s="26">
        <v>19.75</v>
      </c>
      <c r="K43" s="67">
        <v>14.5</v>
      </c>
      <c r="L43" s="23">
        <f t="shared" si="38"/>
        <v>16.833333333333332</v>
      </c>
      <c r="M43" s="23"/>
      <c r="N43" s="23"/>
      <c r="O43" s="26">
        <v>15</v>
      </c>
      <c r="P43" s="26">
        <v>12.75</v>
      </c>
      <c r="Q43" s="26">
        <v>12</v>
      </c>
      <c r="R43" s="22">
        <f t="shared" si="39"/>
        <v>13.25</v>
      </c>
      <c r="S43" s="22">
        <v>15.135999999999999</v>
      </c>
      <c r="T43" s="23">
        <v>15.727</v>
      </c>
      <c r="U43" s="23">
        <f t="shared" si="40"/>
        <v>15.332999999999998</v>
      </c>
      <c r="V43" s="23">
        <f t="shared" si="41"/>
        <v>14.291499999999999</v>
      </c>
      <c r="W43" s="40">
        <v>15</v>
      </c>
      <c r="X43" s="41">
        <v>9.33</v>
      </c>
      <c r="Y43" s="69">
        <f t="shared" si="42"/>
        <v>11.219999999999999</v>
      </c>
      <c r="Z43" s="26">
        <v>18.600000000000001</v>
      </c>
      <c r="AA43" s="26">
        <v>10.8</v>
      </c>
      <c r="AB43" s="22">
        <f t="shared" si="43"/>
        <v>13.4</v>
      </c>
      <c r="AC43" s="38"/>
      <c r="AD43" s="38"/>
      <c r="AE43" s="35">
        <v>16</v>
      </c>
      <c r="AF43" s="36">
        <v>15</v>
      </c>
      <c r="AG43" s="23">
        <f t="shared" si="44"/>
        <v>15.666666666666666</v>
      </c>
      <c r="AH43" s="23">
        <f t="shared" si="45"/>
        <v>13.428888888888887</v>
      </c>
      <c r="AI43" s="23"/>
      <c r="AJ43" s="26">
        <v>14</v>
      </c>
      <c r="AK43" s="26">
        <v>9</v>
      </c>
      <c r="AL43" s="23">
        <f t="shared" si="46"/>
        <v>11.5</v>
      </c>
      <c r="AM43" s="26">
        <v>17.5</v>
      </c>
      <c r="AN43" s="26">
        <v>15.63</v>
      </c>
      <c r="AO43" s="22">
        <f t="shared" si="47"/>
        <v>16.565000000000001</v>
      </c>
      <c r="AP43" s="26">
        <v>18.5</v>
      </c>
      <c r="AQ43" s="23">
        <f t="shared" si="48"/>
        <v>15.521666666666667</v>
      </c>
      <c r="AR43" s="26">
        <v>18.5</v>
      </c>
      <c r="AS43" s="26">
        <v>19</v>
      </c>
      <c r="AT43" s="26">
        <v>14.5</v>
      </c>
      <c r="AU43" s="22">
        <f t="shared" si="50"/>
        <v>17.1875</v>
      </c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</row>
    <row r="44" spans="1:64" ht="15.75" customHeight="1" x14ac:dyDescent="0.2">
      <c r="A44" s="65">
        <v>39</v>
      </c>
      <c r="B44" s="78">
        <v>22322520</v>
      </c>
      <c r="C44" s="38">
        <v>14.974794920634922</v>
      </c>
      <c r="D44" s="38"/>
      <c r="E44" s="22">
        <f t="shared" si="37"/>
        <v>14.750399999999997</v>
      </c>
      <c r="F44" s="22"/>
      <c r="G44" s="22">
        <f t="shared" si="1"/>
        <v>14.86259746031746</v>
      </c>
      <c r="H44" s="38"/>
      <c r="I44" s="26">
        <v>17</v>
      </c>
      <c r="J44" s="26">
        <v>19</v>
      </c>
      <c r="K44" s="67">
        <v>16.25</v>
      </c>
      <c r="L44" s="23">
        <f t="shared" si="38"/>
        <v>17.291666666666668</v>
      </c>
      <c r="M44" s="23"/>
      <c r="N44" s="23"/>
      <c r="O44" s="26">
        <v>12</v>
      </c>
      <c r="P44" s="26">
        <v>0</v>
      </c>
      <c r="Q44" s="26">
        <v>13</v>
      </c>
      <c r="R44" s="22">
        <f t="shared" si="39"/>
        <v>8.3333333333333339</v>
      </c>
      <c r="S44" s="22">
        <v>17</v>
      </c>
      <c r="T44" s="23">
        <v>17.181999999999999</v>
      </c>
      <c r="U44" s="23">
        <f t="shared" si="40"/>
        <v>17.060666666666666</v>
      </c>
      <c r="V44" s="23">
        <f t="shared" si="41"/>
        <v>12.696999999999999</v>
      </c>
      <c r="W44" s="40">
        <v>13.04</v>
      </c>
      <c r="X44" s="41">
        <v>7.33</v>
      </c>
      <c r="Y44" s="69">
        <f t="shared" si="42"/>
        <v>9.2333333333333325</v>
      </c>
      <c r="Z44" s="26">
        <v>13.4</v>
      </c>
      <c r="AA44" s="26">
        <v>9.1</v>
      </c>
      <c r="AB44" s="22">
        <f t="shared" si="43"/>
        <v>10.533333333333333</v>
      </c>
      <c r="AC44" s="38"/>
      <c r="AD44" s="38"/>
      <c r="AE44" s="35">
        <v>17.5</v>
      </c>
      <c r="AF44" s="36">
        <v>14.5</v>
      </c>
      <c r="AG44" s="23">
        <f t="shared" si="44"/>
        <v>16.5</v>
      </c>
      <c r="AH44" s="23">
        <f t="shared" si="45"/>
        <v>12.088888888888889</v>
      </c>
      <c r="AI44" s="23"/>
      <c r="AJ44" s="26">
        <v>17</v>
      </c>
      <c r="AK44" s="26">
        <v>17.899999999999999</v>
      </c>
      <c r="AL44" s="23">
        <f t="shared" si="46"/>
        <v>17.45</v>
      </c>
      <c r="AM44" s="26">
        <v>16.75</v>
      </c>
      <c r="AN44" s="26">
        <v>13.38</v>
      </c>
      <c r="AO44" s="22">
        <f t="shared" si="47"/>
        <v>15.065000000000001</v>
      </c>
      <c r="AP44" s="26">
        <v>20</v>
      </c>
      <c r="AQ44" s="23">
        <f t="shared" si="48"/>
        <v>17.504999999999999</v>
      </c>
      <c r="AR44" s="26">
        <v>17</v>
      </c>
      <c r="AS44" s="26">
        <v>18</v>
      </c>
      <c r="AT44" s="26">
        <v>14</v>
      </c>
      <c r="AU44" s="22">
        <f t="shared" si="50"/>
        <v>16.25</v>
      </c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</row>
    <row r="45" spans="1:64" ht="15.75" customHeight="1" x14ac:dyDescent="0.2">
      <c r="A45" s="65">
        <v>40</v>
      </c>
      <c r="B45" s="78">
        <v>22322499</v>
      </c>
      <c r="C45" s="38">
        <v>14.065297777777777</v>
      </c>
      <c r="D45" s="38"/>
      <c r="E45" s="22">
        <f t="shared" si="37"/>
        <v>15.683183333333334</v>
      </c>
      <c r="F45" s="22"/>
      <c r="G45" s="22">
        <f t="shared" si="1"/>
        <v>14.874240555555556</v>
      </c>
      <c r="H45" s="38"/>
      <c r="I45" s="26">
        <v>16</v>
      </c>
      <c r="J45" s="26">
        <v>15</v>
      </c>
      <c r="K45" s="67">
        <v>16.25</v>
      </c>
      <c r="L45" s="23">
        <f t="shared" si="38"/>
        <v>15.791666666666666</v>
      </c>
      <c r="M45" s="23"/>
      <c r="N45" s="23"/>
      <c r="O45" s="26">
        <v>12</v>
      </c>
      <c r="P45" s="26">
        <v>18</v>
      </c>
      <c r="Q45" s="26">
        <v>14</v>
      </c>
      <c r="R45" s="22">
        <f t="shared" si="39"/>
        <v>14.666666666666666</v>
      </c>
      <c r="S45" s="22">
        <v>16.591000000000001</v>
      </c>
      <c r="T45" s="23">
        <v>16.591000000000001</v>
      </c>
      <c r="U45" s="23">
        <f t="shared" si="40"/>
        <v>16.591000000000001</v>
      </c>
      <c r="V45" s="23">
        <f t="shared" si="41"/>
        <v>15.628833333333333</v>
      </c>
      <c r="W45" s="40">
        <v>13.7</v>
      </c>
      <c r="X45" s="41">
        <v>12.33</v>
      </c>
      <c r="Y45" s="69">
        <f t="shared" si="42"/>
        <v>12.786666666666667</v>
      </c>
      <c r="Z45" s="26">
        <v>17.600000000000001</v>
      </c>
      <c r="AA45" s="26">
        <v>11.7</v>
      </c>
      <c r="AB45" s="22">
        <f t="shared" si="43"/>
        <v>13.666666666666666</v>
      </c>
      <c r="AC45" s="38"/>
      <c r="AD45" s="38"/>
      <c r="AE45" s="35">
        <v>17.5</v>
      </c>
      <c r="AF45" s="36">
        <v>15</v>
      </c>
      <c r="AG45" s="23">
        <f t="shared" si="44"/>
        <v>16.666666666666668</v>
      </c>
      <c r="AH45" s="23">
        <f t="shared" si="45"/>
        <v>14.373333333333335</v>
      </c>
      <c r="AI45" s="23"/>
      <c r="AJ45" s="26">
        <v>18</v>
      </c>
      <c r="AK45" s="26">
        <v>17.8</v>
      </c>
      <c r="AL45" s="23">
        <f t="shared" si="46"/>
        <v>17.899999999999999</v>
      </c>
      <c r="AM45" s="26">
        <v>17.75</v>
      </c>
      <c r="AN45" s="26">
        <v>20</v>
      </c>
      <c r="AO45" s="22">
        <f t="shared" si="47"/>
        <v>18.875</v>
      </c>
      <c r="AP45" s="26">
        <v>17.5</v>
      </c>
      <c r="AQ45" s="23">
        <f t="shared" si="48"/>
        <v>18.091666666666665</v>
      </c>
      <c r="AR45" s="26">
        <v>13</v>
      </c>
      <c r="AS45" s="26">
        <v>15</v>
      </c>
      <c r="AT45" s="26">
        <v>15.5</v>
      </c>
      <c r="AU45" s="22">
        <f t="shared" si="50"/>
        <v>14.6875</v>
      </c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</row>
    <row r="46" spans="1:64" ht="15.75" customHeight="1" x14ac:dyDescent="0.2">
      <c r="A46" s="65">
        <v>41</v>
      </c>
      <c r="B46" s="81">
        <v>22322530</v>
      </c>
      <c r="C46" s="22">
        <v>14.959533015873015</v>
      </c>
      <c r="D46" s="22"/>
      <c r="E46" s="22">
        <f t="shared" si="37"/>
        <v>15.66788333333333</v>
      </c>
      <c r="F46" s="22"/>
      <c r="G46" s="22">
        <f t="shared" si="1"/>
        <v>15.313708174603173</v>
      </c>
      <c r="H46" s="38"/>
      <c r="I46" s="26">
        <v>20</v>
      </c>
      <c r="J46" s="26">
        <v>17.25</v>
      </c>
      <c r="K46" s="67">
        <v>18</v>
      </c>
      <c r="L46" s="23">
        <f t="shared" si="38"/>
        <v>18.083333333333332</v>
      </c>
      <c r="M46" s="23"/>
      <c r="N46" s="23"/>
      <c r="O46" s="26">
        <v>14.25</v>
      </c>
      <c r="P46" s="26">
        <v>5</v>
      </c>
      <c r="Q46" s="26">
        <v>14</v>
      </c>
      <c r="R46" s="22">
        <f t="shared" si="39"/>
        <v>11.083333333333334</v>
      </c>
      <c r="S46" s="22">
        <v>15.182</v>
      </c>
      <c r="T46" s="23">
        <v>15.5</v>
      </c>
      <c r="U46" s="23">
        <f t="shared" si="40"/>
        <v>15.288000000000002</v>
      </c>
      <c r="V46" s="23">
        <f t="shared" si="41"/>
        <v>13.185666666666668</v>
      </c>
      <c r="W46" s="40">
        <v>17.170000000000002</v>
      </c>
      <c r="X46" s="41">
        <v>15.17</v>
      </c>
      <c r="Y46" s="69">
        <f t="shared" si="42"/>
        <v>15.836666666666668</v>
      </c>
      <c r="Z46" s="26">
        <v>17.8</v>
      </c>
      <c r="AA46" s="26">
        <v>8</v>
      </c>
      <c r="AB46" s="22">
        <f t="shared" si="43"/>
        <v>11.266666666666666</v>
      </c>
      <c r="AC46" s="38"/>
      <c r="AD46" s="38"/>
      <c r="AE46" s="35">
        <v>15.5</v>
      </c>
      <c r="AF46" s="36">
        <v>14.5</v>
      </c>
      <c r="AG46" s="23">
        <f t="shared" si="44"/>
        <v>15.166666666666666</v>
      </c>
      <c r="AH46" s="23">
        <f t="shared" si="45"/>
        <v>14.089999999999998</v>
      </c>
      <c r="AI46" s="23"/>
      <c r="AJ46" s="26">
        <v>19</v>
      </c>
      <c r="AK46" s="26">
        <v>16.8</v>
      </c>
      <c r="AL46" s="23">
        <f t="shared" si="46"/>
        <v>17.899999999999999</v>
      </c>
      <c r="AM46" s="26">
        <v>17.75</v>
      </c>
      <c r="AN46" s="26">
        <v>14.5</v>
      </c>
      <c r="AO46" s="22">
        <f t="shared" si="47"/>
        <v>16.125</v>
      </c>
      <c r="AP46" s="26">
        <v>19.5</v>
      </c>
      <c r="AQ46" s="23">
        <f t="shared" si="48"/>
        <v>17.841666666666665</v>
      </c>
      <c r="AR46" s="26">
        <v>17.5</v>
      </c>
      <c r="AS46" s="26">
        <v>17.5</v>
      </c>
      <c r="AT46" s="26">
        <v>14</v>
      </c>
      <c r="AU46" s="22">
        <f t="shared" si="50"/>
        <v>16.1875</v>
      </c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</row>
    <row r="47" spans="1:64" ht="15.75" customHeight="1" x14ac:dyDescent="0.2">
      <c r="A47" s="65">
        <v>42</v>
      </c>
      <c r="B47" s="82">
        <v>22322518</v>
      </c>
      <c r="C47" s="50">
        <v>15.97135261904762</v>
      </c>
      <c r="D47" s="50"/>
      <c r="E47" s="22">
        <f t="shared" si="37"/>
        <v>14.903383333333332</v>
      </c>
      <c r="F47" s="22"/>
      <c r="G47" s="22">
        <f t="shared" si="1"/>
        <v>15.437367976190476</v>
      </c>
      <c r="H47" s="38"/>
      <c r="I47" s="26">
        <v>17</v>
      </c>
      <c r="J47" s="26">
        <v>14</v>
      </c>
      <c r="K47" s="67">
        <v>16.5</v>
      </c>
      <c r="L47" s="23">
        <f t="shared" si="38"/>
        <v>15.75</v>
      </c>
      <c r="M47" s="23"/>
      <c r="N47" s="23"/>
      <c r="O47" s="26">
        <v>10</v>
      </c>
      <c r="P47" s="26">
        <v>12.25</v>
      </c>
      <c r="Q47" s="26">
        <v>15</v>
      </c>
      <c r="R47" s="22">
        <f t="shared" si="39"/>
        <v>12.416666666666666</v>
      </c>
      <c r="S47" s="22">
        <v>15.409000000000001</v>
      </c>
      <c r="T47" s="23">
        <v>15.090999999999999</v>
      </c>
      <c r="U47" s="23">
        <f t="shared" si="40"/>
        <v>15.302999999999999</v>
      </c>
      <c r="V47" s="23">
        <f t="shared" si="41"/>
        <v>13.859833333333333</v>
      </c>
      <c r="W47" s="40">
        <v>12.39</v>
      </c>
      <c r="X47" s="41">
        <v>12.83</v>
      </c>
      <c r="Y47" s="69">
        <f t="shared" si="42"/>
        <v>12.683333333333332</v>
      </c>
      <c r="Z47" s="26">
        <v>15.8</v>
      </c>
      <c r="AA47" s="26">
        <v>16.899999999999999</v>
      </c>
      <c r="AB47" s="22">
        <f t="shared" si="43"/>
        <v>16.533333333333331</v>
      </c>
      <c r="AC47" s="38"/>
      <c r="AD47" s="38"/>
      <c r="AE47" s="35">
        <v>16.5</v>
      </c>
      <c r="AF47" s="36">
        <v>15</v>
      </c>
      <c r="AG47" s="23">
        <f t="shared" si="44"/>
        <v>16</v>
      </c>
      <c r="AH47" s="23">
        <f t="shared" si="45"/>
        <v>15.072222222222221</v>
      </c>
      <c r="AI47" s="23"/>
      <c r="AJ47" s="26">
        <v>15</v>
      </c>
      <c r="AK47" s="26">
        <v>17.600000000000001</v>
      </c>
      <c r="AL47" s="23">
        <f t="shared" si="46"/>
        <v>16.3</v>
      </c>
      <c r="AM47" s="26">
        <v>12.75</v>
      </c>
      <c r="AN47" s="26">
        <v>13.88</v>
      </c>
      <c r="AO47" s="22">
        <f t="shared" si="47"/>
        <v>13.315000000000001</v>
      </c>
      <c r="AP47" s="26">
        <v>13</v>
      </c>
      <c r="AQ47" s="23">
        <f t="shared" si="48"/>
        <v>14.205</v>
      </c>
      <c r="AR47" s="26">
        <v>19</v>
      </c>
      <c r="AS47" s="26">
        <v>17.5</v>
      </c>
      <c r="AT47" s="26">
        <v>13</v>
      </c>
      <c r="AU47" s="22">
        <f t="shared" si="50"/>
        <v>16.1875</v>
      </c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</row>
    <row r="48" spans="1:64" ht="15.75" customHeight="1" x14ac:dyDescent="0.2">
      <c r="A48" s="65">
        <v>43</v>
      </c>
      <c r="B48" s="82">
        <v>22322531</v>
      </c>
      <c r="C48" s="50">
        <v>15.672224920634921</v>
      </c>
      <c r="D48" s="50"/>
      <c r="E48" s="22">
        <f t="shared" si="37"/>
        <v>15.944500000000001</v>
      </c>
      <c r="F48" s="22"/>
      <c r="G48" s="22">
        <f t="shared" si="1"/>
        <v>15.808362460317461</v>
      </c>
      <c r="H48" s="38"/>
      <c r="I48" s="26">
        <v>20</v>
      </c>
      <c r="J48" s="26">
        <v>19</v>
      </c>
      <c r="K48" s="67">
        <v>17</v>
      </c>
      <c r="L48" s="23">
        <f t="shared" si="38"/>
        <v>18.166666666666668</v>
      </c>
      <c r="M48" s="23"/>
      <c r="N48" s="23"/>
      <c r="O48" s="26">
        <v>13.75</v>
      </c>
      <c r="P48" s="26">
        <v>13.25</v>
      </c>
      <c r="Q48" s="26">
        <v>12</v>
      </c>
      <c r="R48" s="22">
        <f t="shared" si="39"/>
        <v>13</v>
      </c>
      <c r="S48" s="22">
        <v>16.5</v>
      </c>
      <c r="T48" s="23">
        <v>17.045000000000002</v>
      </c>
      <c r="U48" s="23">
        <f t="shared" si="40"/>
        <v>16.681666666666668</v>
      </c>
      <c r="V48" s="23">
        <f t="shared" si="41"/>
        <v>14.840833333333334</v>
      </c>
      <c r="W48" s="40">
        <v>15.87</v>
      </c>
      <c r="X48" s="41">
        <v>12.67</v>
      </c>
      <c r="Y48" s="69">
        <f t="shared" si="42"/>
        <v>13.736666666666666</v>
      </c>
      <c r="Z48" s="26">
        <v>18.7</v>
      </c>
      <c r="AA48" s="26">
        <v>9</v>
      </c>
      <c r="AB48" s="22">
        <f t="shared" si="43"/>
        <v>12.233333333333334</v>
      </c>
      <c r="AC48" s="38"/>
      <c r="AD48" s="38"/>
      <c r="AE48" s="35">
        <v>16</v>
      </c>
      <c r="AF48" s="36">
        <v>14.5</v>
      </c>
      <c r="AG48" s="23">
        <f t="shared" si="44"/>
        <v>15.5</v>
      </c>
      <c r="AH48" s="23">
        <f t="shared" si="45"/>
        <v>13.823333333333332</v>
      </c>
      <c r="AI48" s="23"/>
      <c r="AJ48" s="26">
        <v>16</v>
      </c>
      <c r="AK48" s="26">
        <v>9.5</v>
      </c>
      <c r="AL48" s="23">
        <f t="shared" si="46"/>
        <v>12.75</v>
      </c>
      <c r="AM48" s="26">
        <v>16.75</v>
      </c>
      <c r="AN48" s="26">
        <v>15.88</v>
      </c>
      <c r="AO48" s="22">
        <f t="shared" si="47"/>
        <v>16.315000000000001</v>
      </c>
      <c r="AP48" s="26">
        <v>20</v>
      </c>
      <c r="AQ48" s="23">
        <f t="shared" si="48"/>
        <v>16.355</v>
      </c>
      <c r="AR48" s="26">
        <v>20</v>
      </c>
      <c r="AS48" s="26">
        <v>19</v>
      </c>
      <c r="AT48" s="26">
        <v>19</v>
      </c>
      <c r="AU48" s="22">
        <f t="shared" si="50"/>
        <v>19.25</v>
      </c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</row>
    <row r="49" spans="1:64" ht="15.75" customHeight="1" x14ac:dyDescent="0.2">
      <c r="A49" s="65">
        <v>44</v>
      </c>
      <c r="B49" s="82">
        <v>22322448</v>
      </c>
      <c r="C49" s="50">
        <v>15.015529047619049</v>
      </c>
      <c r="D49" s="50"/>
      <c r="E49" s="22">
        <f t="shared" si="37"/>
        <v>16.665500000000002</v>
      </c>
      <c r="F49" s="22"/>
      <c r="G49" s="22">
        <f t="shared" si="1"/>
        <v>15.840514523809524</v>
      </c>
      <c r="H49" s="38"/>
      <c r="I49" s="26">
        <v>20</v>
      </c>
      <c r="J49" s="26">
        <v>20</v>
      </c>
      <c r="K49" s="67">
        <v>17.5</v>
      </c>
      <c r="L49" s="23">
        <f t="shared" si="38"/>
        <v>18.75</v>
      </c>
      <c r="M49" s="23"/>
      <c r="N49" s="23"/>
      <c r="O49" s="26">
        <v>11.25</v>
      </c>
      <c r="P49" s="26">
        <v>14.75</v>
      </c>
      <c r="Q49" s="26">
        <v>15</v>
      </c>
      <c r="R49" s="22">
        <f t="shared" si="39"/>
        <v>13.666666666666666</v>
      </c>
      <c r="S49" s="22">
        <v>18.635999999999999</v>
      </c>
      <c r="T49" s="23">
        <v>18.318000000000001</v>
      </c>
      <c r="U49" s="23">
        <f t="shared" si="40"/>
        <v>18.53</v>
      </c>
      <c r="V49" s="23">
        <f t="shared" si="41"/>
        <v>16.098333333333333</v>
      </c>
      <c r="W49" s="40">
        <v>17.61</v>
      </c>
      <c r="X49" s="41">
        <v>11.83</v>
      </c>
      <c r="Y49" s="69">
        <f t="shared" si="42"/>
        <v>13.756666666666666</v>
      </c>
      <c r="Z49" s="26">
        <v>17.600000000000001</v>
      </c>
      <c r="AA49" s="26">
        <v>14.8</v>
      </c>
      <c r="AB49" s="22">
        <f t="shared" si="43"/>
        <v>15.733333333333334</v>
      </c>
      <c r="AC49" s="38"/>
      <c r="AD49" s="38"/>
      <c r="AE49" s="35">
        <v>18</v>
      </c>
      <c r="AF49" s="36">
        <v>15.5</v>
      </c>
      <c r="AG49" s="23">
        <f t="shared" si="44"/>
        <v>17.166666666666668</v>
      </c>
      <c r="AH49" s="23">
        <f t="shared" si="45"/>
        <v>15.552222222222222</v>
      </c>
      <c r="AI49" s="23"/>
      <c r="AJ49" s="26">
        <v>18</v>
      </c>
      <c r="AK49" s="26">
        <v>18.399999999999999</v>
      </c>
      <c r="AL49" s="23">
        <f t="shared" si="46"/>
        <v>18.2</v>
      </c>
      <c r="AM49" s="26">
        <v>16.75</v>
      </c>
      <c r="AN49" s="26">
        <v>18.88</v>
      </c>
      <c r="AO49" s="22">
        <f t="shared" si="47"/>
        <v>17.814999999999998</v>
      </c>
      <c r="AP49" s="26">
        <v>14.5</v>
      </c>
      <c r="AQ49" s="23">
        <f t="shared" si="48"/>
        <v>16.838333333333335</v>
      </c>
      <c r="AR49" s="26">
        <v>14</v>
      </c>
      <c r="AS49" s="26">
        <v>17</v>
      </c>
      <c r="AT49" s="26">
        <v>18</v>
      </c>
      <c r="AU49" s="22">
        <f t="shared" si="50"/>
        <v>16.625</v>
      </c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83"/>
      <c r="BG49" s="83"/>
      <c r="BH49" s="83"/>
      <c r="BI49" s="83"/>
      <c r="BJ49" s="83"/>
      <c r="BK49" s="83"/>
      <c r="BL49" s="83"/>
    </row>
    <row r="50" spans="1:64" ht="15.75" customHeight="1" x14ac:dyDescent="0.2">
      <c r="A50" s="65">
        <v>45</v>
      </c>
      <c r="B50" s="82">
        <v>22322457</v>
      </c>
      <c r="C50" s="50">
        <v>15.726825238095239</v>
      </c>
      <c r="D50" s="50"/>
      <c r="E50" s="22">
        <f t="shared" si="37"/>
        <v>17.152033333333335</v>
      </c>
      <c r="F50" s="22"/>
      <c r="G50" s="22">
        <f t="shared" si="1"/>
        <v>16.439429285714287</v>
      </c>
      <c r="H50" s="38"/>
      <c r="I50" s="26">
        <v>20</v>
      </c>
      <c r="J50" s="26">
        <v>20</v>
      </c>
      <c r="K50" s="67">
        <v>18.5</v>
      </c>
      <c r="L50" s="23">
        <f t="shared" si="38"/>
        <v>19.25</v>
      </c>
      <c r="M50" s="23"/>
      <c r="N50" s="23"/>
      <c r="O50" s="26">
        <v>13.75</v>
      </c>
      <c r="P50" s="26">
        <v>19.5</v>
      </c>
      <c r="Q50" s="26">
        <v>11</v>
      </c>
      <c r="R50" s="22">
        <f t="shared" si="39"/>
        <v>14.75</v>
      </c>
      <c r="S50" s="22">
        <v>17.273</v>
      </c>
      <c r="T50" s="23">
        <v>18</v>
      </c>
      <c r="U50" s="23">
        <f t="shared" si="40"/>
        <v>17.515333333333334</v>
      </c>
      <c r="V50" s="23">
        <f t="shared" si="41"/>
        <v>16.132666666666665</v>
      </c>
      <c r="W50" s="40">
        <v>16.96</v>
      </c>
      <c r="X50" s="41">
        <v>15</v>
      </c>
      <c r="Y50" s="69">
        <f t="shared" si="42"/>
        <v>15.653333333333334</v>
      </c>
      <c r="Z50" s="26">
        <v>18.7</v>
      </c>
      <c r="AA50" s="26">
        <v>10.8</v>
      </c>
      <c r="AB50" s="22">
        <f t="shared" si="43"/>
        <v>13.433333333333332</v>
      </c>
      <c r="AC50" s="38"/>
      <c r="AD50" s="38"/>
      <c r="AE50" s="35">
        <v>18</v>
      </c>
      <c r="AF50" s="36">
        <v>16</v>
      </c>
      <c r="AG50" s="23">
        <f t="shared" si="44"/>
        <v>17.333333333333332</v>
      </c>
      <c r="AH50" s="23">
        <f t="shared" si="45"/>
        <v>15.473333333333334</v>
      </c>
      <c r="AI50" s="23"/>
      <c r="AJ50" s="26">
        <v>18</v>
      </c>
      <c r="AK50" s="26">
        <v>20</v>
      </c>
      <c r="AL50" s="23">
        <f t="shared" si="46"/>
        <v>19</v>
      </c>
      <c r="AM50" s="26">
        <v>17</v>
      </c>
      <c r="AN50" s="26">
        <v>13.88</v>
      </c>
      <c r="AO50" s="22">
        <f t="shared" si="47"/>
        <v>15.440000000000001</v>
      </c>
      <c r="AP50" s="26">
        <v>19.5</v>
      </c>
      <c r="AQ50" s="23">
        <f t="shared" si="48"/>
        <v>17.98</v>
      </c>
      <c r="AR50" s="26">
        <v>18</v>
      </c>
      <c r="AS50" s="26">
        <v>17</v>
      </c>
      <c r="AT50" s="26">
        <v>20</v>
      </c>
      <c r="AU50" s="22">
        <f t="shared" si="50"/>
        <v>18.375</v>
      </c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83"/>
      <c r="BG50" s="83"/>
      <c r="BH50" s="83"/>
      <c r="BI50" s="83"/>
      <c r="BJ50" s="83"/>
      <c r="BK50" s="83"/>
      <c r="BL50" s="83"/>
    </row>
    <row r="51" spans="1:64" ht="15.75" customHeight="1" x14ac:dyDescent="0.2">
      <c r="A51" s="65">
        <v>46</v>
      </c>
      <c r="B51" s="82">
        <v>22322521</v>
      </c>
      <c r="C51" s="50">
        <v>15.871808095238096</v>
      </c>
      <c r="D51" s="50"/>
      <c r="E51" s="22">
        <f t="shared" si="37"/>
        <v>17.14813333333333</v>
      </c>
      <c r="F51" s="22"/>
      <c r="G51" s="22">
        <f t="shared" si="1"/>
        <v>16.509970714285714</v>
      </c>
      <c r="H51" s="38"/>
      <c r="I51" s="26">
        <v>20</v>
      </c>
      <c r="J51" s="26">
        <v>20</v>
      </c>
      <c r="K51" s="67">
        <v>19.75</v>
      </c>
      <c r="L51" s="23">
        <f t="shared" si="38"/>
        <v>19.875</v>
      </c>
      <c r="M51" s="23"/>
      <c r="N51" s="23"/>
      <c r="O51" s="26">
        <v>15</v>
      </c>
      <c r="P51" s="26">
        <v>17.25</v>
      </c>
      <c r="Q51" s="26">
        <v>13</v>
      </c>
      <c r="R51" s="22">
        <f t="shared" si="39"/>
        <v>15.083333333333334</v>
      </c>
      <c r="S51" s="22">
        <v>15.682</v>
      </c>
      <c r="T51" s="23">
        <v>16.045000000000002</v>
      </c>
      <c r="U51" s="23">
        <f t="shared" si="40"/>
        <v>15.803000000000003</v>
      </c>
      <c r="V51" s="23">
        <f t="shared" si="41"/>
        <v>15.443166666666668</v>
      </c>
      <c r="W51" s="40">
        <v>16.739999999999998</v>
      </c>
      <c r="X51" s="41">
        <v>16.670000000000002</v>
      </c>
      <c r="Y51" s="69">
        <f t="shared" si="42"/>
        <v>16.693333333333332</v>
      </c>
      <c r="Z51" s="26">
        <v>19.399999999999999</v>
      </c>
      <c r="AA51" s="26">
        <v>14</v>
      </c>
      <c r="AB51" s="22">
        <f t="shared" si="43"/>
        <v>15.799999999999999</v>
      </c>
      <c r="AC51" s="38"/>
      <c r="AD51" s="38"/>
      <c r="AE51" s="35">
        <v>17.5</v>
      </c>
      <c r="AF51" s="36">
        <v>15.5</v>
      </c>
      <c r="AG51" s="23">
        <f t="shared" si="44"/>
        <v>16.833333333333332</v>
      </c>
      <c r="AH51" s="23">
        <f t="shared" si="45"/>
        <v>16.442222222222224</v>
      </c>
      <c r="AI51" s="23"/>
      <c r="AJ51" s="26">
        <v>14</v>
      </c>
      <c r="AK51" s="26">
        <v>19.3</v>
      </c>
      <c r="AL51" s="23">
        <f t="shared" si="46"/>
        <v>16.649999999999999</v>
      </c>
      <c r="AM51" s="26">
        <v>17.5</v>
      </c>
      <c r="AN51" s="26">
        <v>19.63</v>
      </c>
      <c r="AO51" s="22">
        <f t="shared" si="47"/>
        <v>18.564999999999998</v>
      </c>
      <c r="AP51" s="26">
        <v>17.5</v>
      </c>
      <c r="AQ51" s="23">
        <f t="shared" si="48"/>
        <v>17.571666666666665</v>
      </c>
      <c r="AR51" s="26">
        <v>16</v>
      </c>
      <c r="AS51" s="26">
        <v>17</v>
      </c>
      <c r="AT51" s="26">
        <v>16</v>
      </c>
      <c r="AU51" s="22">
        <f t="shared" si="50"/>
        <v>16.375</v>
      </c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83"/>
      <c r="BG51" s="83"/>
      <c r="BH51" s="83"/>
      <c r="BI51" s="83"/>
      <c r="BJ51" s="83"/>
      <c r="BK51" s="83"/>
      <c r="BL51" s="83"/>
    </row>
    <row r="52" spans="1:64" ht="15.75" customHeight="1" x14ac:dyDescent="0.2">
      <c r="A52" s="65">
        <v>47</v>
      </c>
      <c r="B52" s="82">
        <v>22322527</v>
      </c>
      <c r="C52" s="50">
        <v>16.138994761904762</v>
      </c>
      <c r="D52" s="50"/>
      <c r="E52" s="22">
        <f t="shared" si="37"/>
        <v>17.087116666666667</v>
      </c>
      <c r="F52" s="22"/>
      <c r="G52" s="22">
        <f t="shared" si="1"/>
        <v>16.613055714285714</v>
      </c>
      <c r="H52" s="38"/>
      <c r="I52" s="26">
        <v>20</v>
      </c>
      <c r="J52" s="26">
        <v>20</v>
      </c>
      <c r="K52" s="67">
        <v>18.25</v>
      </c>
      <c r="L52" s="23">
        <f t="shared" si="38"/>
        <v>19.125</v>
      </c>
      <c r="M52" s="23"/>
      <c r="N52" s="23"/>
      <c r="O52" s="26">
        <v>20</v>
      </c>
      <c r="P52" s="28">
        <v>18.25</v>
      </c>
      <c r="Q52" s="26">
        <v>17</v>
      </c>
      <c r="R52" s="22">
        <f t="shared" si="39"/>
        <v>18.416666666666668</v>
      </c>
      <c r="S52" s="22">
        <v>17.273</v>
      </c>
      <c r="T52" s="23">
        <v>18.045000000000002</v>
      </c>
      <c r="U52" s="23">
        <f t="shared" si="40"/>
        <v>17.530333333333335</v>
      </c>
      <c r="V52" s="23">
        <f t="shared" si="41"/>
        <v>17.973500000000001</v>
      </c>
      <c r="W52" s="40">
        <v>17.829999999999998</v>
      </c>
      <c r="X52" s="41">
        <v>17</v>
      </c>
      <c r="Y52" s="69">
        <f t="shared" si="42"/>
        <v>17.276666666666667</v>
      </c>
      <c r="Z52" s="26">
        <v>19.100000000000001</v>
      </c>
      <c r="AA52" s="26">
        <v>11.6</v>
      </c>
      <c r="AB52" s="22">
        <f t="shared" si="43"/>
        <v>14.1</v>
      </c>
      <c r="AC52" s="38"/>
      <c r="AD52" s="38"/>
      <c r="AE52" s="35">
        <v>17</v>
      </c>
      <c r="AF52" s="36">
        <v>16</v>
      </c>
      <c r="AG52" s="23">
        <f t="shared" si="44"/>
        <v>16.666666666666668</v>
      </c>
      <c r="AH52" s="23">
        <f t="shared" si="45"/>
        <v>16.014444444444447</v>
      </c>
      <c r="AI52" s="23"/>
      <c r="AJ52" s="26">
        <v>18</v>
      </c>
      <c r="AK52" s="26">
        <v>19.7</v>
      </c>
      <c r="AL52" s="23">
        <f t="shared" si="46"/>
        <v>18.850000000000001</v>
      </c>
      <c r="AM52" s="26">
        <v>17</v>
      </c>
      <c r="AN52" s="26">
        <v>14.88</v>
      </c>
      <c r="AO52" s="22">
        <f t="shared" si="47"/>
        <v>15.940000000000001</v>
      </c>
      <c r="AP52" s="26">
        <v>13.5</v>
      </c>
      <c r="AQ52" s="23">
        <f t="shared" si="48"/>
        <v>16.096666666666668</v>
      </c>
      <c r="AR52" s="26">
        <v>20</v>
      </c>
      <c r="AS52" s="26">
        <v>16.5</v>
      </c>
      <c r="AT52" s="26">
        <v>14</v>
      </c>
      <c r="AU52" s="22">
        <f t="shared" si="50"/>
        <v>16.4375</v>
      </c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83"/>
      <c r="BG52" s="83"/>
      <c r="BH52" s="83"/>
      <c r="BI52" s="83"/>
      <c r="BJ52" s="83"/>
      <c r="BK52" s="83"/>
      <c r="BL52" s="83"/>
    </row>
    <row r="53" spans="1:64" ht="15.75" customHeight="1" x14ac:dyDescent="0.2">
      <c r="A53" s="65">
        <v>48</v>
      </c>
      <c r="B53" s="82">
        <v>22322479</v>
      </c>
      <c r="C53" s="50">
        <v>16.309764444444443</v>
      </c>
      <c r="D53" s="50"/>
      <c r="E53" s="22">
        <f t="shared" si="37"/>
        <v>17.007166666666667</v>
      </c>
      <c r="F53" s="22"/>
      <c r="G53" s="22">
        <f t="shared" si="1"/>
        <v>16.658465555555555</v>
      </c>
      <c r="H53" s="38"/>
      <c r="I53" s="26">
        <v>20</v>
      </c>
      <c r="J53" s="26">
        <v>20</v>
      </c>
      <c r="K53" s="67">
        <v>19.5</v>
      </c>
      <c r="L53" s="23">
        <f t="shared" si="38"/>
        <v>19.75</v>
      </c>
      <c r="M53" s="23"/>
      <c r="N53" s="23"/>
      <c r="O53" s="26">
        <v>16</v>
      </c>
      <c r="P53" s="26">
        <v>16</v>
      </c>
      <c r="Q53" s="26">
        <v>13</v>
      </c>
      <c r="R53" s="22">
        <f t="shared" si="39"/>
        <v>15</v>
      </c>
      <c r="S53" s="22">
        <v>16.727</v>
      </c>
      <c r="T53" s="23">
        <v>16.591000000000001</v>
      </c>
      <c r="U53" s="23">
        <f t="shared" si="40"/>
        <v>16.681666666666668</v>
      </c>
      <c r="V53" s="23">
        <f t="shared" si="41"/>
        <v>15.840833333333334</v>
      </c>
      <c r="W53" s="84">
        <v>17.39</v>
      </c>
      <c r="X53" s="40">
        <v>15.5</v>
      </c>
      <c r="Y53" s="69">
        <f t="shared" si="42"/>
        <v>16.13</v>
      </c>
      <c r="Z53" s="26">
        <v>18.8</v>
      </c>
      <c r="AA53" s="26">
        <v>13.8</v>
      </c>
      <c r="AB53" s="22">
        <f t="shared" si="43"/>
        <v>15.466666666666669</v>
      </c>
      <c r="AC53" s="38"/>
      <c r="AD53" s="38"/>
      <c r="AE53" s="35">
        <v>17.5</v>
      </c>
      <c r="AF53" s="36">
        <v>15</v>
      </c>
      <c r="AG53" s="23">
        <f t="shared" si="44"/>
        <v>16.666666666666668</v>
      </c>
      <c r="AH53" s="23">
        <f t="shared" si="45"/>
        <v>16.087777777777777</v>
      </c>
      <c r="AI53" s="23"/>
      <c r="AJ53" s="26">
        <v>17</v>
      </c>
      <c r="AK53" s="26">
        <v>20</v>
      </c>
      <c r="AL53" s="23">
        <f t="shared" si="46"/>
        <v>18.5</v>
      </c>
      <c r="AM53" s="26">
        <v>17</v>
      </c>
      <c r="AN53" s="26">
        <v>16.13</v>
      </c>
      <c r="AO53" s="22">
        <f t="shared" si="47"/>
        <v>16.564999999999998</v>
      </c>
      <c r="AP53" s="26">
        <v>16.5</v>
      </c>
      <c r="AQ53" s="23">
        <f t="shared" si="48"/>
        <v>17.188333333333333</v>
      </c>
      <c r="AR53" s="26">
        <v>15.5</v>
      </c>
      <c r="AS53" s="26">
        <v>18.5</v>
      </c>
      <c r="AT53" s="26">
        <v>14.5</v>
      </c>
      <c r="AU53" s="22">
        <f t="shared" si="50"/>
        <v>16.25</v>
      </c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83"/>
      <c r="BG53" s="83"/>
      <c r="BH53" s="83"/>
      <c r="BI53" s="83"/>
      <c r="BJ53" s="83"/>
      <c r="BK53" s="83"/>
      <c r="BL53" s="83"/>
    </row>
    <row r="54" spans="1:64" ht="15.75" customHeight="1" x14ac:dyDescent="0.2">
      <c r="A54" s="65">
        <v>49</v>
      </c>
      <c r="B54" s="78">
        <v>22322536</v>
      </c>
      <c r="C54" s="49">
        <v>16.648038412698416</v>
      </c>
      <c r="D54" s="49"/>
      <c r="E54" s="22">
        <f t="shared" si="37"/>
        <v>17.109233333333336</v>
      </c>
      <c r="F54" s="22"/>
      <c r="G54" s="22">
        <f t="shared" si="1"/>
        <v>16.878635873015874</v>
      </c>
      <c r="H54" s="38"/>
      <c r="I54" s="26">
        <v>20</v>
      </c>
      <c r="J54" s="26">
        <v>20</v>
      </c>
      <c r="K54" s="67">
        <v>19.25</v>
      </c>
      <c r="L54" s="23">
        <f t="shared" si="38"/>
        <v>19.625</v>
      </c>
      <c r="M54" s="23"/>
      <c r="N54" s="23"/>
      <c r="O54" s="26">
        <v>18.75</v>
      </c>
      <c r="P54" s="26">
        <v>17.75</v>
      </c>
      <c r="Q54" s="26">
        <v>15</v>
      </c>
      <c r="R54" s="22">
        <f t="shared" si="39"/>
        <v>17.166666666666668</v>
      </c>
      <c r="S54" s="22">
        <v>17.045000000000002</v>
      </c>
      <c r="T54" s="23">
        <v>17.181999999999999</v>
      </c>
      <c r="U54" s="23">
        <f t="shared" si="40"/>
        <v>17.090666666666667</v>
      </c>
      <c r="V54" s="23">
        <f t="shared" si="41"/>
        <v>17.128666666666668</v>
      </c>
      <c r="W54" s="28">
        <v>12.61</v>
      </c>
      <c r="X54" s="41">
        <v>14.67</v>
      </c>
      <c r="Y54" s="69">
        <f t="shared" si="42"/>
        <v>13.983333333333334</v>
      </c>
      <c r="Z54" s="26">
        <v>19.600000000000001</v>
      </c>
      <c r="AA54" s="26">
        <v>14.1</v>
      </c>
      <c r="AB54" s="22">
        <f t="shared" si="43"/>
        <v>15.933333333333332</v>
      </c>
      <c r="AC54" s="38"/>
      <c r="AD54" s="38"/>
      <c r="AE54" s="35">
        <v>17.5</v>
      </c>
      <c r="AF54" s="36">
        <v>15.5</v>
      </c>
      <c r="AG54" s="23">
        <f t="shared" si="44"/>
        <v>16.833333333333332</v>
      </c>
      <c r="AH54" s="23">
        <f t="shared" si="45"/>
        <v>15.583333333333334</v>
      </c>
      <c r="AI54" s="23"/>
      <c r="AJ54" s="26">
        <v>20</v>
      </c>
      <c r="AK54" s="26">
        <v>20</v>
      </c>
      <c r="AL54" s="23">
        <f t="shared" si="46"/>
        <v>20</v>
      </c>
      <c r="AM54" s="26">
        <v>17.75</v>
      </c>
      <c r="AN54" s="26">
        <v>13.13</v>
      </c>
      <c r="AO54" s="22">
        <f t="shared" si="47"/>
        <v>15.440000000000001</v>
      </c>
      <c r="AP54" s="26">
        <v>20</v>
      </c>
      <c r="AQ54" s="23">
        <f t="shared" si="48"/>
        <v>18.48</v>
      </c>
      <c r="AR54" s="26">
        <v>14.25</v>
      </c>
      <c r="AS54" s="26">
        <v>15.5</v>
      </c>
      <c r="AT54" s="26">
        <v>12</v>
      </c>
      <c r="AU54" s="22">
        <f t="shared" si="50"/>
        <v>13.875</v>
      </c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83"/>
      <c r="BG54" s="83"/>
      <c r="BH54" s="83"/>
      <c r="BI54" s="83"/>
      <c r="BJ54" s="83"/>
      <c r="BK54" s="83"/>
      <c r="BL54" s="83"/>
    </row>
    <row r="55" spans="1:64" ht="15.75" customHeight="1" x14ac:dyDescent="0.2">
      <c r="A55" s="65">
        <v>50</v>
      </c>
      <c r="B55" s="85">
        <v>22322533</v>
      </c>
      <c r="C55" s="50">
        <v>16.727189047619046</v>
      </c>
      <c r="D55" s="50"/>
      <c r="E55" s="22">
        <f t="shared" si="37"/>
        <v>17.220733333333335</v>
      </c>
      <c r="F55" s="22"/>
      <c r="G55" s="22">
        <f t="shared" si="1"/>
        <v>16.973961190476189</v>
      </c>
      <c r="H55" s="38"/>
      <c r="I55" s="26">
        <v>20</v>
      </c>
      <c r="J55" s="26">
        <v>20</v>
      </c>
      <c r="K55" s="67">
        <v>18.25</v>
      </c>
      <c r="L55" s="23">
        <f t="shared" si="38"/>
        <v>19.125</v>
      </c>
      <c r="M55" s="23"/>
      <c r="N55" s="23"/>
      <c r="O55" s="26">
        <v>12.75</v>
      </c>
      <c r="P55" s="26">
        <v>17</v>
      </c>
      <c r="Q55" s="26">
        <v>9</v>
      </c>
      <c r="R55" s="22">
        <f t="shared" si="39"/>
        <v>12.916666666666666</v>
      </c>
      <c r="S55" s="22">
        <v>16.273</v>
      </c>
      <c r="T55" s="23">
        <v>16.635999999999999</v>
      </c>
      <c r="U55" s="23">
        <f t="shared" si="40"/>
        <v>16.394000000000002</v>
      </c>
      <c r="V55" s="23">
        <f t="shared" si="41"/>
        <v>14.655333333333335</v>
      </c>
      <c r="W55" s="40">
        <v>16.739999999999998</v>
      </c>
      <c r="X55" s="41">
        <v>20</v>
      </c>
      <c r="Y55" s="69">
        <f t="shared" si="42"/>
        <v>18.91333333333333</v>
      </c>
      <c r="Z55" s="26">
        <v>20</v>
      </c>
      <c r="AA55" s="26">
        <v>18.100000000000001</v>
      </c>
      <c r="AB55" s="22">
        <f t="shared" si="43"/>
        <v>18.733333333333334</v>
      </c>
      <c r="AC55" s="38"/>
      <c r="AD55" s="38"/>
      <c r="AE55" s="35">
        <v>18</v>
      </c>
      <c r="AF55" s="36">
        <v>15.5</v>
      </c>
      <c r="AG55" s="23">
        <f t="shared" si="44"/>
        <v>17.166666666666668</v>
      </c>
      <c r="AH55" s="23">
        <f t="shared" si="45"/>
        <v>18.271111111111111</v>
      </c>
      <c r="AI55" s="23"/>
      <c r="AJ55" s="26">
        <v>20</v>
      </c>
      <c r="AK55" s="26">
        <v>20</v>
      </c>
      <c r="AL55" s="23">
        <f t="shared" si="46"/>
        <v>20</v>
      </c>
      <c r="AM55" s="26">
        <v>17.75</v>
      </c>
      <c r="AN55" s="26">
        <v>15.25</v>
      </c>
      <c r="AO55" s="22">
        <f t="shared" si="47"/>
        <v>16.5</v>
      </c>
      <c r="AP55" s="26">
        <v>19.5</v>
      </c>
      <c r="AQ55" s="23">
        <f t="shared" si="48"/>
        <v>18.666666666666668</v>
      </c>
      <c r="AR55" s="26">
        <v>12.5</v>
      </c>
      <c r="AS55" s="26">
        <v>14</v>
      </c>
      <c r="AT55" s="26">
        <v>11</v>
      </c>
      <c r="AU55" s="22">
        <f t="shared" si="50"/>
        <v>12.5</v>
      </c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83"/>
      <c r="BG55" s="83"/>
      <c r="BH55" s="83"/>
      <c r="BI55" s="83"/>
      <c r="BJ55" s="83"/>
      <c r="BK55" s="83"/>
      <c r="BL55" s="83"/>
    </row>
    <row r="56" spans="1:64" ht="15.75" customHeight="1" x14ac:dyDescent="0.2">
      <c r="A56" s="65">
        <v>51</v>
      </c>
      <c r="B56" s="85">
        <v>22322525</v>
      </c>
      <c r="C56" s="50">
        <v>18.049982857142858</v>
      </c>
      <c r="D56" s="50"/>
      <c r="E56" s="22">
        <f t="shared" si="37"/>
        <v>18.609349999999999</v>
      </c>
      <c r="F56" s="22"/>
      <c r="G56" s="22">
        <f t="shared" si="1"/>
        <v>18.329666428571429</v>
      </c>
      <c r="H56" s="38"/>
      <c r="I56" s="26">
        <v>20</v>
      </c>
      <c r="J56" s="26">
        <v>20</v>
      </c>
      <c r="K56" s="67">
        <v>18.25</v>
      </c>
      <c r="L56" s="23">
        <f t="shared" si="38"/>
        <v>19.125</v>
      </c>
      <c r="M56" s="23"/>
      <c r="N56" s="23"/>
      <c r="O56" s="26">
        <v>20</v>
      </c>
      <c r="P56" s="26">
        <v>20</v>
      </c>
      <c r="Q56" s="26">
        <v>18</v>
      </c>
      <c r="R56" s="22">
        <f t="shared" si="39"/>
        <v>19.333333333333332</v>
      </c>
      <c r="S56" s="22">
        <v>18.864000000000001</v>
      </c>
      <c r="T56" s="23">
        <v>18.454999999999998</v>
      </c>
      <c r="U56" s="23">
        <f t="shared" si="40"/>
        <v>18.727666666666668</v>
      </c>
      <c r="V56" s="23">
        <f t="shared" si="41"/>
        <v>19.0305</v>
      </c>
      <c r="W56" s="40">
        <v>15.22</v>
      </c>
      <c r="X56" s="41">
        <v>18.829999999999998</v>
      </c>
      <c r="Y56" s="69">
        <f t="shared" si="42"/>
        <v>17.626666666666665</v>
      </c>
      <c r="Z56" s="26">
        <v>19.8</v>
      </c>
      <c r="AA56" s="26">
        <v>16.899999999999999</v>
      </c>
      <c r="AB56" s="22">
        <f t="shared" si="43"/>
        <v>17.866666666666664</v>
      </c>
      <c r="AC56" s="38"/>
      <c r="AD56" s="38"/>
      <c r="AE56" s="35">
        <v>18.5</v>
      </c>
      <c r="AF56" s="36">
        <v>15.5</v>
      </c>
      <c r="AG56" s="23">
        <f t="shared" si="44"/>
        <v>17.5</v>
      </c>
      <c r="AH56" s="23">
        <f t="shared" si="45"/>
        <v>17.664444444444442</v>
      </c>
      <c r="AI56" s="23"/>
      <c r="AJ56" s="26">
        <v>19</v>
      </c>
      <c r="AK56" s="26">
        <v>19.8</v>
      </c>
      <c r="AL56" s="23">
        <f t="shared" si="46"/>
        <v>19.399999999999999</v>
      </c>
      <c r="AM56" s="26">
        <v>16.75</v>
      </c>
      <c r="AN56" s="26">
        <v>16.88</v>
      </c>
      <c r="AO56" s="22">
        <f t="shared" si="47"/>
        <v>16.814999999999998</v>
      </c>
      <c r="AP56" s="26">
        <v>20</v>
      </c>
      <c r="AQ56" s="23">
        <f t="shared" si="48"/>
        <v>18.738333333333333</v>
      </c>
      <c r="AR56" s="26">
        <v>19.5</v>
      </c>
      <c r="AS56" s="26">
        <v>19.5</v>
      </c>
      <c r="AT56" s="26">
        <v>19</v>
      </c>
      <c r="AU56" s="22">
        <f t="shared" si="50"/>
        <v>19.3125</v>
      </c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83"/>
      <c r="BG56" s="83"/>
      <c r="BH56" s="83"/>
      <c r="BI56" s="83"/>
      <c r="BJ56" s="83"/>
      <c r="BK56" s="83"/>
      <c r="BL56" s="83"/>
    </row>
    <row r="57" spans="1:64" ht="12.75" x14ac:dyDescent="0.2">
      <c r="A57" s="58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</row>
    <row r="58" spans="1:64" ht="12.75" x14ac:dyDescent="0.2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</row>
    <row r="59" spans="1:64" ht="12.75" x14ac:dyDescent="0.2">
      <c r="A59" s="58"/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</row>
    <row r="60" spans="1:64" ht="12.75" x14ac:dyDescent="0.2">
      <c r="A60" s="58"/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8"/>
      <c r="AR60" s="58"/>
      <c r="AS60" s="58"/>
      <c r="AT60" s="58"/>
      <c r="AU60" s="58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</row>
    <row r="61" spans="1:64" ht="12.75" x14ac:dyDescent="0.2">
      <c r="A61" s="58"/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</row>
    <row r="62" spans="1:64" ht="12.75" x14ac:dyDescent="0.2">
      <c r="A62" s="58"/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</row>
    <row r="63" spans="1:64" ht="12.75" x14ac:dyDescent="0.2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spans="1:64" ht="12.75" x14ac:dyDescent="0.2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spans="1:64" ht="12.75" x14ac:dyDescent="0.2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spans="1:64" ht="15.75" customHeight="1" x14ac:dyDescent="0.2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7"/>
      <c r="U66" s="87"/>
      <c r="V66" s="87"/>
      <c r="W66" s="87"/>
      <c r="X66" s="87"/>
      <c r="Y66" s="87"/>
      <c r="Z66" s="87"/>
      <c r="AA66" s="87"/>
      <c r="AB66" s="88"/>
      <c r="AC66" s="88"/>
      <c r="AD66" s="88"/>
      <c r="AE66" s="88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spans="1:64" ht="15.75" customHeight="1" x14ac:dyDescent="0.2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7"/>
      <c r="U67" s="87"/>
      <c r="V67" s="87"/>
      <c r="W67" s="87"/>
      <c r="X67" s="87"/>
      <c r="Y67" s="87"/>
      <c r="Z67" s="87"/>
      <c r="AA67" s="87"/>
      <c r="AB67" s="88"/>
      <c r="AC67" s="88"/>
      <c r="AD67" s="88"/>
      <c r="AE67" s="88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</row>
    <row r="68" spans="1:64" ht="15.75" customHeight="1" x14ac:dyDescent="0.2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7"/>
      <c r="U68" s="87"/>
      <c r="V68" s="87"/>
      <c r="W68" s="87"/>
      <c r="X68" s="87"/>
      <c r="Y68" s="87"/>
      <c r="Z68" s="87"/>
      <c r="AA68" s="87"/>
      <c r="AB68" s="88"/>
      <c r="AC68" s="88"/>
      <c r="AD68" s="88"/>
      <c r="AE68" s="88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</row>
    <row r="69" spans="1:64" ht="15.75" customHeight="1" x14ac:dyDescent="0.2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7"/>
      <c r="U69" s="87"/>
      <c r="V69" s="87"/>
      <c r="W69" s="87"/>
      <c r="X69" s="87"/>
      <c r="Y69" s="87"/>
      <c r="Z69" s="87"/>
      <c r="AA69" s="87"/>
      <c r="AB69" s="88"/>
      <c r="AC69" s="88"/>
      <c r="AD69" s="88"/>
      <c r="AE69" s="88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</row>
    <row r="70" spans="1:64" ht="15.75" customHeight="1" x14ac:dyDescent="0.2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7"/>
      <c r="U70" s="87"/>
      <c r="V70" s="87"/>
      <c r="W70" s="87"/>
      <c r="X70" s="87"/>
      <c r="Y70" s="87"/>
      <c r="Z70" s="87"/>
      <c r="AA70" s="87"/>
      <c r="AB70" s="88"/>
      <c r="AC70" s="88"/>
      <c r="AD70" s="88"/>
      <c r="AE70" s="88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</row>
    <row r="71" spans="1:64" ht="15.75" customHeight="1" x14ac:dyDescent="0.2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7"/>
      <c r="U71" s="87"/>
      <c r="V71" s="87"/>
      <c r="W71" s="87"/>
      <c r="X71" s="87"/>
      <c r="Y71" s="87"/>
      <c r="Z71" s="87"/>
      <c r="AA71" s="87"/>
      <c r="AB71" s="88"/>
      <c r="AC71" s="88"/>
      <c r="AD71" s="88"/>
      <c r="AE71" s="88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</row>
    <row r="72" spans="1:64" ht="15.75" customHeight="1" x14ac:dyDescent="0.2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7"/>
      <c r="U72" s="87"/>
      <c r="V72" s="87"/>
      <c r="W72" s="87"/>
      <c r="X72" s="87"/>
      <c r="Y72" s="87"/>
      <c r="Z72" s="87"/>
      <c r="AA72" s="87"/>
      <c r="AB72" s="88"/>
      <c r="AC72" s="88"/>
      <c r="AD72" s="88"/>
      <c r="AE72" s="88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</row>
    <row r="73" spans="1:64" ht="15.75" customHeight="1" x14ac:dyDescent="0.2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7"/>
      <c r="U73" s="87"/>
      <c r="V73" s="87"/>
      <c r="W73" s="87"/>
      <c r="X73" s="87"/>
      <c r="Y73" s="87"/>
      <c r="Z73" s="87"/>
      <c r="AA73" s="87"/>
      <c r="AB73" s="88"/>
      <c r="AC73" s="88"/>
      <c r="AD73" s="88"/>
      <c r="AE73" s="88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</row>
    <row r="74" spans="1:64" ht="15.75" customHeight="1" x14ac:dyDescent="0.2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7"/>
      <c r="U74" s="87"/>
      <c r="V74" s="87"/>
      <c r="W74" s="87"/>
      <c r="X74" s="87"/>
      <c r="Y74" s="87"/>
      <c r="Z74" s="87"/>
      <c r="AA74" s="87"/>
      <c r="AB74" s="88"/>
      <c r="AC74" s="88"/>
      <c r="AD74" s="88"/>
      <c r="AE74" s="88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</row>
    <row r="75" spans="1:64" ht="15.75" customHeight="1" x14ac:dyDescent="0.2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7"/>
      <c r="U75" s="87"/>
      <c r="V75" s="87"/>
      <c r="W75" s="87"/>
      <c r="X75" s="87"/>
      <c r="Y75" s="87"/>
      <c r="Z75" s="87"/>
      <c r="AA75" s="87"/>
      <c r="AB75" s="88"/>
      <c r="AC75" s="88"/>
      <c r="AD75" s="88"/>
      <c r="AE75" s="88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</row>
    <row r="76" spans="1:64" ht="15.75" customHeight="1" x14ac:dyDescent="0.2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7"/>
      <c r="U76" s="87"/>
      <c r="V76" s="87"/>
      <c r="W76" s="87"/>
      <c r="X76" s="87"/>
      <c r="Y76" s="87"/>
      <c r="Z76" s="87"/>
      <c r="AA76" s="87"/>
      <c r="AB76" s="88"/>
      <c r="AC76" s="88"/>
      <c r="AD76" s="88"/>
      <c r="AE76" s="88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</row>
    <row r="77" spans="1:64" ht="15.75" customHeight="1" x14ac:dyDescent="0.2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7"/>
      <c r="U77" s="87"/>
      <c r="V77" s="87"/>
      <c r="W77" s="87"/>
      <c r="X77" s="87"/>
      <c r="Y77" s="87"/>
      <c r="Z77" s="87"/>
      <c r="AA77" s="87"/>
      <c r="AB77" s="88"/>
      <c r="AC77" s="88"/>
      <c r="AD77" s="88"/>
      <c r="AE77" s="88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</row>
    <row r="78" spans="1:64" ht="15.75" customHeight="1" x14ac:dyDescent="0.2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7"/>
      <c r="U78" s="87"/>
      <c r="V78" s="87"/>
      <c r="W78" s="87"/>
      <c r="X78" s="87"/>
      <c r="Y78" s="87"/>
      <c r="Z78" s="87"/>
      <c r="AA78" s="87"/>
      <c r="AB78" s="88"/>
      <c r="AC78" s="88"/>
      <c r="AD78" s="88"/>
      <c r="AE78" s="88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</row>
    <row r="79" spans="1:64" ht="15.75" customHeight="1" x14ac:dyDescent="0.2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7"/>
      <c r="U79" s="87"/>
      <c r="V79" s="87"/>
      <c r="W79" s="87"/>
      <c r="X79" s="87"/>
      <c r="Y79" s="87"/>
      <c r="Z79" s="87"/>
      <c r="AA79" s="87"/>
      <c r="AB79" s="88"/>
      <c r="AC79" s="88"/>
      <c r="AD79" s="88"/>
      <c r="AE79" s="88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</row>
    <row r="80" spans="1:64" ht="15.75" customHeight="1" x14ac:dyDescent="0.2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7"/>
      <c r="U80" s="87"/>
      <c r="V80" s="87"/>
      <c r="W80" s="87"/>
      <c r="X80" s="87"/>
      <c r="Y80" s="87"/>
      <c r="Z80" s="87"/>
      <c r="AA80" s="87"/>
      <c r="AB80" s="88"/>
      <c r="AC80" s="88"/>
      <c r="AD80" s="88"/>
      <c r="AE80" s="88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</row>
    <row r="81" spans="1:64" ht="15.75" customHeight="1" x14ac:dyDescent="0.2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7"/>
      <c r="U81" s="87"/>
      <c r="V81" s="87"/>
      <c r="W81" s="87"/>
      <c r="X81" s="87"/>
      <c r="Y81" s="87"/>
      <c r="Z81" s="87"/>
      <c r="AA81" s="87"/>
      <c r="AB81" s="88"/>
      <c r="AC81" s="88"/>
      <c r="AD81" s="88"/>
      <c r="AE81" s="88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</row>
    <row r="82" spans="1:64" ht="15.75" customHeight="1" x14ac:dyDescent="0.2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7"/>
      <c r="U82" s="87"/>
      <c r="V82" s="87"/>
      <c r="W82" s="87"/>
      <c r="X82" s="87"/>
      <c r="Y82" s="87"/>
      <c r="Z82" s="87"/>
      <c r="AA82" s="87"/>
      <c r="AB82" s="88"/>
      <c r="AC82" s="88"/>
      <c r="AD82" s="88"/>
      <c r="AE82" s="88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</row>
    <row r="83" spans="1:64" ht="15.75" customHeight="1" x14ac:dyDescent="0.2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7"/>
      <c r="U83" s="87"/>
      <c r="V83" s="87"/>
      <c r="W83" s="87"/>
      <c r="X83" s="87"/>
      <c r="Y83" s="87"/>
      <c r="Z83" s="87"/>
      <c r="AA83" s="87"/>
      <c r="AB83" s="88"/>
      <c r="AC83" s="88"/>
      <c r="AD83" s="88"/>
      <c r="AE83" s="88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</row>
    <row r="84" spans="1:64" ht="15.75" customHeight="1" x14ac:dyDescent="0.2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7"/>
      <c r="U84" s="87"/>
      <c r="V84" s="87"/>
      <c r="W84" s="87"/>
      <c r="X84" s="87"/>
      <c r="Y84" s="87"/>
      <c r="Z84" s="87"/>
      <c r="AA84" s="87"/>
      <c r="AB84" s="88"/>
      <c r="AC84" s="88"/>
      <c r="AD84" s="88"/>
      <c r="AE84" s="88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</row>
    <row r="85" spans="1:64" ht="15.75" customHeight="1" x14ac:dyDescent="0.2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7"/>
      <c r="U85" s="87"/>
      <c r="V85" s="87"/>
      <c r="W85" s="87"/>
      <c r="X85" s="87"/>
      <c r="Y85" s="87"/>
      <c r="Z85" s="87"/>
      <c r="AA85" s="87"/>
      <c r="AB85" s="88"/>
      <c r="AC85" s="88"/>
      <c r="AD85" s="88"/>
      <c r="AE85" s="88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</row>
    <row r="86" spans="1:64" ht="15.75" customHeight="1" x14ac:dyDescent="0.2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7"/>
      <c r="U86" s="87"/>
      <c r="V86" s="87"/>
      <c r="W86" s="87"/>
      <c r="X86" s="87"/>
      <c r="Y86" s="87"/>
      <c r="Z86" s="87"/>
      <c r="AA86" s="87"/>
      <c r="AB86" s="88"/>
      <c r="AC86" s="88"/>
      <c r="AD86" s="88"/>
      <c r="AE86" s="88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</row>
    <row r="87" spans="1:64" ht="15.75" customHeight="1" x14ac:dyDescent="0.2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7"/>
      <c r="U87" s="87"/>
      <c r="V87" s="87"/>
      <c r="W87" s="87"/>
      <c r="X87" s="87"/>
      <c r="Y87" s="87"/>
      <c r="Z87" s="87"/>
      <c r="AA87" s="87"/>
      <c r="AB87" s="88"/>
      <c r="AC87" s="88"/>
      <c r="AD87" s="88"/>
      <c r="AE87" s="88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</row>
    <row r="88" spans="1:64" ht="15.75" customHeight="1" x14ac:dyDescent="0.2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7"/>
      <c r="U88" s="87"/>
      <c r="V88" s="87"/>
      <c r="W88" s="87"/>
      <c r="X88" s="87"/>
      <c r="Y88" s="87"/>
      <c r="Z88" s="87"/>
      <c r="AA88" s="87"/>
      <c r="AB88" s="88"/>
      <c r="AC88" s="88"/>
      <c r="AD88" s="88"/>
      <c r="AE88" s="88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</row>
    <row r="89" spans="1:64" ht="15.75" customHeight="1" x14ac:dyDescent="0.2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7"/>
      <c r="U89" s="87"/>
      <c r="V89" s="87"/>
      <c r="W89" s="87"/>
      <c r="X89" s="87"/>
      <c r="Y89" s="87"/>
      <c r="Z89" s="87"/>
      <c r="AA89" s="87"/>
      <c r="AB89" s="88"/>
      <c r="AC89" s="88"/>
      <c r="AD89" s="88"/>
      <c r="AE89" s="88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</row>
    <row r="90" spans="1:64" ht="15.75" customHeight="1" x14ac:dyDescent="0.2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7"/>
      <c r="U90" s="87"/>
      <c r="V90" s="87"/>
      <c r="W90" s="87"/>
      <c r="X90" s="87"/>
      <c r="Y90" s="87"/>
      <c r="Z90" s="87"/>
      <c r="AA90" s="87"/>
      <c r="AB90" s="88"/>
      <c r="AC90" s="88"/>
      <c r="AD90" s="88"/>
      <c r="AE90" s="88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</row>
    <row r="91" spans="1:64" ht="15.75" customHeight="1" x14ac:dyDescent="0.2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7"/>
      <c r="U91" s="87"/>
      <c r="V91" s="87"/>
      <c r="W91" s="87"/>
      <c r="X91" s="87"/>
      <c r="Y91" s="87"/>
      <c r="Z91" s="87"/>
      <c r="AA91" s="87"/>
      <c r="AB91" s="88"/>
      <c r="AC91" s="88"/>
      <c r="AD91" s="88"/>
      <c r="AE91" s="88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</row>
    <row r="92" spans="1:64" ht="15.75" customHeight="1" x14ac:dyDescent="0.2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7"/>
      <c r="U92" s="87"/>
      <c r="V92" s="87"/>
      <c r="W92" s="87"/>
      <c r="X92" s="87"/>
      <c r="Y92" s="87"/>
      <c r="Z92" s="87"/>
      <c r="AA92" s="87"/>
      <c r="AB92" s="88"/>
      <c r="AC92" s="88"/>
      <c r="AD92" s="88"/>
      <c r="AE92" s="88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</row>
    <row r="93" spans="1:64" ht="15.75" customHeight="1" x14ac:dyDescent="0.2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7"/>
      <c r="U93" s="87"/>
      <c r="V93" s="87"/>
      <c r="W93" s="87"/>
      <c r="X93" s="87"/>
      <c r="Y93" s="87"/>
      <c r="Z93" s="87"/>
      <c r="AA93" s="87"/>
      <c r="AB93" s="88"/>
      <c r="AC93" s="88"/>
      <c r="AD93" s="88"/>
      <c r="AE93" s="88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</row>
    <row r="94" spans="1:64" ht="15.75" customHeight="1" x14ac:dyDescent="0.2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7"/>
      <c r="U94" s="87"/>
      <c r="V94" s="87"/>
      <c r="W94" s="87"/>
      <c r="X94" s="87"/>
      <c r="Y94" s="87"/>
      <c r="Z94" s="87"/>
      <c r="AA94" s="87"/>
      <c r="AB94" s="88"/>
      <c r="AC94" s="88"/>
      <c r="AD94" s="88"/>
      <c r="AE94" s="88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</row>
    <row r="95" spans="1:64" ht="15.75" customHeight="1" x14ac:dyDescent="0.2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7"/>
      <c r="U95" s="87"/>
      <c r="V95" s="87"/>
      <c r="W95" s="87"/>
      <c r="X95" s="87"/>
      <c r="Y95" s="87"/>
      <c r="Z95" s="87"/>
      <c r="AA95" s="87"/>
      <c r="AB95" s="88"/>
      <c r="AC95" s="88"/>
      <c r="AD95" s="88"/>
      <c r="AE95" s="88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</row>
    <row r="96" spans="1:64" ht="15.75" customHeight="1" x14ac:dyDescent="0.2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7"/>
      <c r="U96" s="87"/>
      <c r="V96" s="87"/>
      <c r="W96" s="87"/>
      <c r="X96" s="87"/>
      <c r="Y96" s="87"/>
      <c r="Z96" s="87"/>
      <c r="AA96" s="87"/>
      <c r="AB96" s="88"/>
      <c r="AC96" s="88"/>
      <c r="AD96" s="88"/>
      <c r="AE96" s="88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</row>
    <row r="97" spans="1:64" ht="15.75" customHeight="1" x14ac:dyDescent="0.2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7"/>
      <c r="U97" s="87"/>
      <c r="V97" s="87"/>
      <c r="W97" s="87"/>
      <c r="X97" s="87"/>
      <c r="Y97" s="87"/>
      <c r="Z97" s="87"/>
      <c r="AA97" s="87"/>
      <c r="AB97" s="88"/>
      <c r="AC97" s="88"/>
      <c r="AD97" s="88"/>
      <c r="AE97" s="88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</row>
    <row r="98" spans="1:64" ht="15.75" customHeight="1" x14ac:dyDescent="0.2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7"/>
      <c r="U98" s="87"/>
      <c r="V98" s="87"/>
      <c r="W98" s="87"/>
      <c r="X98" s="87"/>
      <c r="Y98" s="87"/>
      <c r="Z98" s="87"/>
      <c r="AA98" s="87"/>
      <c r="AB98" s="88"/>
      <c r="AC98" s="88"/>
      <c r="AD98" s="88"/>
      <c r="AE98" s="88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</row>
    <row r="99" spans="1:64" ht="15.75" customHeight="1" x14ac:dyDescent="0.2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7"/>
      <c r="U99" s="87"/>
      <c r="V99" s="87"/>
      <c r="W99" s="87"/>
      <c r="X99" s="87"/>
      <c r="Y99" s="87"/>
      <c r="Z99" s="87"/>
      <c r="AA99" s="87"/>
      <c r="AB99" s="88"/>
      <c r="AC99" s="88"/>
      <c r="AD99" s="88"/>
      <c r="AE99" s="88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</row>
    <row r="100" spans="1:64" ht="15.75" customHeight="1" x14ac:dyDescent="0.2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7"/>
      <c r="U100" s="87"/>
      <c r="V100" s="87"/>
      <c r="W100" s="87"/>
      <c r="X100" s="87"/>
      <c r="Y100" s="87"/>
      <c r="Z100" s="87"/>
      <c r="AA100" s="87"/>
      <c r="AB100" s="88"/>
      <c r="AC100" s="88"/>
      <c r="AD100" s="88"/>
      <c r="AE100" s="88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</row>
    <row r="101" spans="1:64" ht="15.75" customHeight="1" x14ac:dyDescent="0.2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7"/>
      <c r="U101" s="87"/>
      <c r="V101" s="87"/>
      <c r="W101" s="87"/>
      <c r="X101" s="87"/>
      <c r="Y101" s="87"/>
      <c r="Z101" s="87"/>
      <c r="AA101" s="87"/>
      <c r="AB101" s="88"/>
      <c r="AC101" s="88"/>
      <c r="AD101" s="88"/>
      <c r="AE101" s="88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</row>
    <row r="102" spans="1:64" ht="15.75" customHeight="1" x14ac:dyDescent="0.2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7"/>
      <c r="U102" s="87"/>
      <c r="V102" s="87"/>
      <c r="W102" s="87"/>
      <c r="X102" s="87"/>
      <c r="Y102" s="87"/>
      <c r="Z102" s="87"/>
      <c r="AA102" s="87"/>
      <c r="AB102" s="88"/>
      <c r="AC102" s="88"/>
      <c r="AD102" s="88"/>
      <c r="AE102" s="88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</row>
    <row r="103" spans="1:64" ht="15.75" customHeight="1" x14ac:dyDescent="0.2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7"/>
      <c r="U103" s="87"/>
      <c r="V103" s="87"/>
      <c r="W103" s="87"/>
      <c r="X103" s="87"/>
      <c r="Y103" s="87"/>
      <c r="Z103" s="87"/>
      <c r="AA103" s="87"/>
      <c r="AB103" s="88"/>
      <c r="AC103" s="88"/>
      <c r="AD103" s="88"/>
      <c r="AE103" s="88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</row>
    <row r="104" spans="1:64" ht="15.75" customHeight="1" x14ac:dyDescent="0.2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7"/>
      <c r="U104" s="87"/>
      <c r="V104" s="87"/>
      <c r="W104" s="87"/>
      <c r="X104" s="87"/>
      <c r="Y104" s="87"/>
      <c r="Z104" s="87"/>
      <c r="AA104" s="87"/>
      <c r="AB104" s="88"/>
      <c r="AC104" s="88"/>
      <c r="AD104" s="88"/>
      <c r="AE104" s="88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</row>
    <row r="105" spans="1:64" ht="15.75" customHeight="1" x14ac:dyDescent="0.2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7"/>
      <c r="U105" s="87"/>
      <c r="V105" s="87"/>
      <c r="W105" s="87"/>
      <c r="X105" s="87"/>
      <c r="Y105" s="87"/>
      <c r="Z105" s="87"/>
      <c r="AA105" s="87"/>
      <c r="AB105" s="88"/>
      <c r="AC105" s="88"/>
      <c r="AD105" s="88"/>
      <c r="AE105" s="88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</row>
    <row r="106" spans="1:64" ht="15.75" customHeight="1" x14ac:dyDescent="0.2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7"/>
      <c r="U106" s="87"/>
      <c r="V106" s="87"/>
      <c r="W106" s="87"/>
      <c r="X106" s="87"/>
      <c r="Y106" s="87"/>
      <c r="Z106" s="87"/>
      <c r="AA106" s="87"/>
      <c r="AB106" s="88"/>
      <c r="AC106" s="88"/>
      <c r="AD106" s="88"/>
      <c r="AE106" s="88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</row>
    <row r="107" spans="1:64" ht="15.75" customHeight="1" x14ac:dyDescent="0.2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7"/>
      <c r="U107" s="87"/>
      <c r="V107" s="87"/>
      <c r="W107" s="87"/>
      <c r="X107" s="87"/>
      <c r="Y107" s="87"/>
      <c r="Z107" s="87"/>
      <c r="AA107" s="87"/>
      <c r="AB107" s="88"/>
      <c r="AC107" s="88"/>
      <c r="AD107" s="88"/>
      <c r="AE107" s="88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</row>
    <row r="108" spans="1:64" ht="15.75" customHeight="1" x14ac:dyDescent="0.2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7"/>
      <c r="U108" s="87"/>
      <c r="V108" s="87"/>
      <c r="W108" s="87"/>
      <c r="X108" s="87"/>
      <c r="Y108" s="87"/>
      <c r="Z108" s="87"/>
      <c r="AA108" s="87"/>
      <c r="AB108" s="88"/>
      <c r="AC108" s="88"/>
      <c r="AD108" s="88"/>
      <c r="AE108" s="88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</row>
    <row r="109" spans="1:64" ht="15.75" customHeight="1" x14ac:dyDescent="0.2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7"/>
      <c r="U109" s="87"/>
      <c r="V109" s="87"/>
      <c r="W109" s="87"/>
      <c r="X109" s="87"/>
      <c r="Y109" s="87"/>
      <c r="Z109" s="87"/>
      <c r="AA109" s="87"/>
      <c r="AB109" s="88"/>
      <c r="AC109" s="88"/>
      <c r="AD109" s="88"/>
      <c r="AE109" s="88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</row>
    <row r="110" spans="1:64" ht="15.75" customHeight="1" x14ac:dyDescent="0.2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7"/>
      <c r="U110" s="87"/>
      <c r="V110" s="87"/>
      <c r="W110" s="87"/>
      <c r="X110" s="87"/>
      <c r="Y110" s="87"/>
      <c r="Z110" s="87"/>
      <c r="AA110" s="87"/>
      <c r="AB110" s="88"/>
      <c r="AC110" s="88"/>
      <c r="AD110" s="88"/>
      <c r="AE110" s="88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</row>
    <row r="111" spans="1:64" ht="15.75" customHeight="1" x14ac:dyDescent="0.2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7"/>
      <c r="U111" s="87"/>
      <c r="V111" s="87"/>
      <c r="W111" s="87"/>
      <c r="X111" s="87"/>
      <c r="Y111" s="87"/>
      <c r="Z111" s="87"/>
      <c r="AA111" s="87"/>
      <c r="AB111" s="88"/>
      <c r="AC111" s="88"/>
      <c r="AD111" s="88"/>
      <c r="AE111" s="88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</row>
    <row r="112" spans="1:64" ht="15.75" customHeight="1" x14ac:dyDescent="0.2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7"/>
      <c r="U112" s="87"/>
      <c r="V112" s="87"/>
      <c r="W112" s="87"/>
      <c r="X112" s="87"/>
      <c r="Y112" s="87"/>
      <c r="Z112" s="87"/>
      <c r="AA112" s="87"/>
      <c r="AB112" s="88"/>
      <c r="AC112" s="88"/>
      <c r="AD112" s="88"/>
      <c r="AE112" s="88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</row>
    <row r="113" spans="1:64" ht="15.75" customHeight="1" x14ac:dyDescent="0.2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7"/>
      <c r="U113" s="87"/>
      <c r="V113" s="87"/>
      <c r="W113" s="87"/>
      <c r="X113" s="87"/>
      <c r="Y113" s="87"/>
      <c r="Z113" s="87"/>
      <c r="AA113" s="87"/>
      <c r="AB113" s="88"/>
      <c r="AC113" s="88"/>
      <c r="AD113" s="88"/>
      <c r="AE113" s="88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</row>
    <row r="114" spans="1:64" ht="15.75" customHeight="1" x14ac:dyDescent="0.2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7"/>
      <c r="U114" s="87"/>
      <c r="V114" s="87"/>
      <c r="W114" s="87"/>
      <c r="X114" s="87"/>
      <c r="Y114" s="87"/>
      <c r="Z114" s="87"/>
      <c r="AA114" s="87"/>
      <c r="AB114" s="88"/>
      <c r="AC114" s="88"/>
      <c r="AD114" s="88"/>
      <c r="AE114" s="88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</row>
    <row r="115" spans="1:64" ht="15.75" customHeight="1" x14ac:dyDescent="0.2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7"/>
      <c r="U115" s="87"/>
      <c r="V115" s="87"/>
      <c r="W115" s="87"/>
      <c r="X115" s="87"/>
      <c r="Y115" s="87"/>
      <c r="Z115" s="87"/>
      <c r="AA115" s="87"/>
      <c r="AB115" s="88"/>
      <c r="AC115" s="88"/>
      <c r="AD115" s="88"/>
      <c r="AE115" s="88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</row>
    <row r="116" spans="1:64" ht="15.75" customHeight="1" x14ac:dyDescent="0.2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7"/>
      <c r="U116" s="87"/>
      <c r="V116" s="87"/>
      <c r="W116" s="87"/>
      <c r="X116" s="87"/>
      <c r="Y116" s="87"/>
      <c r="Z116" s="87"/>
      <c r="AA116" s="87"/>
      <c r="AB116" s="88"/>
      <c r="AC116" s="88"/>
      <c r="AD116" s="88"/>
      <c r="AE116" s="88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</row>
    <row r="117" spans="1:64" ht="15.75" customHeight="1" x14ac:dyDescent="0.2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7"/>
      <c r="U117" s="87"/>
      <c r="V117" s="87"/>
      <c r="W117" s="87"/>
      <c r="X117" s="87"/>
      <c r="Y117" s="87"/>
      <c r="Z117" s="87"/>
      <c r="AA117" s="87"/>
      <c r="AB117" s="88"/>
      <c r="AC117" s="88"/>
      <c r="AD117" s="88"/>
      <c r="AE117" s="88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</row>
    <row r="118" spans="1:64" ht="15.75" customHeight="1" x14ac:dyDescent="0.2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7"/>
      <c r="U118" s="87"/>
      <c r="V118" s="87"/>
      <c r="W118" s="87"/>
      <c r="X118" s="87"/>
      <c r="Y118" s="87"/>
      <c r="Z118" s="87"/>
      <c r="AA118" s="87"/>
      <c r="AB118" s="88"/>
      <c r="AC118" s="88"/>
      <c r="AD118" s="88"/>
      <c r="AE118" s="88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</row>
    <row r="119" spans="1:64" ht="15.75" customHeight="1" x14ac:dyDescent="0.2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7"/>
      <c r="U119" s="87"/>
      <c r="V119" s="87"/>
      <c r="W119" s="87"/>
      <c r="X119" s="87"/>
      <c r="Y119" s="87"/>
      <c r="Z119" s="87"/>
      <c r="AA119" s="87"/>
      <c r="AB119" s="88"/>
      <c r="AC119" s="88"/>
      <c r="AD119" s="88"/>
      <c r="AE119" s="88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</row>
    <row r="120" spans="1:64" ht="15.75" customHeight="1" x14ac:dyDescent="0.2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7"/>
      <c r="U120" s="87"/>
      <c r="V120" s="87"/>
      <c r="W120" s="87"/>
      <c r="X120" s="87"/>
      <c r="Y120" s="87"/>
      <c r="Z120" s="87"/>
      <c r="AA120" s="87"/>
      <c r="AB120" s="88"/>
      <c r="AC120" s="88"/>
      <c r="AD120" s="88"/>
      <c r="AE120" s="88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</row>
    <row r="121" spans="1:64" ht="15.75" customHeight="1" x14ac:dyDescent="0.2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7"/>
      <c r="U121" s="87"/>
      <c r="V121" s="87"/>
      <c r="W121" s="87"/>
      <c r="X121" s="87"/>
      <c r="Y121" s="87"/>
      <c r="Z121" s="87"/>
      <c r="AA121" s="87"/>
      <c r="AB121" s="88"/>
      <c r="AC121" s="88"/>
      <c r="AD121" s="88"/>
      <c r="AE121" s="88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</row>
    <row r="122" spans="1:64" ht="15.75" customHeight="1" x14ac:dyDescent="0.2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7"/>
      <c r="U122" s="87"/>
      <c r="V122" s="87"/>
      <c r="W122" s="87"/>
      <c r="X122" s="87"/>
      <c r="Y122" s="87"/>
      <c r="Z122" s="87"/>
      <c r="AA122" s="87"/>
      <c r="AB122" s="88"/>
      <c r="AC122" s="88"/>
      <c r="AD122" s="88"/>
      <c r="AE122" s="88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</row>
    <row r="123" spans="1:64" ht="15.75" customHeight="1" x14ac:dyDescent="0.2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7"/>
      <c r="U123" s="87"/>
      <c r="V123" s="87"/>
      <c r="W123" s="87"/>
      <c r="X123" s="87"/>
      <c r="Y123" s="87"/>
      <c r="Z123" s="87"/>
      <c r="AA123" s="87"/>
      <c r="AB123" s="88"/>
      <c r="AC123" s="88"/>
      <c r="AD123" s="88"/>
      <c r="AE123" s="88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</row>
    <row r="124" spans="1:64" ht="15.75" customHeight="1" x14ac:dyDescent="0.2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7"/>
      <c r="U124" s="87"/>
      <c r="V124" s="87"/>
      <c r="W124" s="87"/>
      <c r="X124" s="87"/>
      <c r="Y124" s="87"/>
      <c r="Z124" s="87"/>
      <c r="AA124" s="87"/>
      <c r="AB124" s="88"/>
      <c r="AC124" s="88"/>
      <c r="AD124" s="88"/>
      <c r="AE124" s="88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</row>
    <row r="125" spans="1:64" ht="15.75" customHeight="1" x14ac:dyDescent="0.2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7"/>
      <c r="U125" s="87"/>
      <c r="V125" s="87"/>
      <c r="W125" s="87"/>
      <c r="X125" s="87"/>
      <c r="Y125" s="87"/>
      <c r="Z125" s="87"/>
      <c r="AA125" s="87"/>
      <c r="AB125" s="88"/>
      <c r="AC125" s="88"/>
      <c r="AD125" s="88"/>
      <c r="AE125" s="88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</row>
    <row r="126" spans="1:64" ht="15.75" customHeight="1" x14ac:dyDescent="0.2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7"/>
      <c r="U126" s="87"/>
      <c r="V126" s="87"/>
      <c r="W126" s="87"/>
      <c r="X126" s="87"/>
      <c r="Y126" s="87"/>
      <c r="Z126" s="87"/>
      <c r="AA126" s="87"/>
      <c r="AB126" s="88"/>
      <c r="AC126" s="88"/>
      <c r="AD126" s="88"/>
      <c r="AE126" s="88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</row>
    <row r="127" spans="1:64" ht="15.75" customHeight="1" x14ac:dyDescent="0.2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7"/>
      <c r="U127" s="87"/>
      <c r="V127" s="87"/>
      <c r="W127" s="87"/>
      <c r="X127" s="87"/>
      <c r="Y127" s="87"/>
      <c r="Z127" s="87"/>
      <c r="AA127" s="87"/>
      <c r="AB127" s="88"/>
      <c r="AC127" s="88"/>
      <c r="AD127" s="88"/>
      <c r="AE127" s="88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</row>
    <row r="128" spans="1:64" ht="15.75" customHeight="1" x14ac:dyDescent="0.2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7"/>
      <c r="U128" s="87"/>
      <c r="V128" s="87"/>
      <c r="W128" s="87"/>
      <c r="X128" s="87"/>
      <c r="Y128" s="87"/>
      <c r="Z128" s="87"/>
      <c r="AA128" s="87"/>
      <c r="AB128" s="88"/>
      <c r="AC128" s="88"/>
      <c r="AD128" s="88"/>
      <c r="AE128" s="88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</row>
    <row r="129" spans="1:64" ht="15.75" customHeight="1" x14ac:dyDescent="0.2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7"/>
      <c r="U129" s="87"/>
      <c r="V129" s="87"/>
      <c r="W129" s="87"/>
      <c r="X129" s="87"/>
      <c r="Y129" s="87"/>
      <c r="Z129" s="87"/>
      <c r="AA129" s="87"/>
      <c r="AB129" s="88"/>
      <c r="AC129" s="88"/>
      <c r="AD129" s="88"/>
      <c r="AE129" s="88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</row>
    <row r="130" spans="1:64" ht="15.75" customHeight="1" x14ac:dyDescent="0.2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7"/>
      <c r="U130" s="87"/>
      <c r="V130" s="87"/>
      <c r="W130" s="87"/>
      <c r="X130" s="87"/>
      <c r="Y130" s="87"/>
      <c r="Z130" s="87"/>
      <c r="AA130" s="87"/>
      <c r="AB130" s="88"/>
      <c r="AC130" s="88"/>
      <c r="AD130" s="88"/>
      <c r="AE130" s="88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</row>
    <row r="131" spans="1:64" ht="15.75" customHeight="1" x14ac:dyDescent="0.2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7"/>
      <c r="U131" s="87"/>
      <c r="V131" s="87"/>
      <c r="W131" s="87"/>
      <c r="X131" s="87"/>
      <c r="Y131" s="87"/>
      <c r="Z131" s="87"/>
      <c r="AA131" s="87"/>
      <c r="AB131" s="88"/>
      <c r="AC131" s="88"/>
      <c r="AD131" s="88"/>
      <c r="AE131" s="88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</row>
    <row r="132" spans="1:64" ht="15.75" customHeight="1" x14ac:dyDescent="0.2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7"/>
      <c r="U132" s="87"/>
      <c r="V132" s="87"/>
      <c r="W132" s="87"/>
      <c r="X132" s="87"/>
      <c r="Y132" s="87"/>
      <c r="Z132" s="87"/>
      <c r="AA132" s="87"/>
      <c r="AB132" s="88"/>
      <c r="AC132" s="88"/>
      <c r="AD132" s="88"/>
      <c r="AE132" s="88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</row>
    <row r="133" spans="1:64" ht="15.75" customHeight="1" x14ac:dyDescent="0.2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7"/>
      <c r="U133" s="87"/>
      <c r="V133" s="87"/>
      <c r="W133" s="87"/>
      <c r="X133" s="87"/>
      <c r="Y133" s="87"/>
      <c r="Z133" s="87"/>
      <c r="AA133" s="87"/>
      <c r="AB133" s="88"/>
      <c r="AC133" s="88"/>
      <c r="AD133" s="88"/>
      <c r="AE133" s="88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</row>
    <row r="134" spans="1:64" ht="15.75" customHeight="1" x14ac:dyDescent="0.2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7"/>
      <c r="U134" s="87"/>
      <c r="V134" s="87"/>
      <c r="W134" s="87"/>
      <c r="X134" s="87"/>
      <c r="Y134" s="87"/>
      <c r="Z134" s="87"/>
      <c r="AA134" s="87"/>
      <c r="AB134" s="88"/>
      <c r="AC134" s="88"/>
      <c r="AD134" s="88"/>
      <c r="AE134" s="88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</row>
    <row r="135" spans="1:64" ht="15.75" customHeight="1" x14ac:dyDescent="0.2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7"/>
      <c r="U135" s="87"/>
      <c r="V135" s="87"/>
      <c r="W135" s="87"/>
      <c r="X135" s="87"/>
      <c r="Y135" s="87"/>
      <c r="Z135" s="87"/>
      <c r="AA135" s="87"/>
      <c r="AB135" s="88"/>
      <c r="AC135" s="88"/>
      <c r="AD135" s="88"/>
      <c r="AE135" s="88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</row>
    <row r="136" spans="1:64" ht="15.75" customHeight="1" x14ac:dyDescent="0.2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7"/>
      <c r="U136" s="87"/>
      <c r="V136" s="87"/>
      <c r="W136" s="87"/>
      <c r="X136" s="87"/>
      <c r="Y136" s="87"/>
      <c r="Z136" s="87"/>
      <c r="AA136" s="87"/>
      <c r="AB136" s="88"/>
      <c r="AC136" s="88"/>
      <c r="AD136" s="88"/>
      <c r="AE136" s="88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</row>
    <row r="137" spans="1:64" ht="15.75" customHeight="1" x14ac:dyDescent="0.2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7"/>
      <c r="U137" s="87"/>
      <c r="V137" s="87"/>
      <c r="W137" s="87"/>
      <c r="X137" s="87"/>
      <c r="Y137" s="87"/>
      <c r="Z137" s="87"/>
      <c r="AA137" s="87"/>
      <c r="AB137" s="88"/>
      <c r="AC137" s="88"/>
      <c r="AD137" s="88"/>
      <c r="AE137" s="88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</row>
    <row r="138" spans="1:64" ht="15.75" customHeight="1" x14ac:dyDescent="0.2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7"/>
      <c r="U138" s="87"/>
      <c r="V138" s="87"/>
      <c r="W138" s="87"/>
      <c r="X138" s="87"/>
      <c r="Y138" s="87"/>
      <c r="Z138" s="87"/>
      <c r="AA138" s="87"/>
      <c r="AB138" s="88"/>
      <c r="AC138" s="88"/>
      <c r="AD138" s="88"/>
      <c r="AE138" s="88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</row>
    <row r="139" spans="1:64" ht="15.75" customHeight="1" x14ac:dyDescent="0.2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7"/>
      <c r="U139" s="87"/>
      <c r="V139" s="87"/>
      <c r="W139" s="87"/>
      <c r="X139" s="87"/>
      <c r="Y139" s="87"/>
      <c r="Z139" s="87"/>
      <c r="AA139" s="87"/>
      <c r="AB139" s="88"/>
      <c r="AC139" s="88"/>
      <c r="AD139" s="88"/>
      <c r="AE139" s="88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</row>
    <row r="140" spans="1:64" ht="15.75" customHeight="1" x14ac:dyDescent="0.2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7"/>
      <c r="U140" s="87"/>
      <c r="V140" s="87"/>
      <c r="W140" s="87"/>
      <c r="X140" s="87"/>
      <c r="Y140" s="87"/>
      <c r="Z140" s="87"/>
      <c r="AA140" s="87"/>
      <c r="AB140" s="88"/>
      <c r="AC140" s="88"/>
      <c r="AD140" s="88"/>
      <c r="AE140" s="88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6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</row>
    <row r="141" spans="1:64" ht="15.75" customHeight="1" x14ac:dyDescent="0.2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7"/>
      <c r="U141" s="87"/>
      <c r="V141" s="87"/>
      <c r="W141" s="87"/>
      <c r="X141" s="87"/>
      <c r="Y141" s="87"/>
      <c r="Z141" s="87"/>
      <c r="AA141" s="87"/>
      <c r="AB141" s="88"/>
      <c r="AC141" s="88"/>
      <c r="AD141" s="88"/>
      <c r="AE141" s="88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6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</row>
    <row r="142" spans="1:64" ht="15.75" customHeight="1" x14ac:dyDescent="0.2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7"/>
      <c r="U142" s="87"/>
      <c r="V142" s="87"/>
      <c r="W142" s="87"/>
      <c r="X142" s="87"/>
      <c r="Y142" s="87"/>
      <c r="Z142" s="87"/>
      <c r="AA142" s="87"/>
      <c r="AB142" s="88"/>
      <c r="AC142" s="88"/>
      <c r="AD142" s="88"/>
      <c r="AE142" s="88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6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</row>
    <row r="143" spans="1:64" ht="15.75" customHeight="1" x14ac:dyDescent="0.2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7"/>
      <c r="U143" s="87"/>
      <c r="V143" s="87"/>
      <c r="W143" s="87"/>
      <c r="X143" s="87"/>
      <c r="Y143" s="87"/>
      <c r="Z143" s="87"/>
      <c r="AA143" s="87"/>
      <c r="AB143" s="88"/>
      <c r="AC143" s="88"/>
      <c r="AD143" s="88"/>
      <c r="AE143" s="88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6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</row>
    <row r="144" spans="1:64" ht="15.75" customHeight="1" x14ac:dyDescent="0.2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7"/>
      <c r="U144" s="87"/>
      <c r="V144" s="87"/>
      <c r="W144" s="87"/>
      <c r="X144" s="87"/>
      <c r="Y144" s="87"/>
      <c r="Z144" s="87"/>
      <c r="AA144" s="87"/>
      <c r="AB144" s="88"/>
      <c r="AC144" s="88"/>
      <c r="AD144" s="88"/>
      <c r="AE144" s="88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6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</row>
    <row r="145" spans="1:64" ht="15.75" customHeight="1" x14ac:dyDescent="0.2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7"/>
      <c r="U145" s="87"/>
      <c r="V145" s="87"/>
      <c r="W145" s="87"/>
      <c r="X145" s="87"/>
      <c r="Y145" s="87"/>
      <c r="Z145" s="87"/>
      <c r="AA145" s="87"/>
      <c r="AB145" s="88"/>
      <c r="AC145" s="88"/>
      <c r="AD145" s="88"/>
      <c r="AE145" s="88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6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</row>
    <row r="146" spans="1:64" ht="15.75" customHeight="1" x14ac:dyDescent="0.2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7"/>
      <c r="U146" s="87"/>
      <c r="V146" s="87"/>
      <c r="W146" s="87"/>
      <c r="X146" s="87"/>
      <c r="Y146" s="87"/>
      <c r="Z146" s="87"/>
      <c r="AA146" s="87"/>
      <c r="AB146" s="88"/>
      <c r="AC146" s="88"/>
      <c r="AD146" s="88"/>
      <c r="AE146" s="88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6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</row>
    <row r="147" spans="1:64" ht="15.75" customHeight="1" x14ac:dyDescent="0.2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7"/>
      <c r="U147" s="87"/>
      <c r="V147" s="87"/>
      <c r="W147" s="87"/>
      <c r="X147" s="87"/>
      <c r="Y147" s="87"/>
      <c r="Z147" s="87"/>
      <c r="AA147" s="87"/>
      <c r="AB147" s="88"/>
      <c r="AC147" s="88"/>
      <c r="AD147" s="88"/>
      <c r="AE147" s="88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6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</row>
    <row r="148" spans="1:64" ht="15.75" customHeight="1" x14ac:dyDescent="0.2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7"/>
      <c r="U148" s="87"/>
      <c r="V148" s="87"/>
      <c r="W148" s="87"/>
      <c r="X148" s="87"/>
      <c r="Y148" s="87"/>
      <c r="Z148" s="87"/>
      <c r="AA148" s="87"/>
      <c r="AB148" s="88"/>
      <c r="AC148" s="88"/>
      <c r="AD148" s="88"/>
      <c r="AE148" s="88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6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</row>
    <row r="149" spans="1:64" ht="15.75" customHeight="1" x14ac:dyDescent="0.2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7"/>
      <c r="U149" s="87"/>
      <c r="V149" s="87"/>
      <c r="W149" s="87"/>
      <c r="X149" s="87"/>
      <c r="Y149" s="87"/>
      <c r="Z149" s="87"/>
      <c r="AA149" s="87"/>
      <c r="AB149" s="88"/>
      <c r="AC149" s="88"/>
      <c r="AD149" s="88"/>
      <c r="AE149" s="88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6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</row>
    <row r="150" spans="1:64" ht="15.75" customHeight="1" x14ac:dyDescent="0.2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7"/>
      <c r="U150" s="87"/>
      <c r="V150" s="87"/>
      <c r="W150" s="87"/>
      <c r="X150" s="87"/>
      <c r="Y150" s="87"/>
      <c r="Z150" s="87"/>
      <c r="AA150" s="87"/>
      <c r="AB150" s="88"/>
      <c r="AC150" s="88"/>
      <c r="AD150" s="88"/>
      <c r="AE150" s="88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6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</row>
    <row r="151" spans="1:64" ht="15.75" customHeight="1" x14ac:dyDescent="0.2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7"/>
      <c r="U151" s="87"/>
      <c r="V151" s="87"/>
      <c r="W151" s="87"/>
      <c r="X151" s="87"/>
      <c r="Y151" s="87"/>
      <c r="Z151" s="87"/>
      <c r="AA151" s="87"/>
      <c r="AB151" s="88"/>
      <c r="AC151" s="88"/>
      <c r="AD151" s="88"/>
      <c r="AE151" s="88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6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</row>
    <row r="152" spans="1:64" ht="15.75" customHeight="1" x14ac:dyDescent="0.2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7"/>
      <c r="U152" s="87"/>
      <c r="V152" s="87"/>
      <c r="W152" s="87"/>
      <c r="X152" s="87"/>
      <c r="Y152" s="87"/>
      <c r="Z152" s="87"/>
      <c r="AA152" s="87"/>
      <c r="AB152" s="88"/>
      <c r="AC152" s="88"/>
      <c r="AD152" s="88"/>
      <c r="AE152" s="88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6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</row>
    <row r="153" spans="1:64" ht="15.75" customHeight="1" x14ac:dyDescent="0.2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7"/>
      <c r="U153" s="87"/>
      <c r="V153" s="87"/>
      <c r="W153" s="87"/>
      <c r="X153" s="87"/>
      <c r="Y153" s="87"/>
      <c r="Z153" s="87"/>
      <c r="AA153" s="87"/>
      <c r="AB153" s="88"/>
      <c r="AC153" s="88"/>
      <c r="AD153" s="88"/>
      <c r="AE153" s="88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6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</row>
    <row r="154" spans="1:64" ht="15.75" customHeight="1" x14ac:dyDescent="0.2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7"/>
      <c r="U154" s="87"/>
      <c r="V154" s="87"/>
      <c r="W154" s="87"/>
      <c r="X154" s="87"/>
      <c r="Y154" s="87"/>
      <c r="Z154" s="87"/>
      <c r="AA154" s="87"/>
      <c r="AB154" s="88"/>
      <c r="AC154" s="88"/>
      <c r="AD154" s="88"/>
      <c r="AE154" s="88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6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</row>
    <row r="155" spans="1:64" ht="15.75" customHeight="1" x14ac:dyDescent="0.2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7"/>
      <c r="U155" s="87"/>
      <c r="V155" s="87"/>
      <c r="W155" s="87"/>
      <c r="X155" s="87"/>
      <c r="Y155" s="87"/>
      <c r="Z155" s="87"/>
      <c r="AA155" s="87"/>
      <c r="AB155" s="88"/>
      <c r="AC155" s="88"/>
      <c r="AD155" s="88"/>
      <c r="AE155" s="88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</row>
    <row r="156" spans="1:64" ht="15.75" customHeight="1" x14ac:dyDescent="0.2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7"/>
      <c r="U156" s="87"/>
      <c r="V156" s="87"/>
      <c r="W156" s="87"/>
      <c r="X156" s="87"/>
      <c r="Y156" s="87"/>
      <c r="Z156" s="87"/>
      <c r="AA156" s="87"/>
      <c r="AB156" s="88"/>
      <c r="AC156" s="88"/>
      <c r="AD156" s="88"/>
      <c r="AE156" s="88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6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</row>
    <row r="157" spans="1:64" ht="15.75" customHeight="1" x14ac:dyDescent="0.2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7"/>
      <c r="U157" s="87"/>
      <c r="V157" s="87"/>
      <c r="W157" s="87"/>
      <c r="X157" s="87"/>
      <c r="Y157" s="87"/>
      <c r="Z157" s="87"/>
      <c r="AA157" s="87"/>
      <c r="AB157" s="88"/>
      <c r="AC157" s="88"/>
      <c r="AD157" s="88"/>
      <c r="AE157" s="88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6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</row>
    <row r="158" spans="1:64" ht="15.75" customHeight="1" x14ac:dyDescent="0.2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7"/>
      <c r="U158" s="87"/>
      <c r="V158" s="87"/>
      <c r="W158" s="87"/>
      <c r="X158" s="87"/>
      <c r="Y158" s="87"/>
      <c r="Z158" s="87"/>
      <c r="AA158" s="87"/>
      <c r="AB158" s="88"/>
      <c r="AC158" s="88"/>
      <c r="AD158" s="88"/>
      <c r="AE158" s="88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6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</row>
    <row r="159" spans="1:64" ht="15.75" customHeight="1" x14ac:dyDescent="0.2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7"/>
      <c r="U159" s="87"/>
      <c r="V159" s="87"/>
      <c r="W159" s="87"/>
      <c r="X159" s="87"/>
      <c r="Y159" s="87"/>
      <c r="Z159" s="87"/>
      <c r="AA159" s="87"/>
      <c r="AB159" s="88"/>
      <c r="AC159" s="88"/>
      <c r="AD159" s="88"/>
      <c r="AE159" s="88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6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</row>
    <row r="160" spans="1:64" ht="15.75" customHeight="1" x14ac:dyDescent="0.2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7"/>
      <c r="U160" s="87"/>
      <c r="V160" s="87"/>
      <c r="W160" s="87"/>
      <c r="X160" s="87"/>
      <c r="Y160" s="87"/>
      <c r="Z160" s="87"/>
      <c r="AA160" s="87"/>
      <c r="AB160" s="88"/>
      <c r="AC160" s="88"/>
      <c r="AD160" s="88"/>
      <c r="AE160" s="88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6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</row>
    <row r="161" spans="1:64" ht="15.75" customHeight="1" x14ac:dyDescent="0.2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7"/>
      <c r="U161" s="87"/>
      <c r="V161" s="87"/>
      <c r="W161" s="87"/>
      <c r="X161" s="87"/>
      <c r="Y161" s="87"/>
      <c r="Z161" s="87"/>
      <c r="AA161" s="87"/>
      <c r="AB161" s="88"/>
      <c r="AC161" s="88"/>
      <c r="AD161" s="88"/>
      <c r="AE161" s="88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6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</row>
    <row r="162" spans="1:64" ht="15.75" customHeight="1" x14ac:dyDescent="0.2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7"/>
      <c r="U162" s="87"/>
      <c r="V162" s="87"/>
      <c r="W162" s="87"/>
      <c r="X162" s="87"/>
      <c r="Y162" s="87"/>
      <c r="Z162" s="87"/>
      <c r="AA162" s="87"/>
      <c r="AB162" s="88"/>
      <c r="AC162" s="88"/>
      <c r="AD162" s="88"/>
      <c r="AE162" s="88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86"/>
      <c r="AR162" s="86"/>
      <c r="AS162" s="86"/>
      <c r="AT162" s="86"/>
      <c r="AU162" s="86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</row>
    <row r="163" spans="1:64" ht="15.75" customHeight="1" x14ac:dyDescent="0.2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7"/>
      <c r="U163" s="87"/>
      <c r="V163" s="87"/>
      <c r="W163" s="87"/>
      <c r="X163" s="87"/>
      <c r="Y163" s="87"/>
      <c r="Z163" s="87"/>
      <c r="AA163" s="87"/>
      <c r="AB163" s="88"/>
      <c r="AC163" s="88"/>
      <c r="AD163" s="88"/>
      <c r="AE163" s="88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86"/>
      <c r="AR163" s="86"/>
      <c r="AS163" s="86"/>
      <c r="AT163" s="86"/>
      <c r="AU163" s="86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</row>
    <row r="164" spans="1:64" ht="15.75" customHeight="1" x14ac:dyDescent="0.2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7"/>
      <c r="U164" s="87"/>
      <c r="V164" s="87"/>
      <c r="W164" s="87"/>
      <c r="X164" s="87"/>
      <c r="Y164" s="87"/>
      <c r="Z164" s="87"/>
      <c r="AA164" s="87"/>
      <c r="AB164" s="88"/>
      <c r="AC164" s="88"/>
      <c r="AD164" s="88"/>
      <c r="AE164" s="88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86"/>
      <c r="AR164" s="86"/>
      <c r="AS164" s="86"/>
      <c r="AT164" s="86"/>
      <c r="AU164" s="86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</row>
    <row r="165" spans="1:64" ht="15.75" customHeight="1" x14ac:dyDescent="0.2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7"/>
      <c r="U165" s="87"/>
      <c r="V165" s="87"/>
      <c r="W165" s="87"/>
      <c r="X165" s="87"/>
      <c r="Y165" s="87"/>
      <c r="Z165" s="87"/>
      <c r="AA165" s="87"/>
      <c r="AB165" s="88"/>
      <c r="AC165" s="88"/>
      <c r="AD165" s="88"/>
      <c r="AE165" s="88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86"/>
      <c r="AR165" s="86"/>
      <c r="AS165" s="86"/>
      <c r="AT165" s="86"/>
      <c r="AU165" s="86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</row>
    <row r="166" spans="1:64" ht="15.75" customHeight="1" x14ac:dyDescent="0.2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7"/>
      <c r="U166" s="87"/>
      <c r="V166" s="87"/>
      <c r="W166" s="87"/>
      <c r="X166" s="87"/>
      <c r="Y166" s="87"/>
      <c r="Z166" s="87"/>
      <c r="AA166" s="87"/>
      <c r="AB166" s="88"/>
      <c r="AC166" s="88"/>
      <c r="AD166" s="88"/>
      <c r="AE166" s="88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86"/>
      <c r="AR166" s="86"/>
      <c r="AS166" s="86"/>
      <c r="AT166" s="86"/>
      <c r="AU166" s="86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</row>
    <row r="167" spans="1:64" ht="15.75" customHeight="1" x14ac:dyDescent="0.2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7"/>
      <c r="U167" s="87"/>
      <c r="V167" s="87"/>
      <c r="W167" s="87"/>
      <c r="X167" s="87"/>
      <c r="Y167" s="87"/>
      <c r="Z167" s="87"/>
      <c r="AA167" s="87"/>
      <c r="AB167" s="88"/>
      <c r="AC167" s="88"/>
      <c r="AD167" s="88"/>
      <c r="AE167" s="88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86"/>
      <c r="AR167" s="86"/>
      <c r="AS167" s="86"/>
      <c r="AT167" s="86"/>
      <c r="AU167" s="86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</row>
    <row r="168" spans="1:64" ht="15.75" customHeight="1" x14ac:dyDescent="0.2">
      <c r="A168" s="86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6"/>
      <c r="P168" s="86"/>
      <c r="Q168" s="86"/>
      <c r="R168" s="86"/>
      <c r="S168" s="86"/>
      <c r="T168" s="87"/>
      <c r="U168" s="87"/>
      <c r="V168" s="87"/>
      <c r="W168" s="87"/>
      <c r="X168" s="87"/>
      <c r="Y168" s="87"/>
      <c r="Z168" s="87"/>
      <c r="AA168" s="87"/>
      <c r="AB168" s="88"/>
      <c r="AC168" s="88"/>
      <c r="AD168" s="88"/>
      <c r="AE168" s="88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86"/>
      <c r="AR168" s="86"/>
      <c r="AS168" s="86"/>
      <c r="AT168" s="86"/>
      <c r="AU168" s="86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</row>
    <row r="169" spans="1:64" ht="15.75" customHeight="1" x14ac:dyDescent="0.2">
      <c r="A169" s="86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6"/>
      <c r="P169" s="86"/>
      <c r="Q169" s="86"/>
      <c r="R169" s="86"/>
      <c r="S169" s="86"/>
      <c r="T169" s="87"/>
      <c r="U169" s="87"/>
      <c r="V169" s="87"/>
      <c r="W169" s="87"/>
      <c r="X169" s="87"/>
      <c r="Y169" s="87"/>
      <c r="Z169" s="87"/>
      <c r="AA169" s="87"/>
      <c r="AB169" s="88"/>
      <c r="AC169" s="88"/>
      <c r="AD169" s="88"/>
      <c r="AE169" s="88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86"/>
      <c r="AR169" s="86"/>
      <c r="AS169" s="86"/>
      <c r="AT169" s="86"/>
      <c r="AU169" s="86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</row>
    <row r="170" spans="1:64" ht="15.75" customHeight="1" x14ac:dyDescent="0.2">
      <c r="A170" s="86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6"/>
      <c r="P170" s="86"/>
      <c r="Q170" s="86"/>
      <c r="R170" s="86"/>
      <c r="S170" s="86"/>
      <c r="T170" s="87"/>
      <c r="U170" s="87"/>
      <c r="V170" s="87"/>
      <c r="W170" s="87"/>
      <c r="X170" s="87"/>
      <c r="Y170" s="87"/>
      <c r="Z170" s="87"/>
      <c r="AA170" s="87"/>
      <c r="AB170" s="88"/>
      <c r="AC170" s="88"/>
      <c r="AD170" s="88"/>
      <c r="AE170" s="88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86"/>
      <c r="AR170" s="86"/>
      <c r="AS170" s="86"/>
      <c r="AT170" s="86"/>
      <c r="AU170" s="86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</row>
    <row r="171" spans="1:64" ht="15.75" customHeight="1" x14ac:dyDescent="0.2">
      <c r="A171" s="86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6"/>
      <c r="P171" s="86"/>
      <c r="Q171" s="86"/>
      <c r="R171" s="86"/>
      <c r="S171" s="86"/>
      <c r="T171" s="87"/>
      <c r="U171" s="87"/>
      <c r="V171" s="87"/>
      <c r="W171" s="87"/>
      <c r="X171" s="87"/>
      <c r="Y171" s="87"/>
      <c r="Z171" s="87"/>
      <c r="AA171" s="87"/>
      <c r="AB171" s="88"/>
      <c r="AC171" s="88"/>
      <c r="AD171" s="88"/>
      <c r="AE171" s="88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86"/>
      <c r="AR171" s="86"/>
      <c r="AS171" s="86"/>
      <c r="AT171" s="86"/>
      <c r="AU171" s="86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</row>
    <row r="172" spans="1:64" ht="15.75" customHeight="1" x14ac:dyDescent="0.2">
      <c r="A172" s="86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6"/>
      <c r="P172" s="86"/>
      <c r="Q172" s="86"/>
      <c r="R172" s="86"/>
      <c r="S172" s="86"/>
      <c r="T172" s="87"/>
      <c r="U172" s="87"/>
      <c r="V172" s="87"/>
      <c r="W172" s="87"/>
      <c r="X172" s="87"/>
      <c r="Y172" s="87"/>
      <c r="Z172" s="87"/>
      <c r="AA172" s="87"/>
      <c r="AB172" s="88"/>
      <c r="AC172" s="88"/>
      <c r="AD172" s="88"/>
      <c r="AE172" s="88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86"/>
      <c r="AR172" s="86"/>
      <c r="AS172" s="86"/>
      <c r="AT172" s="86"/>
      <c r="AU172" s="86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</row>
    <row r="173" spans="1:64" ht="15.75" customHeight="1" x14ac:dyDescent="0.2">
      <c r="A173" s="86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6"/>
      <c r="P173" s="86"/>
      <c r="Q173" s="86"/>
      <c r="R173" s="86"/>
      <c r="S173" s="86"/>
      <c r="T173" s="87"/>
      <c r="U173" s="87"/>
      <c r="V173" s="87"/>
      <c r="W173" s="87"/>
      <c r="X173" s="87"/>
      <c r="Y173" s="87"/>
      <c r="Z173" s="87"/>
      <c r="AA173" s="87"/>
      <c r="AB173" s="88"/>
      <c r="AC173" s="88"/>
      <c r="AD173" s="88"/>
      <c r="AE173" s="88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86"/>
      <c r="AR173" s="86"/>
      <c r="AS173" s="86"/>
      <c r="AT173" s="86"/>
      <c r="AU173" s="86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</row>
    <row r="174" spans="1:64" ht="15.75" customHeight="1" x14ac:dyDescent="0.2">
      <c r="A174" s="86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6"/>
      <c r="P174" s="86"/>
      <c r="Q174" s="86"/>
      <c r="R174" s="86"/>
      <c r="S174" s="86"/>
      <c r="T174" s="87"/>
      <c r="U174" s="87"/>
      <c r="V174" s="87"/>
      <c r="W174" s="87"/>
      <c r="X174" s="87"/>
      <c r="Y174" s="87"/>
      <c r="Z174" s="87"/>
      <c r="AA174" s="87"/>
      <c r="AB174" s="88"/>
      <c r="AC174" s="88"/>
      <c r="AD174" s="88"/>
      <c r="AE174" s="88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86"/>
      <c r="AR174" s="86"/>
      <c r="AS174" s="86"/>
      <c r="AT174" s="86"/>
      <c r="AU174" s="86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</row>
    <row r="175" spans="1:64" ht="15.75" customHeight="1" x14ac:dyDescent="0.2">
      <c r="A175" s="86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6"/>
      <c r="P175" s="86"/>
      <c r="Q175" s="86"/>
      <c r="R175" s="86"/>
      <c r="S175" s="86"/>
      <c r="T175" s="87"/>
      <c r="U175" s="87"/>
      <c r="V175" s="87"/>
      <c r="W175" s="87"/>
      <c r="X175" s="87"/>
      <c r="Y175" s="87"/>
      <c r="Z175" s="87"/>
      <c r="AA175" s="87"/>
      <c r="AB175" s="88"/>
      <c r="AC175" s="88"/>
      <c r="AD175" s="88"/>
      <c r="AE175" s="88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86"/>
      <c r="AT175" s="86"/>
      <c r="AU175" s="86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</row>
    <row r="176" spans="1:64" ht="15.75" customHeight="1" x14ac:dyDescent="0.2">
      <c r="A176" s="86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6"/>
      <c r="P176" s="86"/>
      <c r="Q176" s="86"/>
      <c r="R176" s="86"/>
      <c r="S176" s="86"/>
      <c r="T176" s="87"/>
      <c r="U176" s="87"/>
      <c r="V176" s="87"/>
      <c r="W176" s="87"/>
      <c r="X176" s="87"/>
      <c r="Y176" s="87"/>
      <c r="Z176" s="87"/>
      <c r="AA176" s="87"/>
      <c r="AB176" s="88"/>
      <c r="AC176" s="88"/>
      <c r="AD176" s="88"/>
      <c r="AE176" s="88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86"/>
      <c r="AR176" s="86"/>
      <c r="AS176" s="86"/>
      <c r="AT176" s="86"/>
      <c r="AU176" s="86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</row>
    <row r="177" spans="1:64" ht="15.75" customHeight="1" x14ac:dyDescent="0.2">
      <c r="A177" s="86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6"/>
      <c r="P177" s="86"/>
      <c r="Q177" s="86"/>
      <c r="R177" s="86"/>
      <c r="S177" s="86"/>
      <c r="T177" s="87"/>
      <c r="U177" s="87"/>
      <c r="V177" s="87"/>
      <c r="W177" s="87"/>
      <c r="X177" s="87"/>
      <c r="Y177" s="87"/>
      <c r="Z177" s="87"/>
      <c r="AA177" s="87"/>
      <c r="AB177" s="88"/>
      <c r="AC177" s="88"/>
      <c r="AD177" s="88"/>
      <c r="AE177" s="88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86"/>
      <c r="AR177" s="86"/>
      <c r="AS177" s="86"/>
      <c r="AT177" s="86"/>
      <c r="AU177" s="86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</row>
    <row r="178" spans="1:64" ht="15.75" customHeight="1" x14ac:dyDescent="0.2">
      <c r="A178" s="86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6"/>
      <c r="P178" s="86"/>
      <c r="Q178" s="86"/>
      <c r="R178" s="86"/>
      <c r="S178" s="86"/>
      <c r="T178" s="87"/>
      <c r="U178" s="87"/>
      <c r="V178" s="87"/>
      <c r="W178" s="87"/>
      <c r="X178" s="87"/>
      <c r="Y178" s="87"/>
      <c r="Z178" s="87"/>
      <c r="AA178" s="87"/>
      <c r="AB178" s="88"/>
      <c r="AC178" s="88"/>
      <c r="AD178" s="88"/>
      <c r="AE178" s="88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86"/>
      <c r="AR178" s="86"/>
      <c r="AS178" s="86"/>
      <c r="AT178" s="86"/>
      <c r="AU178" s="86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</row>
    <row r="179" spans="1:64" ht="15.75" customHeight="1" x14ac:dyDescent="0.2">
      <c r="A179" s="86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6"/>
      <c r="P179" s="86"/>
      <c r="Q179" s="86"/>
      <c r="R179" s="86"/>
      <c r="S179" s="86"/>
      <c r="T179" s="87"/>
      <c r="U179" s="87"/>
      <c r="V179" s="87"/>
      <c r="W179" s="87"/>
      <c r="X179" s="87"/>
      <c r="Y179" s="87"/>
      <c r="Z179" s="87"/>
      <c r="AA179" s="87"/>
      <c r="AB179" s="88"/>
      <c r="AC179" s="88"/>
      <c r="AD179" s="88"/>
      <c r="AE179" s="88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86"/>
      <c r="AR179" s="86"/>
      <c r="AS179" s="86"/>
      <c r="AT179" s="86"/>
      <c r="AU179" s="86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</row>
    <row r="180" spans="1:64" ht="15.75" customHeight="1" x14ac:dyDescent="0.2">
      <c r="A180" s="86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6"/>
      <c r="P180" s="86"/>
      <c r="Q180" s="86"/>
      <c r="R180" s="86"/>
      <c r="S180" s="86"/>
      <c r="T180" s="87"/>
      <c r="U180" s="87"/>
      <c r="V180" s="87"/>
      <c r="W180" s="87"/>
      <c r="X180" s="87"/>
      <c r="Y180" s="87"/>
      <c r="Z180" s="87"/>
      <c r="AA180" s="87"/>
      <c r="AB180" s="88"/>
      <c r="AC180" s="88"/>
      <c r="AD180" s="88"/>
      <c r="AE180" s="88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86"/>
      <c r="AR180" s="86"/>
      <c r="AS180" s="86"/>
      <c r="AT180" s="86"/>
      <c r="AU180" s="86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</row>
    <row r="181" spans="1:64" ht="15.75" customHeight="1" x14ac:dyDescent="0.2">
      <c r="A181" s="86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6"/>
      <c r="P181" s="86"/>
      <c r="Q181" s="86"/>
      <c r="R181" s="86"/>
      <c r="S181" s="86"/>
      <c r="T181" s="87"/>
      <c r="U181" s="87"/>
      <c r="V181" s="87"/>
      <c r="W181" s="87"/>
      <c r="X181" s="87"/>
      <c r="Y181" s="87"/>
      <c r="Z181" s="87"/>
      <c r="AA181" s="87"/>
      <c r="AB181" s="88"/>
      <c r="AC181" s="88"/>
      <c r="AD181" s="88"/>
      <c r="AE181" s="88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86"/>
      <c r="AR181" s="86"/>
      <c r="AS181" s="86"/>
      <c r="AT181" s="86"/>
      <c r="AU181" s="86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</row>
    <row r="182" spans="1:64" ht="15.75" customHeight="1" x14ac:dyDescent="0.2">
      <c r="A182" s="86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6"/>
      <c r="P182" s="86"/>
      <c r="Q182" s="86"/>
      <c r="R182" s="86"/>
      <c r="S182" s="86"/>
      <c r="T182" s="87"/>
      <c r="U182" s="87"/>
      <c r="V182" s="87"/>
      <c r="W182" s="87"/>
      <c r="X182" s="87"/>
      <c r="Y182" s="87"/>
      <c r="Z182" s="87"/>
      <c r="AA182" s="87"/>
      <c r="AB182" s="88"/>
      <c r="AC182" s="88"/>
      <c r="AD182" s="88"/>
      <c r="AE182" s="88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86"/>
      <c r="AR182" s="86"/>
      <c r="AS182" s="86"/>
      <c r="AT182" s="86"/>
      <c r="AU182" s="86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</row>
    <row r="183" spans="1:64" ht="15.75" customHeight="1" x14ac:dyDescent="0.2">
      <c r="A183" s="86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6"/>
      <c r="P183" s="86"/>
      <c r="Q183" s="86"/>
      <c r="R183" s="86"/>
      <c r="S183" s="86"/>
      <c r="T183" s="87"/>
      <c r="U183" s="87"/>
      <c r="V183" s="87"/>
      <c r="W183" s="87"/>
      <c r="X183" s="87"/>
      <c r="Y183" s="87"/>
      <c r="Z183" s="87"/>
      <c r="AA183" s="87"/>
      <c r="AB183" s="88"/>
      <c r="AC183" s="88"/>
      <c r="AD183" s="88"/>
      <c r="AE183" s="88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86"/>
      <c r="AR183" s="86"/>
      <c r="AS183" s="86"/>
      <c r="AT183" s="86"/>
      <c r="AU183" s="86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</row>
    <row r="184" spans="1:64" ht="15.75" customHeight="1" x14ac:dyDescent="0.2">
      <c r="A184" s="86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6"/>
      <c r="P184" s="86"/>
      <c r="Q184" s="86"/>
      <c r="R184" s="86"/>
      <c r="S184" s="86"/>
      <c r="T184" s="87"/>
      <c r="U184" s="87"/>
      <c r="V184" s="87"/>
      <c r="W184" s="87"/>
      <c r="X184" s="87"/>
      <c r="Y184" s="87"/>
      <c r="Z184" s="87"/>
      <c r="AA184" s="87"/>
      <c r="AB184" s="88"/>
      <c r="AC184" s="88"/>
      <c r="AD184" s="88"/>
      <c r="AE184" s="88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86"/>
      <c r="AR184" s="86"/>
      <c r="AS184" s="86"/>
      <c r="AT184" s="86"/>
      <c r="AU184" s="86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</row>
    <row r="185" spans="1:64" ht="15.75" customHeight="1" x14ac:dyDescent="0.2">
      <c r="A185" s="86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6"/>
      <c r="P185" s="86"/>
      <c r="Q185" s="86"/>
      <c r="R185" s="86"/>
      <c r="S185" s="86"/>
      <c r="T185" s="87"/>
      <c r="U185" s="87"/>
      <c r="V185" s="87"/>
      <c r="W185" s="87"/>
      <c r="X185" s="87"/>
      <c r="Y185" s="87"/>
      <c r="Z185" s="87"/>
      <c r="AA185" s="87"/>
      <c r="AB185" s="88"/>
      <c r="AC185" s="88"/>
      <c r="AD185" s="88"/>
      <c r="AE185" s="88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86"/>
      <c r="AR185" s="86"/>
      <c r="AS185" s="86"/>
      <c r="AT185" s="86"/>
      <c r="AU185" s="86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</row>
    <row r="186" spans="1:64" ht="15.75" customHeight="1" x14ac:dyDescent="0.2">
      <c r="A186" s="86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6"/>
      <c r="P186" s="86"/>
      <c r="Q186" s="86"/>
      <c r="R186" s="86"/>
      <c r="S186" s="86"/>
      <c r="T186" s="87"/>
      <c r="U186" s="87"/>
      <c r="V186" s="87"/>
      <c r="W186" s="87"/>
      <c r="X186" s="87"/>
      <c r="Y186" s="87"/>
      <c r="Z186" s="87"/>
      <c r="AA186" s="87"/>
      <c r="AB186" s="88"/>
      <c r="AC186" s="88"/>
      <c r="AD186" s="88"/>
      <c r="AE186" s="88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86"/>
      <c r="AR186" s="86"/>
      <c r="AS186" s="86"/>
      <c r="AT186" s="86"/>
      <c r="AU186" s="86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</row>
    <row r="187" spans="1:64" ht="15.75" customHeight="1" x14ac:dyDescent="0.2">
      <c r="A187" s="86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6"/>
      <c r="P187" s="86"/>
      <c r="Q187" s="86"/>
      <c r="R187" s="86"/>
      <c r="S187" s="86"/>
      <c r="T187" s="87"/>
      <c r="U187" s="87"/>
      <c r="V187" s="87"/>
      <c r="W187" s="87"/>
      <c r="X187" s="87"/>
      <c r="Y187" s="87"/>
      <c r="Z187" s="87"/>
      <c r="AA187" s="87"/>
      <c r="AB187" s="88"/>
      <c r="AC187" s="88"/>
      <c r="AD187" s="88"/>
      <c r="AE187" s="88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86"/>
      <c r="AR187" s="86"/>
      <c r="AS187" s="86"/>
      <c r="AT187" s="86"/>
      <c r="AU187" s="86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</row>
    <row r="188" spans="1:64" ht="15.75" customHeight="1" x14ac:dyDescent="0.2">
      <c r="A188" s="86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6"/>
      <c r="P188" s="86"/>
      <c r="Q188" s="86"/>
      <c r="R188" s="86"/>
      <c r="S188" s="86"/>
      <c r="T188" s="87"/>
      <c r="U188" s="87"/>
      <c r="V188" s="87"/>
      <c r="W188" s="87"/>
      <c r="X188" s="87"/>
      <c r="Y188" s="87"/>
      <c r="Z188" s="87"/>
      <c r="AA188" s="87"/>
      <c r="AB188" s="88"/>
      <c r="AC188" s="88"/>
      <c r="AD188" s="88"/>
      <c r="AE188" s="88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86"/>
      <c r="AR188" s="86"/>
      <c r="AS188" s="86"/>
      <c r="AT188" s="86"/>
      <c r="AU188" s="86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</row>
    <row r="189" spans="1:64" ht="15.75" customHeight="1" x14ac:dyDescent="0.2">
      <c r="A189" s="86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6"/>
      <c r="P189" s="86"/>
      <c r="Q189" s="86"/>
      <c r="R189" s="86"/>
      <c r="S189" s="86"/>
      <c r="T189" s="87"/>
      <c r="U189" s="87"/>
      <c r="V189" s="87"/>
      <c r="W189" s="87"/>
      <c r="X189" s="87"/>
      <c r="Y189" s="87"/>
      <c r="Z189" s="87"/>
      <c r="AA189" s="87"/>
      <c r="AB189" s="88"/>
      <c r="AC189" s="88"/>
      <c r="AD189" s="88"/>
      <c r="AE189" s="88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86"/>
      <c r="AR189" s="86"/>
      <c r="AS189" s="86"/>
      <c r="AT189" s="86"/>
      <c r="AU189" s="86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</row>
    <row r="190" spans="1:64" ht="15.75" customHeight="1" x14ac:dyDescent="0.2">
      <c r="A190" s="86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6"/>
      <c r="P190" s="86"/>
      <c r="Q190" s="86"/>
      <c r="R190" s="86"/>
      <c r="S190" s="86"/>
      <c r="T190" s="87"/>
      <c r="U190" s="87"/>
      <c r="V190" s="87"/>
      <c r="W190" s="87"/>
      <c r="X190" s="87"/>
      <c r="Y190" s="87"/>
      <c r="Z190" s="87"/>
      <c r="AA190" s="87"/>
      <c r="AB190" s="88"/>
      <c r="AC190" s="88"/>
      <c r="AD190" s="88"/>
      <c r="AE190" s="88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86"/>
      <c r="AR190" s="86"/>
      <c r="AS190" s="86"/>
      <c r="AT190" s="86"/>
      <c r="AU190" s="86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</row>
    <row r="191" spans="1:64" ht="15.75" customHeight="1" x14ac:dyDescent="0.2">
      <c r="A191" s="86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6"/>
      <c r="P191" s="86"/>
      <c r="Q191" s="86"/>
      <c r="R191" s="86"/>
      <c r="S191" s="86"/>
      <c r="T191" s="87"/>
      <c r="U191" s="87"/>
      <c r="V191" s="87"/>
      <c r="W191" s="87"/>
      <c r="X191" s="87"/>
      <c r="Y191" s="87"/>
      <c r="Z191" s="87"/>
      <c r="AA191" s="87"/>
      <c r="AB191" s="88"/>
      <c r="AC191" s="88"/>
      <c r="AD191" s="88"/>
      <c r="AE191" s="88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86"/>
      <c r="AR191" s="86"/>
      <c r="AS191" s="86"/>
      <c r="AT191" s="86"/>
      <c r="AU191" s="86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</row>
    <row r="192" spans="1:64" ht="15.75" customHeight="1" x14ac:dyDescent="0.2">
      <c r="A192" s="86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6"/>
      <c r="P192" s="86"/>
      <c r="Q192" s="86"/>
      <c r="R192" s="86"/>
      <c r="S192" s="86"/>
      <c r="T192" s="87"/>
      <c r="U192" s="87"/>
      <c r="V192" s="87"/>
      <c r="W192" s="87"/>
      <c r="X192" s="87"/>
      <c r="Y192" s="87"/>
      <c r="Z192" s="87"/>
      <c r="AA192" s="87"/>
      <c r="AB192" s="88"/>
      <c r="AC192" s="88"/>
      <c r="AD192" s="88"/>
      <c r="AE192" s="88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86"/>
      <c r="AR192" s="86"/>
      <c r="AS192" s="86"/>
      <c r="AT192" s="86"/>
      <c r="AU192" s="86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</row>
    <row r="193" spans="1:64" ht="15.75" customHeight="1" x14ac:dyDescent="0.2">
      <c r="A193" s="86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7"/>
      <c r="U193" s="87"/>
      <c r="V193" s="87"/>
      <c r="W193" s="87"/>
      <c r="X193" s="87"/>
      <c r="Y193" s="87"/>
      <c r="Z193" s="87"/>
      <c r="AA193" s="87"/>
      <c r="AB193" s="88"/>
      <c r="AC193" s="88"/>
      <c r="AD193" s="88"/>
      <c r="AE193" s="88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</row>
    <row r="194" spans="1:64" ht="15.75" customHeight="1" x14ac:dyDescent="0.2">
      <c r="A194" s="86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7"/>
      <c r="U194" s="87"/>
      <c r="V194" s="87"/>
      <c r="W194" s="87"/>
      <c r="X194" s="87"/>
      <c r="Y194" s="87"/>
      <c r="Z194" s="87"/>
      <c r="AA194" s="87"/>
      <c r="AB194" s="88"/>
      <c r="AC194" s="88"/>
      <c r="AD194" s="88"/>
      <c r="AE194" s="88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86"/>
      <c r="AR194" s="86"/>
      <c r="AS194" s="86"/>
      <c r="AT194" s="86"/>
      <c r="AU194" s="86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</row>
    <row r="195" spans="1:64" ht="15.75" customHeight="1" x14ac:dyDescent="0.2">
      <c r="A195" s="86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6"/>
      <c r="P195" s="86"/>
      <c r="Q195" s="86"/>
      <c r="R195" s="86"/>
      <c r="S195" s="86"/>
      <c r="T195" s="87"/>
      <c r="U195" s="87"/>
      <c r="V195" s="87"/>
      <c r="W195" s="87"/>
      <c r="X195" s="87"/>
      <c r="Y195" s="87"/>
      <c r="Z195" s="87"/>
      <c r="AA195" s="87"/>
      <c r="AB195" s="88"/>
      <c r="AC195" s="88"/>
      <c r="AD195" s="88"/>
      <c r="AE195" s="88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86"/>
      <c r="AR195" s="86"/>
      <c r="AS195" s="86"/>
      <c r="AT195" s="86"/>
      <c r="AU195" s="86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</row>
    <row r="196" spans="1:64" ht="15.75" customHeight="1" x14ac:dyDescent="0.2">
      <c r="A196" s="86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6"/>
      <c r="P196" s="86"/>
      <c r="Q196" s="86"/>
      <c r="R196" s="86"/>
      <c r="S196" s="86"/>
      <c r="T196" s="87"/>
      <c r="U196" s="87"/>
      <c r="V196" s="87"/>
      <c r="W196" s="87"/>
      <c r="X196" s="87"/>
      <c r="Y196" s="87"/>
      <c r="Z196" s="87"/>
      <c r="AA196" s="87"/>
      <c r="AB196" s="88"/>
      <c r="AC196" s="88"/>
      <c r="AD196" s="88"/>
      <c r="AE196" s="88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86"/>
      <c r="AR196" s="86"/>
      <c r="AS196" s="86"/>
      <c r="AT196" s="86"/>
      <c r="AU196" s="86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</row>
    <row r="197" spans="1:64" ht="15.75" customHeight="1" x14ac:dyDescent="0.2">
      <c r="A197" s="86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6"/>
      <c r="P197" s="86"/>
      <c r="Q197" s="86"/>
      <c r="R197" s="86"/>
      <c r="S197" s="86"/>
      <c r="T197" s="87"/>
      <c r="U197" s="87"/>
      <c r="V197" s="87"/>
      <c r="W197" s="87"/>
      <c r="X197" s="87"/>
      <c r="Y197" s="87"/>
      <c r="Z197" s="87"/>
      <c r="AA197" s="87"/>
      <c r="AB197" s="88"/>
      <c r="AC197" s="88"/>
      <c r="AD197" s="88"/>
      <c r="AE197" s="88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86"/>
      <c r="AR197" s="86"/>
      <c r="AS197" s="86"/>
      <c r="AT197" s="86"/>
      <c r="AU197" s="86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</row>
    <row r="198" spans="1:64" ht="15.75" customHeight="1" x14ac:dyDescent="0.2">
      <c r="A198" s="86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7"/>
      <c r="U198" s="87"/>
      <c r="V198" s="87"/>
      <c r="W198" s="87"/>
      <c r="X198" s="87"/>
      <c r="Y198" s="87"/>
      <c r="Z198" s="87"/>
      <c r="AA198" s="87"/>
      <c r="AB198" s="88"/>
      <c r="AC198" s="88"/>
      <c r="AD198" s="88"/>
      <c r="AE198" s="88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</row>
    <row r="199" spans="1:64" ht="15.75" customHeight="1" x14ac:dyDescent="0.2">
      <c r="A199" s="86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6"/>
      <c r="P199" s="86"/>
      <c r="Q199" s="86"/>
      <c r="R199" s="86"/>
      <c r="S199" s="86"/>
      <c r="T199" s="87"/>
      <c r="U199" s="87"/>
      <c r="V199" s="87"/>
      <c r="W199" s="87"/>
      <c r="X199" s="87"/>
      <c r="Y199" s="87"/>
      <c r="Z199" s="87"/>
      <c r="AA199" s="87"/>
      <c r="AB199" s="88"/>
      <c r="AC199" s="88"/>
      <c r="AD199" s="88"/>
      <c r="AE199" s="88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86"/>
      <c r="AR199" s="86"/>
      <c r="AS199" s="86"/>
      <c r="AT199" s="86"/>
      <c r="AU199" s="86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</row>
    <row r="200" spans="1:64" ht="15.75" customHeight="1" x14ac:dyDescent="0.2">
      <c r="A200" s="86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6"/>
      <c r="P200" s="86"/>
      <c r="Q200" s="86"/>
      <c r="R200" s="86"/>
      <c r="S200" s="86"/>
      <c r="T200" s="87"/>
      <c r="U200" s="87"/>
      <c r="V200" s="87"/>
      <c r="W200" s="87"/>
      <c r="X200" s="87"/>
      <c r="Y200" s="87"/>
      <c r="Z200" s="87"/>
      <c r="AA200" s="87"/>
      <c r="AB200" s="88"/>
      <c r="AC200" s="88"/>
      <c r="AD200" s="88"/>
      <c r="AE200" s="88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86"/>
      <c r="AR200" s="86"/>
      <c r="AS200" s="86"/>
      <c r="AT200" s="86"/>
      <c r="AU200" s="86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</row>
    <row r="201" spans="1:64" ht="15.75" customHeight="1" x14ac:dyDescent="0.2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7"/>
      <c r="U201" s="87"/>
      <c r="V201" s="87"/>
      <c r="W201" s="87"/>
      <c r="X201" s="87"/>
      <c r="Y201" s="87"/>
      <c r="Z201" s="87"/>
      <c r="AA201" s="87"/>
      <c r="AB201" s="88"/>
      <c r="AC201" s="88"/>
      <c r="AD201" s="88"/>
      <c r="AE201" s="88"/>
      <c r="AF201" s="89"/>
      <c r="AG201" s="89"/>
      <c r="AH201" s="89"/>
      <c r="AI201" s="89"/>
      <c r="AJ201" s="89"/>
      <c r="AK201" s="89"/>
      <c r="AL201" s="89"/>
      <c r="AM201" s="89"/>
      <c r="AN201" s="89"/>
      <c r="AO201" s="89"/>
      <c r="AP201" s="89"/>
      <c r="AQ201" s="89"/>
      <c r="AR201" s="89"/>
      <c r="AS201" s="89"/>
      <c r="AT201" s="89"/>
      <c r="AU201" s="89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</row>
    <row r="202" spans="1:64" ht="15.75" customHeight="1" x14ac:dyDescent="0.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7"/>
      <c r="U202" s="87"/>
      <c r="V202" s="87"/>
      <c r="W202" s="87"/>
      <c r="X202" s="87"/>
      <c r="Y202" s="87"/>
      <c r="Z202" s="87"/>
      <c r="AA202" s="87"/>
      <c r="AB202" s="88"/>
      <c r="AC202" s="88"/>
      <c r="AD202" s="88"/>
      <c r="AE202" s="88"/>
      <c r="AF202" s="89"/>
      <c r="AG202" s="89"/>
      <c r="AH202" s="89"/>
      <c r="AI202" s="89"/>
      <c r="AJ202" s="89"/>
      <c r="AK202" s="89"/>
      <c r="AL202" s="89"/>
      <c r="AM202" s="89"/>
      <c r="AN202" s="89"/>
      <c r="AO202" s="89"/>
      <c r="AP202" s="89"/>
      <c r="AQ202" s="89"/>
      <c r="AR202" s="89"/>
      <c r="AS202" s="89"/>
      <c r="AT202" s="89"/>
      <c r="AU202" s="89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</row>
    <row r="203" spans="1:64" ht="15.75" customHeight="1" x14ac:dyDescent="0.2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90"/>
      <c r="U203" s="90"/>
      <c r="V203" s="90"/>
      <c r="W203" s="90"/>
      <c r="X203" s="90"/>
      <c r="Y203" s="90"/>
      <c r="Z203" s="90"/>
      <c r="AA203" s="90"/>
      <c r="AB203" s="91"/>
      <c r="AC203" s="91"/>
      <c r="AD203" s="91"/>
      <c r="AE203" s="91"/>
      <c r="AF203" s="89"/>
      <c r="AG203" s="89"/>
      <c r="AH203" s="89"/>
      <c r="AI203" s="89"/>
      <c r="AJ203" s="89"/>
      <c r="AK203" s="89"/>
      <c r="AL203" s="89"/>
      <c r="AM203" s="89"/>
      <c r="AN203" s="89"/>
      <c r="AO203" s="89"/>
      <c r="AP203" s="89"/>
      <c r="AQ203" s="89"/>
      <c r="AR203" s="89"/>
      <c r="AS203" s="89"/>
      <c r="AT203" s="89"/>
      <c r="AU203" s="89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</row>
    <row r="204" spans="1:64" ht="15.75" customHeight="1" x14ac:dyDescent="0.2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90"/>
      <c r="U204" s="90"/>
      <c r="V204" s="90"/>
      <c r="W204" s="90"/>
      <c r="X204" s="90"/>
      <c r="Y204" s="90"/>
      <c r="Z204" s="90"/>
      <c r="AA204" s="90"/>
      <c r="AB204" s="91"/>
      <c r="AC204" s="91"/>
      <c r="AD204" s="91"/>
      <c r="AE204" s="91"/>
      <c r="AF204" s="89"/>
      <c r="AG204" s="89"/>
      <c r="AH204" s="89"/>
      <c r="AI204" s="89"/>
      <c r="AJ204" s="89"/>
      <c r="AK204" s="89"/>
      <c r="AL204" s="89"/>
      <c r="AM204" s="89"/>
      <c r="AN204" s="89"/>
      <c r="AO204" s="89"/>
      <c r="AP204" s="89"/>
      <c r="AQ204" s="89"/>
      <c r="AR204" s="89"/>
      <c r="AS204" s="89"/>
      <c r="AT204" s="89"/>
      <c r="AU204" s="89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</row>
    <row r="205" spans="1:64" ht="15.75" customHeight="1" x14ac:dyDescent="0.2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90"/>
      <c r="U205" s="90"/>
      <c r="V205" s="90"/>
      <c r="W205" s="90"/>
      <c r="X205" s="90"/>
      <c r="Y205" s="90"/>
      <c r="Z205" s="90"/>
      <c r="AA205" s="90"/>
      <c r="AB205" s="91"/>
      <c r="AC205" s="91"/>
      <c r="AD205" s="91"/>
      <c r="AE205" s="91"/>
      <c r="AF205" s="89"/>
      <c r="AG205" s="89"/>
      <c r="AH205" s="89"/>
      <c r="AI205" s="89"/>
      <c r="AJ205" s="89"/>
      <c r="AK205" s="89"/>
      <c r="AL205" s="89"/>
      <c r="AM205" s="89"/>
      <c r="AN205" s="89"/>
      <c r="AO205" s="89"/>
      <c r="AP205" s="89"/>
      <c r="AQ205" s="89"/>
      <c r="AR205" s="89"/>
      <c r="AS205" s="89"/>
      <c r="AT205" s="89"/>
      <c r="AU205" s="89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</row>
    <row r="206" spans="1:64" ht="15.75" customHeight="1" x14ac:dyDescent="0.2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90"/>
      <c r="U206" s="90"/>
      <c r="V206" s="90"/>
      <c r="W206" s="90"/>
      <c r="X206" s="90"/>
      <c r="Y206" s="90"/>
      <c r="Z206" s="90"/>
      <c r="AA206" s="90"/>
      <c r="AB206" s="91"/>
      <c r="AC206" s="91"/>
      <c r="AD206" s="91"/>
      <c r="AE206" s="91"/>
      <c r="AF206" s="89"/>
      <c r="AG206" s="89"/>
      <c r="AH206" s="89"/>
      <c r="AI206" s="89"/>
      <c r="AJ206" s="89"/>
      <c r="AK206" s="89"/>
      <c r="AL206" s="89"/>
      <c r="AM206" s="89"/>
      <c r="AN206" s="89"/>
      <c r="AO206" s="89"/>
      <c r="AP206" s="89"/>
      <c r="AQ206" s="89"/>
      <c r="AR206" s="89"/>
      <c r="AS206" s="89"/>
      <c r="AT206" s="89"/>
      <c r="AU206" s="89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</row>
    <row r="207" spans="1:64" ht="15.75" customHeight="1" x14ac:dyDescent="0.2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90"/>
      <c r="U207" s="90"/>
      <c r="V207" s="90"/>
      <c r="W207" s="90"/>
      <c r="X207" s="90"/>
      <c r="Y207" s="90"/>
      <c r="Z207" s="90"/>
      <c r="AA207" s="90"/>
      <c r="AB207" s="91"/>
      <c r="AC207" s="91"/>
      <c r="AD207" s="91"/>
      <c r="AE207" s="91"/>
      <c r="AF207" s="89"/>
      <c r="AG207" s="89"/>
      <c r="AH207" s="89"/>
      <c r="AI207" s="89"/>
      <c r="AJ207" s="89"/>
      <c r="AK207" s="89"/>
      <c r="AL207" s="89"/>
      <c r="AM207" s="89"/>
      <c r="AN207" s="89"/>
      <c r="AO207" s="89"/>
      <c r="AP207" s="89"/>
      <c r="AQ207" s="89"/>
      <c r="AR207" s="89"/>
      <c r="AS207" s="89"/>
      <c r="AT207" s="89"/>
      <c r="AU207" s="89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</row>
    <row r="208" spans="1:64" ht="15.75" customHeight="1" x14ac:dyDescent="0.2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90"/>
      <c r="U208" s="90"/>
      <c r="V208" s="90"/>
      <c r="W208" s="90"/>
      <c r="X208" s="90"/>
      <c r="Y208" s="90"/>
      <c r="Z208" s="90"/>
      <c r="AA208" s="90"/>
      <c r="AB208" s="91"/>
      <c r="AC208" s="91"/>
      <c r="AD208" s="91"/>
      <c r="AE208" s="91"/>
      <c r="AF208" s="89"/>
      <c r="AG208" s="89"/>
      <c r="AH208" s="89"/>
      <c r="AI208" s="89"/>
      <c r="AJ208" s="89"/>
      <c r="AK208" s="89"/>
      <c r="AL208" s="89"/>
      <c r="AM208" s="89"/>
      <c r="AN208" s="89"/>
      <c r="AO208" s="89"/>
      <c r="AP208" s="89"/>
      <c r="AQ208" s="89"/>
      <c r="AR208" s="89"/>
      <c r="AS208" s="89"/>
      <c r="AT208" s="89"/>
      <c r="AU208" s="89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</row>
    <row r="209" spans="1:64" ht="15.75" customHeight="1" x14ac:dyDescent="0.2">
      <c r="A209" s="86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6"/>
      <c r="P209" s="86"/>
      <c r="Q209" s="86"/>
      <c r="R209" s="86"/>
      <c r="S209" s="86"/>
      <c r="T209" s="90"/>
      <c r="U209" s="90"/>
      <c r="V209" s="90"/>
      <c r="W209" s="90"/>
      <c r="X209" s="90"/>
      <c r="Y209" s="90"/>
      <c r="Z209" s="90"/>
      <c r="AA209" s="90"/>
      <c r="AB209" s="91"/>
      <c r="AC209" s="91"/>
      <c r="AD209" s="91"/>
      <c r="AE209" s="91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86"/>
      <c r="AR209" s="86"/>
      <c r="AS209" s="86"/>
      <c r="AT209" s="86"/>
      <c r="AU209" s="86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</row>
    <row r="210" spans="1:64" ht="15.75" customHeight="1" x14ac:dyDescent="0.2">
      <c r="A210" s="86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6"/>
      <c r="P210" s="86"/>
      <c r="Q210" s="86"/>
      <c r="R210" s="86"/>
      <c r="S210" s="86"/>
      <c r="T210" s="90"/>
      <c r="U210" s="90"/>
      <c r="V210" s="90"/>
      <c r="W210" s="90"/>
      <c r="X210" s="90"/>
      <c r="Y210" s="90"/>
      <c r="Z210" s="90"/>
      <c r="AA210" s="90"/>
      <c r="AB210" s="91"/>
      <c r="AC210" s="91"/>
      <c r="AD210" s="91"/>
      <c r="AE210" s="91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86"/>
      <c r="AR210" s="86"/>
      <c r="AS210" s="86"/>
      <c r="AT210" s="86"/>
      <c r="AU210" s="86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</row>
    <row r="211" spans="1:64" ht="15.75" customHeight="1" x14ac:dyDescent="0.2">
      <c r="A211" s="86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6"/>
      <c r="P211" s="86"/>
      <c r="Q211" s="86"/>
      <c r="R211" s="86"/>
      <c r="S211" s="86"/>
      <c r="T211" s="90"/>
      <c r="U211" s="90"/>
      <c r="V211" s="90"/>
      <c r="W211" s="90"/>
      <c r="X211" s="90"/>
      <c r="Y211" s="90"/>
      <c r="Z211" s="90"/>
      <c r="AA211" s="90"/>
      <c r="AB211" s="91"/>
      <c r="AC211" s="91"/>
      <c r="AD211" s="91"/>
      <c r="AE211" s="91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86"/>
      <c r="AR211" s="86"/>
      <c r="AS211" s="86"/>
      <c r="AT211" s="86"/>
      <c r="AU211" s="86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</row>
    <row r="212" spans="1:64" ht="15.75" customHeight="1" x14ac:dyDescent="0.2">
      <c r="A212" s="86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6"/>
      <c r="P212" s="86"/>
      <c r="Q212" s="86"/>
      <c r="R212" s="86"/>
      <c r="S212" s="86"/>
      <c r="T212" s="90"/>
      <c r="U212" s="90"/>
      <c r="V212" s="90"/>
      <c r="W212" s="90"/>
      <c r="X212" s="90"/>
      <c r="Y212" s="90"/>
      <c r="Z212" s="90"/>
      <c r="AA212" s="90"/>
      <c r="AB212" s="91"/>
      <c r="AC212" s="91"/>
      <c r="AD212" s="91"/>
      <c r="AE212" s="91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86"/>
      <c r="AR212" s="86"/>
      <c r="AS212" s="86"/>
      <c r="AT212" s="86"/>
      <c r="AU212" s="86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</row>
    <row r="213" spans="1:64" ht="15.75" customHeight="1" x14ac:dyDescent="0.2">
      <c r="A213" s="86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6"/>
      <c r="P213" s="86"/>
      <c r="Q213" s="86"/>
      <c r="R213" s="86"/>
      <c r="S213" s="86"/>
      <c r="T213" s="90"/>
      <c r="U213" s="90"/>
      <c r="V213" s="90"/>
      <c r="W213" s="90"/>
      <c r="X213" s="90"/>
      <c r="Y213" s="90"/>
      <c r="Z213" s="90"/>
      <c r="AA213" s="90"/>
      <c r="AB213" s="91"/>
      <c r="AC213" s="91"/>
      <c r="AD213" s="91"/>
      <c r="AE213" s="91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86"/>
      <c r="AR213" s="86"/>
      <c r="AS213" s="86"/>
      <c r="AT213" s="86"/>
      <c r="AU213" s="86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</row>
    <row r="214" spans="1:64" ht="15.75" customHeight="1" x14ac:dyDescent="0.2">
      <c r="A214" s="86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6"/>
      <c r="P214" s="86"/>
      <c r="Q214" s="86"/>
      <c r="R214" s="86"/>
      <c r="S214" s="86"/>
      <c r="T214" s="90"/>
      <c r="U214" s="90"/>
      <c r="V214" s="90"/>
      <c r="W214" s="90"/>
      <c r="X214" s="90"/>
      <c r="Y214" s="90"/>
      <c r="Z214" s="90"/>
      <c r="AA214" s="90"/>
      <c r="AB214" s="91"/>
      <c r="AC214" s="91"/>
      <c r="AD214" s="91"/>
      <c r="AE214" s="91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86"/>
      <c r="AR214" s="86"/>
      <c r="AS214" s="86"/>
      <c r="AT214" s="86"/>
      <c r="AU214" s="86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</row>
    <row r="215" spans="1:64" ht="15.75" customHeight="1" x14ac:dyDescent="0.2">
      <c r="A215" s="86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6"/>
      <c r="P215" s="86"/>
      <c r="Q215" s="86"/>
      <c r="R215" s="86"/>
      <c r="S215" s="86"/>
      <c r="T215" s="90"/>
      <c r="U215" s="90"/>
      <c r="V215" s="90"/>
      <c r="W215" s="90"/>
      <c r="X215" s="90"/>
      <c r="Y215" s="90"/>
      <c r="Z215" s="90"/>
      <c r="AA215" s="90"/>
      <c r="AB215" s="91"/>
      <c r="AC215" s="91"/>
      <c r="AD215" s="91"/>
      <c r="AE215" s="91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86"/>
      <c r="AR215" s="86"/>
      <c r="AS215" s="86"/>
      <c r="AT215" s="86"/>
      <c r="AU215" s="86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</row>
    <row r="216" spans="1:64" ht="15.75" customHeight="1" x14ac:dyDescent="0.2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90"/>
      <c r="U216" s="90"/>
      <c r="V216" s="90"/>
      <c r="W216" s="90"/>
      <c r="X216" s="90"/>
      <c r="Y216" s="90"/>
      <c r="Z216" s="90"/>
      <c r="AA216" s="90"/>
      <c r="AB216" s="91"/>
      <c r="AC216" s="91"/>
      <c r="AD216" s="91"/>
      <c r="AE216" s="91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86"/>
      <c r="AR216" s="86"/>
      <c r="AS216" s="86"/>
      <c r="AT216" s="86"/>
      <c r="AU216" s="86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</row>
    <row r="217" spans="1:64" ht="15.75" customHeight="1" x14ac:dyDescent="0.2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90"/>
      <c r="U217" s="90"/>
      <c r="V217" s="90"/>
      <c r="W217" s="90"/>
      <c r="X217" s="90"/>
      <c r="Y217" s="90"/>
      <c r="Z217" s="90"/>
      <c r="AA217" s="90"/>
      <c r="AB217" s="91"/>
      <c r="AC217" s="91"/>
      <c r="AD217" s="91"/>
      <c r="AE217" s="91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86"/>
      <c r="AR217" s="86"/>
      <c r="AS217" s="86"/>
      <c r="AT217" s="86"/>
      <c r="AU217" s="86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</row>
    <row r="218" spans="1:64" ht="15.75" customHeight="1" x14ac:dyDescent="0.2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90"/>
      <c r="U218" s="90"/>
      <c r="V218" s="90"/>
      <c r="W218" s="90"/>
      <c r="X218" s="90"/>
      <c r="Y218" s="90"/>
      <c r="Z218" s="90"/>
      <c r="AA218" s="90"/>
      <c r="AB218" s="91"/>
      <c r="AC218" s="91"/>
      <c r="AD218" s="91"/>
      <c r="AE218" s="91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86"/>
      <c r="AR218" s="86"/>
      <c r="AS218" s="86"/>
      <c r="AT218" s="86"/>
      <c r="AU218" s="86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</row>
    <row r="219" spans="1:64" ht="15.75" customHeight="1" x14ac:dyDescent="0.2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90"/>
      <c r="U219" s="90"/>
      <c r="V219" s="90"/>
      <c r="W219" s="90"/>
      <c r="X219" s="90"/>
      <c r="Y219" s="90"/>
      <c r="Z219" s="90"/>
      <c r="AA219" s="90"/>
      <c r="AB219" s="91"/>
      <c r="AC219" s="91"/>
      <c r="AD219" s="91"/>
      <c r="AE219" s="91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86"/>
      <c r="AR219" s="86"/>
      <c r="AS219" s="86"/>
      <c r="AT219" s="86"/>
      <c r="AU219" s="86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</row>
    <row r="220" spans="1:64" ht="15.75" customHeight="1" x14ac:dyDescent="0.2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90"/>
      <c r="U220" s="90"/>
      <c r="V220" s="90"/>
      <c r="W220" s="90"/>
      <c r="X220" s="90"/>
      <c r="Y220" s="90"/>
      <c r="Z220" s="90"/>
      <c r="AA220" s="90"/>
      <c r="AB220" s="91"/>
      <c r="AC220" s="91"/>
      <c r="AD220" s="91"/>
      <c r="AE220" s="91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86"/>
      <c r="AR220" s="86"/>
      <c r="AS220" s="86"/>
      <c r="AT220" s="86"/>
      <c r="AU220" s="86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</row>
    <row r="221" spans="1:64" ht="15.75" customHeight="1" x14ac:dyDescent="0.2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90"/>
      <c r="U221" s="90"/>
      <c r="V221" s="90"/>
      <c r="W221" s="90"/>
      <c r="X221" s="90"/>
      <c r="Y221" s="90"/>
      <c r="Z221" s="90"/>
      <c r="AA221" s="90"/>
      <c r="AB221" s="91"/>
      <c r="AC221" s="91"/>
      <c r="AD221" s="91"/>
      <c r="AE221" s="91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86"/>
      <c r="AR221" s="86"/>
      <c r="AS221" s="86"/>
      <c r="AT221" s="86"/>
      <c r="AU221" s="86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</row>
    <row r="222" spans="1:64" ht="15.75" customHeight="1" x14ac:dyDescent="0.2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90"/>
      <c r="U222" s="90"/>
      <c r="V222" s="90"/>
      <c r="W222" s="90"/>
      <c r="X222" s="90"/>
      <c r="Y222" s="90"/>
      <c r="Z222" s="90"/>
      <c r="AA222" s="90"/>
      <c r="AB222" s="91"/>
      <c r="AC222" s="91"/>
      <c r="AD222" s="91"/>
      <c r="AE222" s="91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86"/>
      <c r="AR222" s="86"/>
      <c r="AS222" s="86"/>
      <c r="AT222" s="86"/>
      <c r="AU222" s="86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</row>
    <row r="223" spans="1:64" ht="15.75" customHeight="1" x14ac:dyDescent="0.2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90"/>
      <c r="U223" s="90"/>
      <c r="V223" s="90"/>
      <c r="W223" s="90"/>
      <c r="X223" s="90"/>
      <c r="Y223" s="90"/>
      <c r="Z223" s="90"/>
      <c r="AA223" s="90"/>
      <c r="AB223" s="91"/>
      <c r="AC223" s="91"/>
      <c r="AD223" s="91"/>
      <c r="AE223" s="91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86"/>
      <c r="AR223" s="86"/>
      <c r="AS223" s="86"/>
      <c r="AT223" s="86"/>
      <c r="AU223" s="86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</row>
    <row r="224" spans="1:64" ht="15.75" customHeight="1" x14ac:dyDescent="0.2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90"/>
      <c r="U224" s="90"/>
      <c r="V224" s="90"/>
      <c r="W224" s="90"/>
      <c r="X224" s="90"/>
      <c r="Y224" s="90"/>
      <c r="Z224" s="90"/>
      <c r="AA224" s="90"/>
      <c r="AB224" s="91"/>
      <c r="AC224" s="91"/>
      <c r="AD224" s="91"/>
      <c r="AE224" s="91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86"/>
      <c r="AR224" s="86"/>
      <c r="AS224" s="86"/>
      <c r="AT224" s="86"/>
      <c r="AU224" s="86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</row>
    <row r="225" spans="1:64" ht="15.75" customHeight="1" x14ac:dyDescent="0.2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90"/>
      <c r="U225" s="90"/>
      <c r="V225" s="90"/>
      <c r="W225" s="90"/>
      <c r="X225" s="90"/>
      <c r="Y225" s="90"/>
      <c r="Z225" s="90"/>
      <c r="AA225" s="90"/>
      <c r="AB225" s="91"/>
      <c r="AC225" s="91"/>
      <c r="AD225" s="91"/>
      <c r="AE225" s="91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86"/>
      <c r="AR225" s="86"/>
      <c r="AS225" s="86"/>
      <c r="AT225" s="86"/>
      <c r="AU225" s="86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</row>
    <row r="226" spans="1:64" ht="15.75" customHeight="1" x14ac:dyDescent="0.2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90"/>
      <c r="U226" s="90"/>
      <c r="V226" s="90"/>
      <c r="W226" s="90"/>
      <c r="X226" s="90"/>
      <c r="Y226" s="90"/>
      <c r="Z226" s="90"/>
      <c r="AA226" s="90"/>
      <c r="AB226" s="91"/>
      <c r="AC226" s="91"/>
      <c r="AD226" s="91"/>
      <c r="AE226" s="91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86"/>
      <c r="AR226" s="86"/>
      <c r="AS226" s="86"/>
      <c r="AT226" s="86"/>
      <c r="AU226" s="86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</row>
    <row r="227" spans="1:64" ht="15.75" customHeight="1" x14ac:dyDescent="0.2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90"/>
      <c r="U227" s="90"/>
      <c r="V227" s="90"/>
      <c r="W227" s="90"/>
      <c r="X227" s="90"/>
      <c r="Y227" s="90"/>
      <c r="Z227" s="90"/>
      <c r="AA227" s="90"/>
      <c r="AB227" s="91"/>
      <c r="AC227" s="91"/>
      <c r="AD227" s="91"/>
      <c r="AE227" s="91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86"/>
      <c r="AR227" s="86"/>
      <c r="AS227" s="86"/>
      <c r="AT227" s="86"/>
      <c r="AU227" s="86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</row>
    <row r="228" spans="1:64" ht="15.75" customHeight="1" x14ac:dyDescent="0.2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90"/>
      <c r="U228" s="90"/>
      <c r="V228" s="90"/>
      <c r="W228" s="90"/>
      <c r="X228" s="90"/>
      <c r="Y228" s="90"/>
      <c r="Z228" s="90"/>
      <c r="AA228" s="90"/>
      <c r="AB228" s="91"/>
      <c r="AC228" s="91"/>
      <c r="AD228" s="91"/>
      <c r="AE228" s="91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86"/>
      <c r="AR228" s="86"/>
      <c r="AS228" s="86"/>
      <c r="AT228" s="86"/>
      <c r="AU228" s="86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</row>
    <row r="229" spans="1:64" ht="15.75" customHeight="1" x14ac:dyDescent="0.2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90"/>
      <c r="U229" s="90"/>
      <c r="V229" s="90"/>
      <c r="W229" s="90"/>
      <c r="X229" s="90"/>
      <c r="Y229" s="90"/>
      <c r="Z229" s="90"/>
      <c r="AA229" s="90"/>
      <c r="AB229" s="91"/>
      <c r="AC229" s="91"/>
      <c r="AD229" s="91"/>
      <c r="AE229" s="91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86"/>
      <c r="AR229" s="86"/>
      <c r="AS229" s="86"/>
      <c r="AT229" s="86"/>
      <c r="AU229" s="86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</row>
    <row r="230" spans="1:64" ht="15.75" customHeight="1" x14ac:dyDescent="0.2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90"/>
      <c r="U230" s="90"/>
      <c r="V230" s="90"/>
      <c r="W230" s="90"/>
      <c r="X230" s="90"/>
      <c r="Y230" s="90"/>
      <c r="Z230" s="90"/>
      <c r="AA230" s="90"/>
      <c r="AB230" s="91"/>
      <c r="AC230" s="91"/>
      <c r="AD230" s="91"/>
      <c r="AE230" s="91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86"/>
      <c r="AR230" s="86"/>
      <c r="AS230" s="86"/>
      <c r="AT230" s="86"/>
      <c r="AU230" s="86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</row>
    <row r="231" spans="1:64" ht="15.75" customHeight="1" x14ac:dyDescent="0.2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90"/>
      <c r="U231" s="90"/>
      <c r="V231" s="90"/>
      <c r="W231" s="90"/>
      <c r="X231" s="90"/>
      <c r="Y231" s="90"/>
      <c r="Z231" s="90"/>
      <c r="AA231" s="90"/>
      <c r="AB231" s="91"/>
      <c r="AC231" s="91"/>
      <c r="AD231" s="91"/>
      <c r="AE231" s="91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</row>
    <row r="232" spans="1:64" ht="15.75" customHeight="1" x14ac:dyDescent="0.2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90"/>
      <c r="U232" s="90"/>
      <c r="V232" s="90"/>
      <c r="W232" s="90"/>
      <c r="X232" s="90"/>
      <c r="Y232" s="90"/>
      <c r="Z232" s="90"/>
      <c r="AA232" s="90"/>
      <c r="AB232" s="91"/>
      <c r="AC232" s="91"/>
      <c r="AD232" s="91"/>
      <c r="AE232" s="91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  <c r="AQ232" s="86"/>
      <c r="AR232" s="86"/>
      <c r="AS232" s="86"/>
      <c r="AT232" s="86"/>
      <c r="AU232" s="86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</row>
    <row r="233" spans="1:64" ht="15.75" customHeight="1" x14ac:dyDescent="0.2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90"/>
      <c r="U233" s="90"/>
      <c r="V233" s="90"/>
      <c r="W233" s="90"/>
      <c r="X233" s="90"/>
      <c r="Y233" s="90"/>
      <c r="Z233" s="90"/>
      <c r="AA233" s="90"/>
      <c r="AB233" s="91"/>
      <c r="AC233" s="91"/>
      <c r="AD233" s="91"/>
      <c r="AE233" s="91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  <c r="AQ233" s="86"/>
      <c r="AR233" s="86"/>
      <c r="AS233" s="86"/>
      <c r="AT233" s="86"/>
      <c r="AU233" s="86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</row>
    <row r="234" spans="1:64" ht="15.75" customHeight="1" x14ac:dyDescent="0.2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90"/>
      <c r="U234" s="90"/>
      <c r="V234" s="90"/>
      <c r="W234" s="90"/>
      <c r="X234" s="90"/>
      <c r="Y234" s="90"/>
      <c r="Z234" s="90"/>
      <c r="AA234" s="90"/>
      <c r="AB234" s="91"/>
      <c r="AC234" s="91"/>
      <c r="AD234" s="91"/>
      <c r="AE234" s="91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  <c r="AQ234" s="86"/>
      <c r="AR234" s="86"/>
      <c r="AS234" s="86"/>
      <c r="AT234" s="86"/>
      <c r="AU234" s="86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</row>
    <row r="235" spans="1:64" ht="15.75" customHeight="1" x14ac:dyDescent="0.2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90"/>
      <c r="U235" s="90"/>
      <c r="V235" s="90"/>
      <c r="W235" s="90"/>
      <c r="X235" s="90"/>
      <c r="Y235" s="90"/>
      <c r="Z235" s="90"/>
      <c r="AA235" s="90"/>
      <c r="AB235" s="91"/>
      <c r="AC235" s="91"/>
      <c r="AD235" s="91"/>
      <c r="AE235" s="91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  <c r="AQ235" s="86"/>
      <c r="AR235" s="86"/>
      <c r="AS235" s="86"/>
      <c r="AT235" s="86"/>
      <c r="AU235" s="86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</row>
    <row r="236" spans="1:64" ht="15.75" customHeight="1" x14ac:dyDescent="0.2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90"/>
      <c r="U236" s="90"/>
      <c r="V236" s="90"/>
      <c r="W236" s="90"/>
      <c r="X236" s="90"/>
      <c r="Y236" s="90"/>
      <c r="Z236" s="90"/>
      <c r="AA236" s="90"/>
      <c r="AB236" s="91"/>
      <c r="AC236" s="91"/>
      <c r="AD236" s="91"/>
      <c r="AE236" s="91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  <c r="AQ236" s="86"/>
      <c r="AR236" s="86"/>
      <c r="AS236" s="86"/>
      <c r="AT236" s="86"/>
      <c r="AU236" s="86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</row>
    <row r="237" spans="1:64" ht="15.75" customHeight="1" x14ac:dyDescent="0.2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90"/>
      <c r="U237" s="90"/>
      <c r="V237" s="90"/>
      <c r="W237" s="90"/>
      <c r="X237" s="90"/>
      <c r="Y237" s="90"/>
      <c r="Z237" s="90"/>
      <c r="AA237" s="90"/>
      <c r="AB237" s="91"/>
      <c r="AC237" s="91"/>
      <c r="AD237" s="91"/>
      <c r="AE237" s="91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  <c r="AQ237" s="86"/>
      <c r="AR237" s="86"/>
      <c r="AS237" s="86"/>
      <c r="AT237" s="86"/>
      <c r="AU237" s="86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</row>
    <row r="238" spans="1:64" ht="15.75" customHeight="1" x14ac:dyDescent="0.2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90"/>
      <c r="U238" s="90"/>
      <c r="V238" s="90"/>
      <c r="W238" s="90"/>
      <c r="X238" s="90"/>
      <c r="Y238" s="90"/>
      <c r="Z238" s="90"/>
      <c r="AA238" s="90"/>
      <c r="AB238" s="91"/>
      <c r="AC238" s="91"/>
      <c r="AD238" s="91"/>
      <c r="AE238" s="91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  <c r="AQ238" s="86"/>
      <c r="AR238" s="86"/>
      <c r="AS238" s="86"/>
      <c r="AT238" s="86"/>
      <c r="AU238" s="86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</row>
    <row r="239" spans="1:64" ht="15.75" customHeight="1" x14ac:dyDescent="0.2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90"/>
      <c r="U239" s="90"/>
      <c r="V239" s="90"/>
      <c r="W239" s="90"/>
      <c r="X239" s="90"/>
      <c r="Y239" s="90"/>
      <c r="Z239" s="90"/>
      <c r="AA239" s="90"/>
      <c r="AB239" s="91"/>
      <c r="AC239" s="91"/>
      <c r="AD239" s="91"/>
      <c r="AE239" s="91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  <c r="AQ239" s="86"/>
      <c r="AR239" s="86"/>
      <c r="AS239" s="86"/>
      <c r="AT239" s="86"/>
      <c r="AU239" s="86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</row>
    <row r="240" spans="1:64" ht="15.75" customHeight="1" x14ac:dyDescent="0.2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90"/>
      <c r="U240" s="90"/>
      <c r="V240" s="90"/>
      <c r="W240" s="90"/>
      <c r="X240" s="90"/>
      <c r="Y240" s="90"/>
      <c r="Z240" s="90"/>
      <c r="AA240" s="90"/>
      <c r="AB240" s="91"/>
      <c r="AC240" s="91"/>
      <c r="AD240" s="91"/>
      <c r="AE240" s="91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  <c r="AQ240" s="86"/>
      <c r="AR240" s="86"/>
      <c r="AS240" s="86"/>
      <c r="AT240" s="86"/>
      <c r="AU240" s="86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</row>
    <row r="241" spans="1:64" ht="15.75" customHeight="1" x14ac:dyDescent="0.2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90"/>
      <c r="U241" s="90"/>
      <c r="V241" s="90"/>
      <c r="W241" s="90"/>
      <c r="X241" s="90"/>
      <c r="Y241" s="90"/>
      <c r="Z241" s="90"/>
      <c r="AA241" s="90"/>
      <c r="AB241" s="91"/>
      <c r="AC241" s="91"/>
      <c r="AD241" s="91"/>
      <c r="AE241" s="91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  <c r="AQ241" s="86"/>
      <c r="AR241" s="86"/>
      <c r="AS241" s="86"/>
      <c r="AT241" s="86"/>
      <c r="AU241" s="86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</row>
    <row r="242" spans="1:64" ht="15.75" customHeight="1" x14ac:dyDescent="0.2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90"/>
      <c r="U242" s="90"/>
      <c r="V242" s="90"/>
      <c r="W242" s="90"/>
      <c r="X242" s="90"/>
      <c r="Y242" s="90"/>
      <c r="Z242" s="90"/>
      <c r="AA242" s="90"/>
      <c r="AB242" s="91"/>
      <c r="AC242" s="91"/>
      <c r="AD242" s="91"/>
      <c r="AE242" s="91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  <c r="AQ242" s="86"/>
      <c r="AR242" s="86"/>
      <c r="AS242" s="86"/>
      <c r="AT242" s="86"/>
      <c r="AU242" s="86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</row>
    <row r="243" spans="1:64" ht="15.75" customHeight="1" x14ac:dyDescent="0.2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90"/>
      <c r="U243" s="90"/>
      <c r="V243" s="90"/>
      <c r="W243" s="90"/>
      <c r="X243" s="90"/>
      <c r="Y243" s="90"/>
      <c r="Z243" s="90"/>
      <c r="AA243" s="90"/>
      <c r="AB243" s="91"/>
      <c r="AC243" s="91"/>
      <c r="AD243" s="91"/>
      <c r="AE243" s="91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  <c r="AQ243" s="86"/>
      <c r="AR243" s="86"/>
      <c r="AS243" s="86"/>
      <c r="AT243" s="86"/>
      <c r="AU243" s="86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</row>
    <row r="244" spans="1:64" ht="15.75" customHeight="1" x14ac:dyDescent="0.2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90"/>
      <c r="U244" s="90"/>
      <c r="V244" s="90"/>
      <c r="W244" s="90"/>
      <c r="X244" s="90"/>
      <c r="Y244" s="90"/>
      <c r="Z244" s="90"/>
      <c r="AA244" s="90"/>
      <c r="AB244" s="91"/>
      <c r="AC244" s="91"/>
      <c r="AD244" s="91"/>
      <c r="AE244" s="91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  <c r="AQ244" s="86"/>
      <c r="AR244" s="86"/>
      <c r="AS244" s="86"/>
      <c r="AT244" s="86"/>
      <c r="AU244" s="86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</row>
    <row r="245" spans="1:64" ht="15.75" customHeight="1" x14ac:dyDescent="0.2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90"/>
      <c r="U245" s="90"/>
      <c r="V245" s="90"/>
      <c r="W245" s="90"/>
      <c r="X245" s="90"/>
      <c r="Y245" s="90"/>
      <c r="Z245" s="90"/>
      <c r="AA245" s="90"/>
      <c r="AB245" s="91"/>
      <c r="AC245" s="91"/>
      <c r="AD245" s="91"/>
      <c r="AE245" s="91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  <c r="AQ245" s="86"/>
      <c r="AR245" s="86"/>
      <c r="AS245" s="86"/>
      <c r="AT245" s="86"/>
      <c r="AU245" s="86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</row>
    <row r="246" spans="1:64" ht="15.75" customHeight="1" x14ac:dyDescent="0.2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90"/>
      <c r="U246" s="90"/>
      <c r="V246" s="90"/>
      <c r="W246" s="90"/>
      <c r="X246" s="90"/>
      <c r="Y246" s="90"/>
      <c r="Z246" s="90"/>
      <c r="AA246" s="90"/>
      <c r="AB246" s="91"/>
      <c r="AC246" s="91"/>
      <c r="AD246" s="91"/>
      <c r="AE246" s="91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  <c r="AQ246" s="86"/>
      <c r="AR246" s="86"/>
      <c r="AS246" s="86"/>
      <c r="AT246" s="86"/>
      <c r="AU246" s="86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</row>
    <row r="247" spans="1:64" ht="15.75" customHeight="1" x14ac:dyDescent="0.2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90"/>
      <c r="U247" s="90"/>
      <c r="V247" s="90"/>
      <c r="W247" s="90"/>
      <c r="X247" s="90"/>
      <c r="Y247" s="90"/>
      <c r="Z247" s="90"/>
      <c r="AA247" s="90"/>
      <c r="AB247" s="91"/>
      <c r="AC247" s="91"/>
      <c r="AD247" s="91"/>
      <c r="AE247" s="91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  <c r="AQ247" s="86"/>
      <c r="AR247" s="86"/>
      <c r="AS247" s="86"/>
      <c r="AT247" s="86"/>
      <c r="AU247" s="86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</row>
    <row r="248" spans="1:64" ht="15.75" customHeight="1" x14ac:dyDescent="0.2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90"/>
      <c r="U248" s="90"/>
      <c r="V248" s="90"/>
      <c r="W248" s="90"/>
      <c r="X248" s="90"/>
      <c r="Y248" s="90"/>
      <c r="Z248" s="90"/>
      <c r="AA248" s="90"/>
      <c r="AB248" s="91"/>
      <c r="AC248" s="91"/>
      <c r="AD248" s="91"/>
      <c r="AE248" s="91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  <c r="AQ248" s="86"/>
      <c r="AR248" s="86"/>
      <c r="AS248" s="86"/>
      <c r="AT248" s="86"/>
      <c r="AU248" s="86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</row>
    <row r="249" spans="1:64" ht="15.75" customHeight="1" x14ac:dyDescent="0.2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90"/>
      <c r="U249" s="90"/>
      <c r="V249" s="90"/>
      <c r="W249" s="90"/>
      <c r="X249" s="90"/>
      <c r="Y249" s="90"/>
      <c r="Z249" s="90"/>
      <c r="AA249" s="90"/>
      <c r="AB249" s="91"/>
      <c r="AC249" s="91"/>
      <c r="AD249" s="91"/>
      <c r="AE249" s="91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  <c r="AQ249" s="86"/>
      <c r="AR249" s="86"/>
      <c r="AS249" s="86"/>
      <c r="AT249" s="86"/>
      <c r="AU249" s="86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</row>
    <row r="250" spans="1:64" ht="15.75" customHeight="1" x14ac:dyDescent="0.2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90"/>
      <c r="U250" s="90"/>
      <c r="V250" s="90"/>
      <c r="W250" s="90"/>
      <c r="X250" s="90"/>
      <c r="Y250" s="90"/>
      <c r="Z250" s="90"/>
      <c r="AA250" s="90"/>
      <c r="AB250" s="91"/>
      <c r="AC250" s="91"/>
      <c r="AD250" s="91"/>
      <c r="AE250" s="91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  <c r="AQ250" s="86"/>
      <c r="AR250" s="86"/>
      <c r="AS250" s="86"/>
      <c r="AT250" s="86"/>
      <c r="AU250" s="86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</row>
    <row r="251" spans="1:64" ht="15.75" customHeight="1" x14ac:dyDescent="0.2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90"/>
      <c r="U251" s="90"/>
      <c r="V251" s="90"/>
      <c r="W251" s="90"/>
      <c r="X251" s="90"/>
      <c r="Y251" s="90"/>
      <c r="Z251" s="90"/>
      <c r="AA251" s="90"/>
      <c r="AB251" s="91"/>
      <c r="AC251" s="91"/>
      <c r="AD251" s="91"/>
      <c r="AE251" s="91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  <c r="AQ251" s="86"/>
      <c r="AR251" s="86"/>
      <c r="AS251" s="86"/>
      <c r="AT251" s="86"/>
      <c r="AU251" s="86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</row>
    <row r="252" spans="1:64" ht="15.75" customHeight="1" x14ac:dyDescent="0.2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90"/>
      <c r="U252" s="90"/>
      <c r="V252" s="90"/>
      <c r="W252" s="90"/>
      <c r="X252" s="90"/>
      <c r="Y252" s="90"/>
      <c r="Z252" s="90"/>
      <c r="AA252" s="90"/>
      <c r="AB252" s="91"/>
      <c r="AC252" s="91"/>
      <c r="AD252" s="91"/>
      <c r="AE252" s="91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  <c r="AQ252" s="86"/>
      <c r="AR252" s="86"/>
      <c r="AS252" s="86"/>
      <c r="AT252" s="86"/>
      <c r="AU252" s="86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</row>
    <row r="253" spans="1:64" ht="15.75" customHeight="1" x14ac:dyDescent="0.2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90"/>
      <c r="U253" s="90"/>
      <c r="V253" s="90"/>
      <c r="W253" s="90"/>
      <c r="X253" s="90"/>
      <c r="Y253" s="90"/>
      <c r="Z253" s="90"/>
      <c r="AA253" s="90"/>
      <c r="AB253" s="91"/>
      <c r="AC253" s="91"/>
      <c r="AD253" s="91"/>
      <c r="AE253" s="91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  <c r="AQ253" s="86"/>
      <c r="AR253" s="86"/>
      <c r="AS253" s="86"/>
      <c r="AT253" s="86"/>
      <c r="AU253" s="86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</row>
    <row r="254" spans="1:64" ht="15.75" customHeight="1" x14ac:dyDescent="0.2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90"/>
      <c r="U254" s="90"/>
      <c r="V254" s="90"/>
      <c r="W254" s="90"/>
      <c r="X254" s="90"/>
      <c r="Y254" s="90"/>
      <c r="Z254" s="90"/>
      <c r="AA254" s="90"/>
      <c r="AB254" s="91"/>
      <c r="AC254" s="91"/>
      <c r="AD254" s="91"/>
      <c r="AE254" s="91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  <c r="AQ254" s="86"/>
      <c r="AR254" s="86"/>
      <c r="AS254" s="86"/>
      <c r="AT254" s="86"/>
      <c r="AU254" s="86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</row>
    <row r="255" spans="1:64" ht="15.75" customHeight="1" x14ac:dyDescent="0.2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90"/>
      <c r="U255" s="90"/>
      <c r="V255" s="90"/>
      <c r="W255" s="90"/>
      <c r="X255" s="90"/>
      <c r="Y255" s="90"/>
      <c r="Z255" s="90"/>
      <c r="AA255" s="90"/>
      <c r="AB255" s="91"/>
      <c r="AC255" s="91"/>
      <c r="AD255" s="91"/>
      <c r="AE255" s="91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  <c r="AQ255" s="86"/>
      <c r="AR255" s="86"/>
      <c r="AS255" s="86"/>
      <c r="AT255" s="86"/>
      <c r="AU255" s="86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</row>
    <row r="256" spans="1:64" ht="15.75" customHeight="1" x14ac:dyDescent="0.2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90"/>
      <c r="U256" s="90"/>
      <c r="V256" s="90"/>
      <c r="W256" s="90"/>
      <c r="X256" s="90"/>
      <c r="Y256" s="90"/>
      <c r="Z256" s="90"/>
      <c r="AA256" s="90"/>
      <c r="AB256" s="91"/>
      <c r="AC256" s="91"/>
      <c r="AD256" s="91"/>
      <c r="AE256" s="91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  <c r="AQ256" s="86"/>
      <c r="AR256" s="86"/>
      <c r="AS256" s="86"/>
      <c r="AT256" s="86"/>
      <c r="AU256" s="86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</row>
    <row r="257" spans="1:64" ht="15.75" customHeight="1" x14ac:dyDescent="0.2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90"/>
      <c r="U257" s="90"/>
      <c r="V257" s="90"/>
      <c r="W257" s="90"/>
      <c r="X257" s="90"/>
      <c r="Y257" s="90"/>
      <c r="Z257" s="90"/>
      <c r="AA257" s="90"/>
      <c r="AB257" s="91"/>
      <c r="AC257" s="91"/>
      <c r="AD257" s="91"/>
      <c r="AE257" s="91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  <c r="AQ257" s="86"/>
      <c r="AR257" s="86"/>
      <c r="AS257" s="86"/>
      <c r="AT257" s="86"/>
      <c r="AU257" s="86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</row>
    <row r="258" spans="1:64" ht="15.75" customHeight="1" x14ac:dyDescent="0.2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90"/>
      <c r="U258" s="90"/>
      <c r="V258" s="90"/>
      <c r="W258" s="90"/>
      <c r="X258" s="90"/>
      <c r="Y258" s="90"/>
      <c r="Z258" s="90"/>
      <c r="AA258" s="90"/>
      <c r="AB258" s="91"/>
      <c r="AC258" s="91"/>
      <c r="AD258" s="91"/>
      <c r="AE258" s="91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  <c r="AQ258" s="86"/>
      <c r="AR258" s="86"/>
      <c r="AS258" s="86"/>
      <c r="AT258" s="86"/>
      <c r="AU258" s="86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</row>
    <row r="259" spans="1:64" ht="15.75" customHeight="1" x14ac:dyDescent="0.2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90"/>
      <c r="U259" s="90"/>
      <c r="V259" s="90"/>
      <c r="W259" s="90"/>
      <c r="X259" s="90"/>
      <c r="Y259" s="90"/>
      <c r="Z259" s="90"/>
      <c r="AA259" s="90"/>
      <c r="AB259" s="91"/>
      <c r="AC259" s="91"/>
      <c r="AD259" s="91"/>
      <c r="AE259" s="91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  <c r="AQ259" s="86"/>
      <c r="AR259" s="86"/>
      <c r="AS259" s="86"/>
      <c r="AT259" s="86"/>
      <c r="AU259" s="86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</row>
    <row r="260" spans="1:64" ht="15.75" customHeight="1" x14ac:dyDescent="0.2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90"/>
      <c r="U260" s="90"/>
      <c r="V260" s="90"/>
      <c r="W260" s="90"/>
      <c r="X260" s="90"/>
      <c r="Y260" s="90"/>
      <c r="Z260" s="90"/>
      <c r="AA260" s="90"/>
      <c r="AB260" s="91"/>
      <c r="AC260" s="91"/>
      <c r="AD260" s="91"/>
      <c r="AE260" s="91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  <c r="AQ260" s="86"/>
      <c r="AR260" s="86"/>
      <c r="AS260" s="86"/>
      <c r="AT260" s="86"/>
      <c r="AU260" s="86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</row>
    <row r="261" spans="1:64" ht="15.75" customHeight="1" x14ac:dyDescent="0.2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90"/>
      <c r="U261" s="90"/>
      <c r="V261" s="90"/>
      <c r="W261" s="90"/>
      <c r="X261" s="90"/>
      <c r="Y261" s="90"/>
      <c r="Z261" s="90"/>
      <c r="AA261" s="90"/>
      <c r="AB261" s="91"/>
      <c r="AC261" s="91"/>
      <c r="AD261" s="91"/>
      <c r="AE261" s="91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  <c r="AQ261" s="86"/>
      <c r="AR261" s="86"/>
      <c r="AS261" s="86"/>
      <c r="AT261" s="86"/>
      <c r="AU261" s="86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</row>
    <row r="262" spans="1:64" ht="15.75" customHeight="1" x14ac:dyDescent="0.2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90"/>
      <c r="U262" s="90"/>
      <c r="V262" s="90"/>
      <c r="W262" s="90"/>
      <c r="X262" s="90"/>
      <c r="Y262" s="90"/>
      <c r="Z262" s="90"/>
      <c r="AA262" s="90"/>
      <c r="AB262" s="91"/>
      <c r="AC262" s="91"/>
      <c r="AD262" s="91"/>
      <c r="AE262" s="91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</row>
    <row r="263" spans="1:64" ht="15.75" customHeight="1" x14ac:dyDescent="0.2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90"/>
      <c r="U263" s="90"/>
      <c r="V263" s="90"/>
      <c r="W263" s="90"/>
      <c r="X263" s="90"/>
      <c r="Y263" s="90"/>
      <c r="Z263" s="90"/>
      <c r="AA263" s="90"/>
      <c r="AB263" s="91"/>
      <c r="AC263" s="91"/>
      <c r="AD263" s="91"/>
      <c r="AE263" s="91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  <c r="AQ263" s="86"/>
      <c r="AR263" s="86"/>
      <c r="AS263" s="86"/>
      <c r="AT263" s="86"/>
      <c r="AU263" s="86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</row>
    <row r="264" spans="1:64" ht="15.75" customHeight="1" x14ac:dyDescent="0.2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90"/>
      <c r="U264" s="90"/>
      <c r="V264" s="90"/>
      <c r="W264" s="90"/>
      <c r="X264" s="90"/>
      <c r="Y264" s="90"/>
      <c r="Z264" s="90"/>
      <c r="AA264" s="90"/>
      <c r="AB264" s="91"/>
      <c r="AC264" s="91"/>
      <c r="AD264" s="91"/>
      <c r="AE264" s="91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  <c r="AQ264" s="86"/>
      <c r="AR264" s="86"/>
      <c r="AS264" s="86"/>
      <c r="AT264" s="86"/>
      <c r="AU264" s="86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</row>
    <row r="265" spans="1:64" ht="15.75" customHeight="1" x14ac:dyDescent="0.2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90"/>
      <c r="U265" s="90"/>
      <c r="V265" s="90"/>
      <c r="W265" s="90"/>
      <c r="X265" s="90"/>
      <c r="Y265" s="90"/>
      <c r="Z265" s="90"/>
      <c r="AA265" s="90"/>
      <c r="AB265" s="91"/>
      <c r="AC265" s="91"/>
      <c r="AD265" s="91"/>
      <c r="AE265" s="91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  <c r="AQ265" s="86"/>
      <c r="AR265" s="86"/>
      <c r="AS265" s="86"/>
      <c r="AT265" s="86"/>
      <c r="AU265" s="86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</row>
    <row r="266" spans="1:64" ht="15.75" customHeight="1" x14ac:dyDescent="0.2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90"/>
      <c r="U266" s="90"/>
      <c r="V266" s="90"/>
      <c r="W266" s="90"/>
      <c r="X266" s="90"/>
      <c r="Y266" s="90"/>
      <c r="Z266" s="90"/>
      <c r="AA266" s="90"/>
      <c r="AB266" s="91"/>
      <c r="AC266" s="91"/>
      <c r="AD266" s="91"/>
      <c r="AE266" s="91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  <c r="AQ266" s="86"/>
      <c r="AR266" s="86"/>
      <c r="AS266" s="86"/>
      <c r="AT266" s="86"/>
      <c r="AU266" s="86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</row>
    <row r="267" spans="1:64" ht="15.75" customHeight="1" x14ac:dyDescent="0.2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90"/>
      <c r="U267" s="90"/>
      <c r="V267" s="90"/>
      <c r="W267" s="90"/>
      <c r="X267" s="90"/>
      <c r="Y267" s="90"/>
      <c r="Z267" s="90"/>
      <c r="AA267" s="90"/>
      <c r="AB267" s="91"/>
      <c r="AC267" s="91"/>
      <c r="AD267" s="91"/>
      <c r="AE267" s="91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  <c r="AQ267" s="86"/>
      <c r="AR267" s="86"/>
      <c r="AS267" s="86"/>
      <c r="AT267" s="86"/>
      <c r="AU267" s="86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</row>
    <row r="268" spans="1:64" ht="15.75" customHeight="1" x14ac:dyDescent="0.2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90"/>
      <c r="U268" s="90"/>
      <c r="V268" s="90"/>
      <c r="W268" s="90"/>
      <c r="X268" s="90"/>
      <c r="Y268" s="90"/>
      <c r="Z268" s="90"/>
      <c r="AA268" s="90"/>
      <c r="AB268" s="91"/>
      <c r="AC268" s="91"/>
      <c r="AD268" s="91"/>
      <c r="AE268" s="91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  <c r="AQ268" s="86"/>
      <c r="AR268" s="86"/>
      <c r="AS268" s="86"/>
      <c r="AT268" s="86"/>
      <c r="AU268" s="86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</row>
    <row r="269" spans="1:64" ht="15.75" customHeight="1" x14ac:dyDescent="0.2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90"/>
      <c r="U269" s="90"/>
      <c r="V269" s="90"/>
      <c r="W269" s="90"/>
      <c r="X269" s="90"/>
      <c r="Y269" s="90"/>
      <c r="Z269" s="90"/>
      <c r="AA269" s="90"/>
      <c r="AB269" s="91"/>
      <c r="AC269" s="91"/>
      <c r="AD269" s="91"/>
      <c r="AE269" s="91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</row>
    <row r="270" spans="1:64" ht="15.75" customHeight="1" x14ac:dyDescent="0.2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90"/>
      <c r="U270" s="90"/>
      <c r="V270" s="90"/>
      <c r="W270" s="90"/>
      <c r="X270" s="90"/>
      <c r="Y270" s="90"/>
      <c r="Z270" s="90"/>
      <c r="AA270" s="90"/>
      <c r="AB270" s="91"/>
      <c r="AC270" s="91"/>
      <c r="AD270" s="91"/>
      <c r="AE270" s="91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  <c r="AQ270" s="86"/>
      <c r="AR270" s="86"/>
      <c r="AS270" s="86"/>
      <c r="AT270" s="86"/>
      <c r="AU270" s="86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</row>
    <row r="271" spans="1:64" ht="15.75" customHeight="1" x14ac:dyDescent="0.2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90"/>
      <c r="U271" s="90"/>
      <c r="V271" s="90"/>
      <c r="W271" s="90"/>
      <c r="X271" s="90"/>
      <c r="Y271" s="90"/>
      <c r="Z271" s="90"/>
      <c r="AA271" s="90"/>
      <c r="AB271" s="91"/>
      <c r="AC271" s="91"/>
      <c r="AD271" s="91"/>
      <c r="AE271" s="91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  <c r="AQ271" s="86"/>
      <c r="AR271" s="86"/>
      <c r="AS271" s="86"/>
      <c r="AT271" s="86"/>
      <c r="AU271" s="86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</row>
    <row r="272" spans="1:64" ht="15.75" customHeight="1" x14ac:dyDescent="0.2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90"/>
      <c r="U272" s="90"/>
      <c r="V272" s="90"/>
      <c r="W272" s="90"/>
      <c r="X272" s="90"/>
      <c r="Y272" s="90"/>
      <c r="Z272" s="90"/>
      <c r="AA272" s="90"/>
      <c r="AB272" s="91"/>
      <c r="AC272" s="91"/>
      <c r="AD272" s="91"/>
      <c r="AE272" s="91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  <c r="AQ272" s="86"/>
      <c r="AR272" s="86"/>
      <c r="AS272" s="86"/>
      <c r="AT272" s="86"/>
      <c r="AU272" s="86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</row>
    <row r="273" spans="1:64" ht="15.75" customHeight="1" x14ac:dyDescent="0.2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90"/>
      <c r="U273" s="90"/>
      <c r="V273" s="90"/>
      <c r="W273" s="90"/>
      <c r="X273" s="90"/>
      <c r="Y273" s="90"/>
      <c r="Z273" s="90"/>
      <c r="AA273" s="90"/>
      <c r="AB273" s="91"/>
      <c r="AC273" s="91"/>
      <c r="AD273" s="91"/>
      <c r="AE273" s="91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  <c r="AQ273" s="86"/>
      <c r="AR273" s="86"/>
      <c r="AS273" s="86"/>
      <c r="AT273" s="86"/>
      <c r="AU273" s="86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</row>
    <row r="274" spans="1:64" ht="15.75" customHeight="1" x14ac:dyDescent="0.2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90"/>
      <c r="U274" s="90"/>
      <c r="V274" s="90"/>
      <c r="W274" s="90"/>
      <c r="X274" s="90"/>
      <c r="Y274" s="90"/>
      <c r="Z274" s="90"/>
      <c r="AA274" s="90"/>
      <c r="AB274" s="91"/>
      <c r="AC274" s="91"/>
      <c r="AD274" s="91"/>
      <c r="AE274" s="91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  <c r="AQ274" s="86"/>
      <c r="AR274" s="86"/>
      <c r="AS274" s="86"/>
      <c r="AT274" s="86"/>
      <c r="AU274" s="86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</row>
    <row r="275" spans="1:64" ht="15.75" customHeight="1" x14ac:dyDescent="0.2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90"/>
      <c r="U275" s="90"/>
      <c r="V275" s="90"/>
      <c r="W275" s="90"/>
      <c r="X275" s="90"/>
      <c r="Y275" s="90"/>
      <c r="Z275" s="90"/>
      <c r="AA275" s="90"/>
      <c r="AB275" s="91"/>
      <c r="AC275" s="91"/>
      <c r="AD275" s="91"/>
      <c r="AE275" s="91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  <c r="AQ275" s="86"/>
      <c r="AR275" s="86"/>
      <c r="AS275" s="86"/>
      <c r="AT275" s="86"/>
      <c r="AU275" s="86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</row>
    <row r="276" spans="1:64" ht="15.75" customHeight="1" x14ac:dyDescent="0.2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90"/>
      <c r="U276" s="90"/>
      <c r="V276" s="90"/>
      <c r="W276" s="90"/>
      <c r="X276" s="90"/>
      <c r="Y276" s="90"/>
      <c r="Z276" s="90"/>
      <c r="AA276" s="90"/>
      <c r="AB276" s="91"/>
      <c r="AC276" s="91"/>
      <c r="AD276" s="91"/>
      <c r="AE276" s="91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  <c r="AQ276" s="86"/>
      <c r="AR276" s="86"/>
      <c r="AS276" s="86"/>
      <c r="AT276" s="86"/>
      <c r="AU276" s="86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</row>
    <row r="277" spans="1:64" ht="15.75" customHeight="1" x14ac:dyDescent="0.2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90"/>
      <c r="U277" s="90"/>
      <c r="V277" s="90"/>
      <c r="W277" s="90"/>
      <c r="X277" s="90"/>
      <c r="Y277" s="90"/>
      <c r="Z277" s="90"/>
      <c r="AA277" s="90"/>
      <c r="AB277" s="91"/>
      <c r="AC277" s="91"/>
      <c r="AD277" s="91"/>
      <c r="AE277" s="91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  <c r="AQ277" s="86"/>
      <c r="AR277" s="86"/>
      <c r="AS277" s="86"/>
      <c r="AT277" s="86"/>
      <c r="AU277" s="86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</row>
    <row r="278" spans="1:64" ht="15.75" customHeight="1" x14ac:dyDescent="0.2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90"/>
      <c r="U278" s="90"/>
      <c r="V278" s="90"/>
      <c r="W278" s="90"/>
      <c r="X278" s="90"/>
      <c r="Y278" s="90"/>
      <c r="Z278" s="90"/>
      <c r="AA278" s="90"/>
      <c r="AB278" s="91"/>
      <c r="AC278" s="91"/>
      <c r="AD278" s="91"/>
      <c r="AE278" s="91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  <c r="AQ278" s="86"/>
      <c r="AR278" s="86"/>
      <c r="AS278" s="86"/>
      <c r="AT278" s="86"/>
      <c r="AU278" s="86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</row>
    <row r="279" spans="1:64" ht="15.75" customHeight="1" x14ac:dyDescent="0.2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90"/>
      <c r="U279" s="90"/>
      <c r="V279" s="90"/>
      <c r="W279" s="90"/>
      <c r="X279" s="90"/>
      <c r="Y279" s="90"/>
      <c r="Z279" s="90"/>
      <c r="AA279" s="90"/>
      <c r="AB279" s="91"/>
      <c r="AC279" s="91"/>
      <c r="AD279" s="91"/>
      <c r="AE279" s="91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  <c r="AQ279" s="86"/>
      <c r="AR279" s="86"/>
      <c r="AS279" s="86"/>
      <c r="AT279" s="86"/>
      <c r="AU279" s="86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</row>
    <row r="280" spans="1:64" ht="15.75" customHeight="1" x14ac:dyDescent="0.2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90"/>
      <c r="U280" s="90"/>
      <c r="V280" s="90"/>
      <c r="W280" s="90"/>
      <c r="X280" s="90"/>
      <c r="Y280" s="90"/>
      <c r="Z280" s="90"/>
      <c r="AA280" s="90"/>
      <c r="AB280" s="91"/>
      <c r="AC280" s="91"/>
      <c r="AD280" s="91"/>
      <c r="AE280" s="91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  <c r="AQ280" s="86"/>
      <c r="AR280" s="86"/>
      <c r="AS280" s="86"/>
      <c r="AT280" s="86"/>
      <c r="AU280" s="86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</row>
    <row r="281" spans="1:64" ht="15.75" customHeight="1" x14ac:dyDescent="0.2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90"/>
      <c r="U281" s="90"/>
      <c r="V281" s="90"/>
      <c r="W281" s="90"/>
      <c r="X281" s="90"/>
      <c r="Y281" s="90"/>
      <c r="Z281" s="90"/>
      <c r="AA281" s="90"/>
      <c r="AB281" s="91"/>
      <c r="AC281" s="91"/>
      <c r="AD281" s="91"/>
      <c r="AE281" s="91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  <c r="AQ281" s="86"/>
      <c r="AR281" s="86"/>
      <c r="AS281" s="86"/>
      <c r="AT281" s="86"/>
      <c r="AU281" s="86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</row>
    <row r="282" spans="1:64" ht="15.75" customHeight="1" x14ac:dyDescent="0.2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90"/>
      <c r="U282" s="90"/>
      <c r="V282" s="90"/>
      <c r="W282" s="90"/>
      <c r="X282" s="90"/>
      <c r="Y282" s="90"/>
      <c r="Z282" s="90"/>
      <c r="AA282" s="90"/>
      <c r="AB282" s="91"/>
      <c r="AC282" s="91"/>
      <c r="AD282" s="91"/>
      <c r="AE282" s="91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  <c r="AQ282" s="86"/>
      <c r="AR282" s="86"/>
      <c r="AS282" s="86"/>
      <c r="AT282" s="86"/>
      <c r="AU282" s="86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</row>
    <row r="283" spans="1:64" ht="15.75" customHeight="1" x14ac:dyDescent="0.2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90"/>
      <c r="U283" s="90"/>
      <c r="V283" s="90"/>
      <c r="W283" s="90"/>
      <c r="X283" s="90"/>
      <c r="Y283" s="90"/>
      <c r="Z283" s="90"/>
      <c r="AA283" s="90"/>
      <c r="AB283" s="91"/>
      <c r="AC283" s="91"/>
      <c r="AD283" s="91"/>
      <c r="AE283" s="91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  <c r="AQ283" s="86"/>
      <c r="AR283" s="86"/>
      <c r="AS283" s="86"/>
      <c r="AT283" s="86"/>
      <c r="AU283" s="86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</row>
    <row r="284" spans="1:64" ht="15.75" customHeight="1" x14ac:dyDescent="0.2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90"/>
      <c r="U284" s="90"/>
      <c r="V284" s="90"/>
      <c r="W284" s="90"/>
      <c r="X284" s="90"/>
      <c r="Y284" s="90"/>
      <c r="Z284" s="90"/>
      <c r="AA284" s="90"/>
      <c r="AB284" s="91"/>
      <c r="AC284" s="91"/>
      <c r="AD284" s="91"/>
      <c r="AE284" s="91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  <c r="AQ284" s="86"/>
      <c r="AR284" s="86"/>
      <c r="AS284" s="86"/>
      <c r="AT284" s="86"/>
      <c r="AU284" s="86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</row>
    <row r="285" spans="1:64" ht="15.75" customHeight="1" x14ac:dyDescent="0.2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90"/>
      <c r="U285" s="90"/>
      <c r="V285" s="90"/>
      <c r="W285" s="90"/>
      <c r="X285" s="90"/>
      <c r="Y285" s="90"/>
      <c r="Z285" s="90"/>
      <c r="AA285" s="90"/>
      <c r="AB285" s="91"/>
      <c r="AC285" s="91"/>
      <c r="AD285" s="91"/>
      <c r="AE285" s="91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86"/>
      <c r="AT285" s="86"/>
      <c r="AU285" s="86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</row>
    <row r="286" spans="1:64" ht="15.75" customHeight="1" x14ac:dyDescent="0.2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90"/>
      <c r="U286" s="90"/>
      <c r="V286" s="90"/>
      <c r="W286" s="90"/>
      <c r="X286" s="90"/>
      <c r="Y286" s="90"/>
      <c r="Z286" s="90"/>
      <c r="AA286" s="90"/>
      <c r="AB286" s="91"/>
      <c r="AC286" s="91"/>
      <c r="AD286" s="91"/>
      <c r="AE286" s="91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  <c r="AQ286" s="86"/>
      <c r="AR286" s="86"/>
      <c r="AS286" s="86"/>
      <c r="AT286" s="86"/>
      <c r="AU286" s="86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</row>
    <row r="287" spans="1:64" ht="15.75" customHeight="1" x14ac:dyDescent="0.2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90"/>
      <c r="U287" s="90"/>
      <c r="V287" s="90"/>
      <c r="W287" s="90"/>
      <c r="X287" s="90"/>
      <c r="Y287" s="90"/>
      <c r="Z287" s="90"/>
      <c r="AA287" s="90"/>
      <c r="AB287" s="91"/>
      <c r="AC287" s="91"/>
      <c r="AD287" s="91"/>
      <c r="AE287" s="91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  <c r="AQ287" s="86"/>
      <c r="AR287" s="86"/>
      <c r="AS287" s="86"/>
      <c r="AT287" s="86"/>
      <c r="AU287" s="86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</row>
    <row r="288" spans="1:64" ht="15.75" customHeight="1" x14ac:dyDescent="0.2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90"/>
      <c r="U288" s="90"/>
      <c r="V288" s="90"/>
      <c r="W288" s="90"/>
      <c r="X288" s="90"/>
      <c r="Y288" s="90"/>
      <c r="Z288" s="90"/>
      <c r="AA288" s="90"/>
      <c r="AB288" s="91"/>
      <c r="AC288" s="91"/>
      <c r="AD288" s="91"/>
      <c r="AE288" s="91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  <c r="AQ288" s="86"/>
      <c r="AR288" s="86"/>
      <c r="AS288" s="86"/>
      <c r="AT288" s="86"/>
      <c r="AU288" s="86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</row>
    <row r="289" spans="1:64" ht="15.75" customHeight="1" x14ac:dyDescent="0.2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90"/>
      <c r="U289" s="90"/>
      <c r="V289" s="90"/>
      <c r="W289" s="90"/>
      <c r="X289" s="90"/>
      <c r="Y289" s="90"/>
      <c r="Z289" s="90"/>
      <c r="AA289" s="90"/>
      <c r="AB289" s="91"/>
      <c r="AC289" s="91"/>
      <c r="AD289" s="91"/>
      <c r="AE289" s="91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  <c r="AQ289" s="86"/>
      <c r="AR289" s="86"/>
      <c r="AS289" s="86"/>
      <c r="AT289" s="86"/>
      <c r="AU289" s="86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</row>
    <row r="290" spans="1:64" ht="15.75" customHeight="1" x14ac:dyDescent="0.2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90"/>
      <c r="U290" s="90"/>
      <c r="V290" s="90"/>
      <c r="W290" s="90"/>
      <c r="X290" s="90"/>
      <c r="Y290" s="90"/>
      <c r="Z290" s="90"/>
      <c r="AA290" s="90"/>
      <c r="AB290" s="91"/>
      <c r="AC290" s="91"/>
      <c r="AD290" s="91"/>
      <c r="AE290" s="91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  <c r="AQ290" s="86"/>
      <c r="AR290" s="86"/>
      <c r="AS290" s="86"/>
      <c r="AT290" s="86"/>
      <c r="AU290" s="86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</row>
    <row r="291" spans="1:64" ht="15.75" customHeight="1" x14ac:dyDescent="0.2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90"/>
      <c r="U291" s="90"/>
      <c r="V291" s="90"/>
      <c r="W291" s="90"/>
      <c r="X291" s="90"/>
      <c r="Y291" s="90"/>
      <c r="Z291" s="90"/>
      <c r="AA291" s="90"/>
      <c r="AB291" s="91"/>
      <c r="AC291" s="91"/>
      <c r="AD291" s="91"/>
      <c r="AE291" s="91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  <c r="AQ291" s="86"/>
      <c r="AR291" s="86"/>
      <c r="AS291" s="86"/>
      <c r="AT291" s="86"/>
      <c r="AU291" s="86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</row>
    <row r="292" spans="1:64" ht="15.75" customHeight="1" x14ac:dyDescent="0.2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90"/>
      <c r="U292" s="90"/>
      <c r="V292" s="90"/>
      <c r="W292" s="90"/>
      <c r="X292" s="90"/>
      <c r="Y292" s="90"/>
      <c r="Z292" s="90"/>
      <c r="AA292" s="90"/>
      <c r="AB292" s="91"/>
      <c r="AC292" s="91"/>
      <c r="AD292" s="91"/>
      <c r="AE292" s="91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  <c r="AQ292" s="86"/>
      <c r="AR292" s="86"/>
      <c r="AS292" s="86"/>
      <c r="AT292" s="86"/>
      <c r="AU292" s="86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</row>
    <row r="293" spans="1:64" ht="15.75" customHeight="1" x14ac:dyDescent="0.2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90"/>
      <c r="U293" s="90"/>
      <c r="V293" s="90"/>
      <c r="W293" s="90"/>
      <c r="X293" s="90"/>
      <c r="Y293" s="90"/>
      <c r="Z293" s="90"/>
      <c r="AA293" s="90"/>
      <c r="AB293" s="91"/>
      <c r="AC293" s="91"/>
      <c r="AD293" s="91"/>
      <c r="AE293" s="91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  <c r="AQ293" s="86"/>
      <c r="AR293" s="86"/>
      <c r="AS293" s="86"/>
      <c r="AT293" s="86"/>
      <c r="AU293" s="86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</row>
    <row r="294" spans="1:64" ht="15.75" customHeight="1" x14ac:dyDescent="0.2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90"/>
      <c r="U294" s="90"/>
      <c r="V294" s="90"/>
      <c r="W294" s="90"/>
      <c r="X294" s="90"/>
      <c r="Y294" s="90"/>
      <c r="Z294" s="90"/>
      <c r="AA294" s="90"/>
      <c r="AB294" s="91"/>
      <c r="AC294" s="91"/>
      <c r="AD294" s="91"/>
      <c r="AE294" s="91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  <c r="AQ294" s="86"/>
      <c r="AR294" s="86"/>
      <c r="AS294" s="86"/>
      <c r="AT294" s="86"/>
      <c r="AU294" s="86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</row>
    <row r="295" spans="1:64" ht="15.75" customHeight="1" x14ac:dyDescent="0.2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90"/>
      <c r="U295" s="90"/>
      <c r="V295" s="90"/>
      <c r="W295" s="90"/>
      <c r="X295" s="90"/>
      <c r="Y295" s="90"/>
      <c r="Z295" s="90"/>
      <c r="AA295" s="90"/>
      <c r="AB295" s="91"/>
      <c r="AC295" s="91"/>
      <c r="AD295" s="91"/>
      <c r="AE295" s="91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</row>
    <row r="296" spans="1:64" ht="15.75" customHeight="1" x14ac:dyDescent="0.2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90"/>
      <c r="U296" s="90"/>
      <c r="V296" s="90"/>
      <c r="W296" s="90"/>
      <c r="X296" s="90"/>
      <c r="Y296" s="90"/>
      <c r="Z296" s="90"/>
      <c r="AA296" s="90"/>
      <c r="AB296" s="91"/>
      <c r="AC296" s="91"/>
      <c r="AD296" s="91"/>
      <c r="AE296" s="91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  <c r="AQ296" s="86"/>
      <c r="AR296" s="86"/>
      <c r="AS296" s="86"/>
      <c r="AT296" s="86"/>
      <c r="AU296" s="86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</row>
    <row r="297" spans="1:64" ht="15.75" customHeight="1" x14ac:dyDescent="0.2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90"/>
      <c r="U297" s="90"/>
      <c r="V297" s="90"/>
      <c r="W297" s="90"/>
      <c r="X297" s="90"/>
      <c r="Y297" s="90"/>
      <c r="Z297" s="90"/>
      <c r="AA297" s="90"/>
      <c r="AB297" s="91"/>
      <c r="AC297" s="91"/>
      <c r="AD297" s="91"/>
      <c r="AE297" s="91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  <c r="AQ297" s="86"/>
      <c r="AR297" s="86"/>
      <c r="AS297" s="86"/>
      <c r="AT297" s="86"/>
      <c r="AU297" s="86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</row>
    <row r="298" spans="1:64" ht="15.75" customHeight="1" x14ac:dyDescent="0.2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90"/>
      <c r="U298" s="90"/>
      <c r="V298" s="90"/>
      <c r="W298" s="90"/>
      <c r="X298" s="90"/>
      <c r="Y298" s="90"/>
      <c r="Z298" s="90"/>
      <c r="AA298" s="90"/>
      <c r="AB298" s="91"/>
      <c r="AC298" s="91"/>
      <c r="AD298" s="91"/>
      <c r="AE298" s="91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  <c r="AQ298" s="86"/>
      <c r="AR298" s="86"/>
      <c r="AS298" s="86"/>
      <c r="AT298" s="86"/>
      <c r="AU298" s="86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</row>
    <row r="299" spans="1:64" ht="15.75" customHeight="1" x14ac:dyDescent="0.2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90"/>
      <c r="U299" s="90"/>
      <c r="V299" s="90"/>
      <c r="W299" s="90"/>
      <c r="X299" s="90"/>
      <c r="Y299" s="90"/>
      <c r="Z299" s="90"/>
      <c r="AA299" s="90"/>
      <c r="AB299" s="91"/>
      <c r="AC299" s="91"/>
      <c r="AD299" s="91"/>
      <c r="AE299" s="91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  <c r="AQ299" s="86"/>
      <c r="AR299" s="86"/>
      <c r="AS299" s="86"/>
      <c r="AT299" s="86"/>
      <c r="AU299" s="86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</row>
    <row r="300" spans="1:64" ht="15.75" customHeight="1" x14ac:dyDescent="0.2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90"/>
      <c r="U300" s="90"/>
      <c r="V300" s="90"/>
      <c r="W300" s="90"/>
      <c r="X300" s="90"/>
      <c r="Y300" s="90"/>
      <c r="Z300" s="90"/>
      <c r="AA300" s="90"/>
      <c r="AB300" s="91"/>
      <c r="AC300" s="91"/>
      <c r="AD300" s="91"/>
      <c r="AE300" s="91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  <c r="AQ300" s="86"/>
      <c r="AR300" s="86"/>
      <c r="AS300" s="86"/>
      <c r="AT300" s="86"/>
      <c r="AU300" s="86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</row>
    <row r="301" spans="1:64" ht="15.75" customHeight="1" x14ac:dyDescent="0.2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90"/>
      <c r="U301" s="90"/>
      <c r="V301" s="90"/>
      <c r="W301" s="90"/>
      <c r="X301" s="90"/>
      <c r="Y301" s="90"/>
      <c r="Z301" s="90"/>
      <c r="AA301" s="90"/>
      <c r="AB301" s="91"/>
      <c r="AC301" s="91"/>
      <c r="AD301" s="91"/>
      <c r="AE301" s="91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  <c r="AQ301" s="86"/>
      <c r="AR301" s="86"/>
      <c r="AS301" s="86"/>
      <c r="AT301" s="86"/>
      <c r="AU301" s="86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</row>
    <row r="302" spans="1:64" ht="15.75" customHeight="1" x14ac:dyDescent="0.2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90"/>
      <c r="U302" s="90"/>
      <c r="V302" s="90"/>
      <c r="W302" s="90"/>
      <c r="X302" s="90"/>
      <c r="Y302" s="90"/>
      <c r="Z302" s="90"/>
      <c r="AA302" s="90"/>
      <c r="AB302" s="91"/>
      <c r="AC302" s="91"/>
      <c r="AD302" s="91"/>
      <c r="AE302" s="91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  <c r="AQ302" s="86"/>
      <c r="AR302" s="86"/>
      <c r="AS302" s="86"/>
      <c r="AT302" s="86"/>
      <c r="AU302" s="86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</row>
    <row r="303" spans="1:64" ht="15.75" customHeight="1" x14ac:dyDescent="0.2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90"/>
      <c r="U303" s="90"/>
      <c r="V303" s="90"/>
      <c r="W303" s="90"/>
      <c r="X303" s="90"/>
      <c r="Y303" s="90"/>
      <c r="Z303" s="90"/>
      <c r="AA303" s="90"/>
      <c r="AB303" s="91"/>
      <c r="AC303" s="91"/>
      <c r="AD303" s="91"/>
      <c r="AE303" s="91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  <c r="AQ303" s="86"/>
      <c r="AR303" s="86"/>
      <c r="AS303" s="86"/>
      <c r="AT303" s="86"/>
      <c r="AU303" s="86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</row>
    <row r="304" spans="1:64" ht="15.75" customHeight="1" x14ac:dyDescent="0.2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90"/>
      <c r="U304" s="90"/>
      <c r="V304" s="90"/>
      <c r="W304" s="90"/>
      <c r="X304" s="90"/>
      <c r="Y304" s="90"/>
      <c r="Z304" s="90"/>
      <c r="AA304" s="90"/>
      <c r="AB304" s="91"/>
      <c r="AC304" s="91"/>
      <c r="AD304" s="91"/>
      <c r="AE304" s="91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  <c r="AQ304" s="86"/>
      <c r="AR304" s="86"/>
      <c r="AS304" s="86"/>
      <c r="AT304" s="86"/>
      <c r="AU304" s="86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</row>
    <row r="305" spans="1:64" ht="15.75" customHeight="1" x14ac:dyDescent="0.2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90"/>
      <c r="U305" s="90"/>
      <c r="V305" s="90"/>
      <c r="W305" s="90"/>
      <c r="X305" s="90"/>
      <c r="Y305" s="90"/>
      <c r="Z305" s="90"/>
      <c r="AA305" s="90"/>
      <c r="AB305" s="91"/>
      <c r="AC305" s="91"/>
      <c r="AD305" s="91"/>
      <c r="AE305" s="91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  <c r="AQ305" s="86"/>
      <c r="AR305" s="86"/>
      <c r="AS305" s="86"/>
      <c r="AT305" s="86"/>
      <c r="AU305" s="86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</row>
    <row r="306" spans="1:64" ht="15.75" customHeight="1" x14ac:dyDescent="0.2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90"/>
      <c r="U306" s="90"/>
      <c r="V306" s="90"/>
      <c r="W306" s="90"/>
      <c r="X306" s="90"/>
      <c r="Y306" s="90"/>
      <c r="Z306" s="90"/>
      <c r="AA306" s="90"/>
      <c r="AB306" s="91"/>
      <c r="AC306" s="91"/>
      <c r="AD306" s="91"/>
      <c r="AE306" s="91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  <c r="AQ306" s="86"/>
      <c r="AR306" s="86"/>
      <c r="AS306" s="86"/>
      <c r="AT306" s="86"/>
      <c r="AU306" s="86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</row>
    <row r="307" spans="1:64" ht="15.75" customHeight="1" x14ac:dyDescent="0.2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90"/>
      <c r="U307" s="90"/>
      <c r="V307" s="90"/>
      <c r="W307" s="90"/>
      <c r="X307" s="90"/>
      <c r="Y307" s="90"/>
      <c r="Z307" s="90"/>
      <c r="AA307" s="90"/>
      <c r="AB307" s="91"/>
      <c r="AC307" s="91"/>
      <c r="AD307" s="91"/>
      <c r="AE307" s="91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</row>
    <row r="308" spans="1:64" ht="15.75" customHeight="1" x14ac:dyDescent="0.2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90"/>
      <c r="U308" s="90"/>
      <c r="V308" s="90"/>
      <c r="W308" s="90"/>
      <c r="X308" s="90"/>
      <c r="Y308" s="90"/>
      <c r="Z308" s="90"/>
      <c r="AA308" s="90"/>
      <c r="AB308" s="91"/>
      <c r="AC308" s="91"/>
      <c r="AD308" s="91"/>
      <c r="AE308" s="91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  <c r="AQ308" s="86"/>
      <c r="AR308" s="86"/>
      <c r="AS308" s="86"/>
      <c r="AT308" s="86"/>
      <c r="AU308" s="86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</row>
    <row r="309" spans="1:64" ht="15.75" customHeight="1" x14ac:dyDescent="0.2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90"/>
      <c r="U309" s="90"/>
      <c r="V309" s="90"/>
      <c r="W309" s="90"/>
      <c r="X309" s="90"/>
      <c r="Y309" s="90"/>
      <c r="Z309" s="90"/>
      <c r="AA309" s="90"/>
      <c r="AB309" s="91"/>
      <c r="AC309" s="91"/>
      <c r="AD309" s="91"/>
      <c r="AE309" s="91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  <c r="AQ309" s="86"/>
      <c r="AR309" s="86"/>
      <c r="AS309" s="86"/>
      <c r="AT309" s="86"/>
      <c r="AU309" s="86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</row>
    <row r="310" spans="1:64" ht="15.75" customHeight="1" x14ac:dyDescent="0.2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90"/>
      <c r="U310" s="90"/>
      <c r="V310" s="90"/>
      <c r="W310" s="90"/>
      <c r="X310" s="90"/>
      <c r="Y310" s="90"/>
      <c r="Z310" s="90"/>
      <c r="AA310" s="90"/>
      <c r="AB310" s="91"/>
      <c r="AC310" s="91"/>
      <c r="AD310" s="91"/>
      <c r="AE310" s="91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  <c r="AQ310" s="86"/>
      <c r="AR310" s="86"/>
      <c r="AS310" s="86"/>
      <c r="AT310" s="86"/>
      <c r="AU310" s="86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</row>
    <row r="311" spans="1:64" ht="15.75" customHeight="1" x14ac:dyDescent="0.2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90"/>
      <c r="U311" s="90"/>
      <c r="V311" s="90"/>
      <c r="W311" s="90"/>
      <c r="X311" s="90"/>
      <c r="Y311" s="90"/>
      <c r="Z311" s="90"/>
      <c r="AA311" s="90"/>
      <c r="AB311" s="91"/>
      <c r="AC311" s="91"/>
      <c r="AD311" s="91"/>
      <c r="AE311" s="91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  <c r="AQ311" s="86"/>
      <c r="AR311" s="86"/>
      <c r="AS311" s="86"/>
      <c r="AT311" s="86"/>
      <c r="AU311" s="86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</row>
    <row r="312" spans="1:64" ht="15.75" customHeight="1" x14ac:dyDescent="0.2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90"/>
      <c r="U312" s="90"/>
      <c r="V312" s="90"/>
      <c r="W312" s="90"/>
      <c r="X312" s="90"/>
      <c r="Y312" s="90"/>
      <c r="Z312" s="90"/>
      <c r="AA312" s="90"/>
      <c r="AB312" s="91"/>
      <c r="AC312" s="91"/>
      <c r="AD312" s="91"/>
      <c r="AE312" s="91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  <c r="AQ312" s="86"/>
      <c r="AR312" s="86"/>
      <c r="AS312" s="86"/>
      <c r="AT312" s="86"/>
      <c r="AU312" s="86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</row>
    <row r="313" spans="1:64" ht="15.75" customHeight="1" x14ac:dyDescent="0.2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90"/>
      <c r="U313" s="90"/>
      <c r="V313" s="90"/>
      <c r="W313" s="90"/>
      <c r="X313" s="90"/>
      <c r="Y313" s="90"/>
      <c r="Z313" s="90"/>
      <c r="AA313" s="90"/>
      <c r="AB313" s="91"/>
      <c r="AC313" s="91"/>
      <c r="AD313" s="91"/>
      <c r="AE313" s="91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  <c r="AQ313" s="86"/>
      <c r="AR313" s="86"/>
      <c r="AS313" s="86"/>
      <c r="AT313" s="86"/>
      <c r="AU313" s="86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</row>
    <row r="314" spans="1:64" ht="15.75" customHeight="1" x14ac:dyDescent="0.2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90"/>
      <c r="U314" s="90"/>
      <c r="V314" s="90"/>
      <c r="W314" s="90"/>
      <c r="X314" s="90"/>
      <c r="Y314" s="90"/>
      <c r="Z314" s="90"/>
      <c r="AA314" s="90"/>
      <c r="AB314" s="91"/>
      <c r="AC314" s="91"/>
      <c r="AD314" s="91"/>
      <c r="AE314" s="91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  <c r="AQ314" s="86"/>
      <c r="AR314" s="86"/>
      <c r="AS314" s="86"/>
      <c r="AT314" s="86"/>
      <c r="AU314" s="86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</row>
    <row r="315" spans="1:64" ht="15.75" customHeight="1" x14ac:dyDescent="0.2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90"/>
      <c r="U315" s="90"/>
      <c r="V315" s="90"/>
      <c r="W315" s="90"/>
      <c r="X315" s="90"/>
      <c r="Y315" s="90"/>
      <c r="Z315" s="90"/>
      <c r="AA315" s="90"/>
      <c r="AB315" s="91"/>
      <c r="AC315" s="91"/>
      <c r="AD315" s="91"/>
      <c r="AE315" s="91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  <c r="AQ315" s="86"/>
      <c r="AR315" s="86"/>
      <c r="AS315" s="86"/>
      <c r="AT315" s="86"/>
      <c r="AU315" s="86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</row>
    <row r="316" spans="1:64" ht="15.75" customHeight="1" x14ac:dyDescent="0.2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90"/>
      <c r="U316" s="90"/>
      <c r="V316" s="90"/>
      <c r="W316" s="90"/>
      <c r="X316" s="90"/>
      <c r="Y316" s="90"/>
      <c r="Z316" s="90"/>
      <c r="AA316" s="90"/>
      <c r="AB316" s="91"/>
      <c r="AC316" s="91"/>
      <c r="AD316" s="91"/>
      <c r="AE316" s="91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  <c r="AQ316" s="86"/>
      <c r="AR316" s="86"/>
      <c r="AS316" s="86"/>
      <c r="AT316" s="86"/>
      <c r="AU316" s="86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</row>
    <row r="317" spans="1:64" ht="15.75" customHeight="1" x14ac:dyDescent="0.2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90"/>
      <c r="U317" s="90"/>
      <c r="V317" s="90"/>
      <c r="W317" s="90"/>
      <c r="X317" s="90"/>
      <c r="Y317" s="90"/>
      <c r="Z317" s="90"/>
      <c r="AA317" s="90"/>
      <c r="AB317" s="91"/>
      <c r="AC317" s="91"/>
      <c r="AD317" s="91"/>
      <c r="AE317" s="91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  <c r="AQ317" s="86"/>
      <c r="AR317" s="86"/>
      <c r="AS317" s="86"/>
      <c r="AT317" s="86"/>
      <c r="AU317" s="86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</row>
    <row r="318" spans="1:64" ht="15.75" customHeight="1" x14ac:dyDescent="0.2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90"/>
      <c r="U318" s="90"/>
      <c r="V318" s="90"/>
      <c r="W318" s="90"/>
      <c r="X318" s="90"/>
      <c r="Y318" s="90"/>
      <c r="Z318" s="90"/>
      <c r="AA318" s="90"/>
      <c r="AB318" s="91"/>
      <c r="AC318" s="91"/>
      <c r="AD318" s="91"/>
      <c r="AE318" s="91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  <c r="AQ318" s="86"/>
      <c r="AR318" s="86"/>
      <c r="AS318" s="86"/>
      <c r="AT318" s="86"/>
      <c r="AU318" s="86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</row>
    <row r="319" spans="1:64" ht="15.75" customHeight="1" x14ac:dyDescent="0.2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90"/>
      <c r="U319" s="90"/>
      <c r="V319" s="90"/>
      <c r="W319" s="90"/>
      <c r="X319" s="90"/>
      <c r="Y319" s="90"/>
      <c r="Z319" s="90"/>
      <c r="AA319" s="90"/>
      <c r="AB319" s="91"/>
      <c r="AC319" s="91"/>
      <c r="AD319" s="91"/>
      <c r="AE319" s="91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  <c r="AQ319" s="86"/>
      <c r="AR319" s="86"/>
      <c r="AS319" s="86"/>
      <c r="AT319" s="86"/>
      <c r="AU319" s="86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</row>
    <row r="320" spans="1:64" ht="15.75" customHeight="1" x14ac:dyDescent="0.2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90"/>
      <c r="U320" s="90"/>
      <c r="V320" s="90"/>
      <c r="W320" s="90"/>
      <c r="X320" s="90"/>
      <c r="Y320" s="90"/>
      <c r="Z320" s="90"/>
      <c r="AA320" s="90"/>
      <c r="AB320" s="91"/>
      <c r="AC320" s="91"/>
      <c r="AD320" s="91"/>
      <c r="AE320" s="91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  <c r="AQ320" s="86"/>
      <c r="AR320" s="86"/>
      <c r="AS320" s="86"/>
      <c r="AT320" s="86"/>
      <c r="AU320" s="86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</row>
    <row r="321" spans="1:64" ht="15.75" customHeight="1" x14ac:dyDescent="0.2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90"/>
      <c r="U321" s="90"/>
      <c r="V321" s="90"/>
      <c r="W321" s="90"/>
      <c r="X321" s="90"/>
      <c r="Y321" s="90"/>
      <c r="Z321" s="90"/>
      <c r="AA321" s="90"/>
      <c r="AB321" s="91"/>
      <c r="AC321" s="91"/>
      <c r="AD321" s="91"/>
      <c r="AE321" s="91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  <c r="AQ321" s="86"/>
      <c r="AR321" s="86"/>
      <c r="AS321" s="86"/>
      <c r="AT321" s="86"/>
      <c r="AU321" s="86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</row>
    <row r="322" spans="1:64" ht="15.75" customHeight="1" x14ac:dyDescent="0.2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90"/>
      <c r="U322" s="90"/>
      <c r="V322" s="90"/>
      <c r="W322" s="90"/>
      <c r="X322" s="90"/>
      <c r="Y322" s="90"/>
      <c r="Z322" s="90"/>
      <c r="AA322" s="90"/>
      <c r="AB322" s="91"/>
      <c r="AC322" s="91"/>
      <c r="AD322" s="91"/>
      <c r="AE322" s="91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  <c r="AQ322" s="86"/>
      <c r="AR322" s="86"/>
      <c r="AS322" s="86"/>
      <c r="AT322" s="86"/>
      <c r="AU322" s="86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</row>
    <row r="323" spans="1:64" ht="15.75" customHeight="1" x14ac:dyDescent="0.2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90"/>
      <c r="U323" s="90"/>
      <c r="V323" s="90"/>
      <c r="W323" s="90"/>
      <c r="X323" s="90"/>
      <c r="Y323" s="90"/>
      <c r="Z323" s="90"/>
      <c r="AA323" s="90"/>
      <c r="AB323" s="91"/>
      <c r="AC323" s="91"/>
      <c r="AD323" s="91"/>
      <c r="AE323" s="91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  <c r="AQ323" s="86"/>
      <c r="AR323" s="86"/>
      <c r="AS323" s="86"/>
      <c r="AT323" s="86"/>
      <c r="AU323" s="86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</row>
    <row r="324" spans="1:64" ht="15.75" customHeight="1" x14ac:dyDescent="0.2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90"/>
      <c r="U324" s="90"/>
      <c r="V324" s="90"/>
      <c r="W324" s="90"/>
      <c r="X324" s="90"/>
      <c r="Y324" s="90"/>
      <c r="Z324" s="90"/>
      <c r="AA324" s="90"/>
      <c r="AB324" s="91"/>
      <c r="AC324" s="91"/>
      <c r="AD324" s="91"/>
      <c r="AE324" s="91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  <c r="AQ324" s="86"/>
      <c r="AR324" s="86"/>
      <c r="AS324" s="86"/>
      <c r="AT324" s="86"/>
      <c r="AU324" s="86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</row>
    <row r="325" spans="1:64" ht="15.75" customHeight="1" x14ac:dyDescent="0.2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90"/>
      <c r="U325" s="90"/>
      <c r="V325" s="90"/>
      <c r="W325" s="90"/>
      <c r="X325" s="90"/>
      <c r="Y325" s="90"/>
      <c r="Z325" s="90"/>
      <c r="AA325" s="90"/>
      <c r="AB325" s="91"/>
      <c r="AC325" s="91"/>
      <c r="AD325" s="91"/>
      <c r="AE325" s="91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  <c r="AQ325" s="86"/>
      <c r="AR325" s="86"/>
      <c r="AS325" s="86"/>
      <c r="AT325" s="86"/>
      <c r="AU325" s="86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</row>
    <row r="326" spans="1:64" ht="15.75" customHeight="1" x14ac:dyDescent="0.2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90"/>
      <c r="U326" s="90"/>
      <c r="V326" s="90"/>
      <c r="W326" s="90"/>
      <c r="X326" s="90"/>
      <c r="Y326" s="90"/>
      <c r="Z326" s="90"/>
      <c r="AA326" s="90"/>
      <c r="AB326" s="91"/>
      <c r="AC326" s="91"/>
      <c r="AD326" s="91"/>
      <c r="AE326" s="91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</row>
    <row r="327" spans="1:64" ht="15.75" customHeight="1" x14ac:dyDescent="0.2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90"/>
      <c r="U327" s="90"/>
      <c r="V327" s="90"/>
      <c r="W327" s="90"/>
      <c r="X327" s="90"/>
      <c r="Y327" s="90"/>
      <c r="Z327" s="90"/>
      <c r="AA327" s="90"/>
      <c r="AB327" s="91"/>
      <c r="AC327" s="91"/>
      <c r="AD327" s="91"/>
      <c r="AE327" s="91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  <c r="AQ327" s="86"/>
      <c r="AR327" s="86"/>
      <c r="AS327" s="86"/>
      <c r="AT327" s="86"/>
      <c r="AU327" s="86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</row>
    <row r="328" spans="1:64" ht="15.75" customHeight="1" x14ac:dyDescent="0.2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90"/>
      <c r="U328" s="90"/>
      <c r="V328" s="90"/>
      <c r="W328" s="90"/>
      <c r="X328" s="90"/>
      <c r="Y328" s="90"/>
      <c r="Z328" s="90"/>
      <c r="AA328" s="90"/>
      <c r="AB328" s="91"/>
      <c r="AC328" s="91"/>
      <c r="AD328" s="91"/>
      <c r="AE328" s="91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  <c r="AQ328" s="86"/>
      <c r="AR328" s="86"/>
      <c r="AS328" s="86"/>
      <c r="AT328" s="86"/>
      <c r="AU328" s="86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</row>
    <row r="329" spans="1:64" ht="15.75" customHeight="1" x14ac:dyDescent="0.2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90"/>
      <c r="U329" s="90"/>
      <c r="V329" s="90"/>
      <c r="W329" s="90"/>
      <c r="X329" s="90"/>
      <c r="Y329" s="90"/>
      <c r="Z329" s="90"/>
      <c r="AA329" s="90"/>
      <c r="AB329" s="91"/>
      <c r="AC329" s="91"/>
      <c r="AD329" s="91"/>
      <c r="AE329" s="91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  <c r="AQ329" s="86"/>
      <c r="AR329" s="86"/>
      <c r="AS329" s="86"/>
      <c r="AT329" s="86"/>
      <c r="AU329" s="86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</row>
    <row r="330" spans="1:64" ht="15.75" customHeight="1" x14ac:dyDescent="0.2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90"/>
      <c r="U330" s="90"/>
      <c r="V330" s="90"/>
      <c r="W330" s="90"/>
      <c r="X330" s="90"/>
      <c r="Y330" s="90"/>
      <c r="Z330" s="90"/>
      <c r="AA330" s="90"/>
      <c r="AB330" s="91"/>
      <c r="AC330" s="91"/>
      <c r="AD330" s="91"/>
      <c r="AE330" s="91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  <c r="AQ330" s="86"/>
      <c r="AR330" s="86"/>
      <c r="AS330" s="86"/>
      <c r="AT330" s="86"/>
      <c r="AU330" s="86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</row>
    <row r="331" spans="1:64" ht="15.75" customHeight="1" x14ac:dyDescent="0.2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90"/>
      <c r="U331" s="90"/>
      <c r="V331" s="90"/>
      <c r="W331" s="90"/>
      <c r="X331" s="90"/>
      <c r="Y331" s="90"/>
      <c r="Z331" s="90"/>
      <c r="AA331" s="90"/>
      <c r="AB331" s="91"/>
      <c r="AC331" s="91"/>
      <c r="AD331" s="91"/>
      <c r="AE331" s="91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  <c r="AQ331" s="86"/>
      <c r="AR331" s="86"/>
      <c r="AS331" s="86"/>
      <c r="AT331" s="86"/>
      <c r="AU331" s="86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</row>
    <row r="332" spans="1:64" ht="15.75" customHeight="1" x14ac:dyDescent="0.2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90"/>
      <c r="U332" s="90"/>
      <c r="V332" s="90"/>
      <c r="W332" s="90"/>
      <c r="X332" s="90"/>
      <c r="Y332" s="90"/>
      <c r="Z332" s="90"/>
      <c r="AA332" s="90"/>
      <c r="AB332" s="91"/>
      <c r="AC332" s="91"/>
      <c r="AD332" s="91"/>
      <c r="AE332" s="91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  <c r="AQ332" s="86"/>
      <c r="AR332" s="86"/>
      <c r="AS332" s="86"/>
      <c r="AT332" s="86"/>
      <c r="AU332" s="86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</row>
    <row r="333" spans="1:64" ht="15.75" customHeight="1" x14ac:dyDescent="0.2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90"/>
      <c r="U333" s="90"/>
      <c r="V333" s="90"/>
      <c r="W333" s="90"/>
      <c r="X333" s="90"/>
      <c r="Y333" s="90"/>
      <c r="Z333" s="90"/>
      <c r="AA333" s="90"/>
      <c r="AB333" s="91"/>
      <c r="AC333" s="91"/>
      <c r="AD333" s="91"/>
      <c r="AE333" s="91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  <c r="AQ333" s="86"/>
      <c r="AR333" s="86"/>
      <c r="AS333" s="86"/>
      <c r="AT333" s="86"/>
      <c r="AU333" s="86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</row>
    <row r="334" spans="1:64" ht="15.75" customHeight="1" x14ac:dyDescent="0.2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90"/>
      <c r="U334" s="90"/>
      <c r="V334" s="90"/>
      <c r="W334" s="90"/>
      <c r="X334" s="90"/>
      <c r="Y334" s="90"/>
      <c r="Z334" s="90"/>
      <c r="AA334" s="90"/>
      <c r="AB334" s="91"/>
      <c r="AC334" s="91"/>
      <c r="AD334" s="91"/>
      <c r="AE334" s="91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  <c r="AQ334" s="86"/>
      <c r="AR334" s="86"/>
      <c r="AS334" s="86"/>
      <c r="AT334" s="86"/>
      <c r="AU334" s="86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</row>
    <row r="335" spans="1:64" ht="15.75" customHeight="1" x14ac:dyDescent="0.2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90"/>
      <c r="U335" s="90"/>
      <c r="V335" s="90"/>
      <c r="W335" s="90"/>
      <c r="X335" s="90"/>
      <c r="Y335" s="90"/>
      <c r="Z335" s="90"/>
      <c r="AA335" s="90"/>
      <c r="AB335" s="91"/>
      <c r="AC335" s="91"/>
      <c r="AD335" s="91"/>
      <c r="AE335" s="91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  <c r="AQ335" s="86"/>
      <c r="AR335" s="86"/>
      <c r="AS335" s="86"/>
      <c r="AT335" s="86"/>
      <c r="AU335" s="86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</row>
    <row r="336" spans="1:64" ht="15.75" customHeight="1" x14ac:dyDescent="0.2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90"/>
      <c r="U336" s="90"/>
      <c r="V336" s="90"/>
      <c r="W336" s="90"/>
      <c r="X336" s="90"/>
      <c r="Y336" s="90"/>
      <c r="Z336" s="90"/>
      <c r="AA336" s="90"/>
      <c r="AB336" s="91"/>
      <c r="AC336" s="91"/>
      <c r="AD336" s="91"/>
      <c r="AE336" s="91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  <c r="AQ336" s="86"/>
      <c r="AR336" s="86"/>
      <c r="AS336" s="86"/>
      <c r="AT336" s="86"/>
      <c r="AU336" s="86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</row>
    <row r="337" spans="1:64" ht="15.75" customHeight="1" x14ac:dyDescent="0.2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90"/>
      <c r="U337" s="90"/>
      <c r="V337" s="90"/>
      <c r="W337" s="90"/>
      <c r="X337" s="90"/>
      <c r="Y337" s="90"/>
      <c r="Z337" s="90"/>
      <c r="AA337" s="90"/>
      <c r="AB337" s="91"/>
      <c r="AC337" s="91"/>
      <c r="AD337" s="91"/>
      <c r="AE337" s="91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  <c r="AQ337" s="86"/>
      <c r="AR337" s="86"/>
      <c r="AS337" s="86"/>
      <c r="AT337" s="86"/>
      <c r="AU337" s="86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</row>
    <row r="338" spans="1:64" ht="15.75" customHeight="1" x14ac:dyDescent="0.2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90"/>
      <c r="U338" s="90"/>
      <c r="V338" s="90"/>
      <c r="W338" s="90"/>
      <c r="X338" s="90"/>
      <c r="Y338" s="90"/>
      <c r="Z338" s="90"/>
      <c r="AA338" s="90"/>
      <c r="AB338" s="91"/>
      <c r="AC338" s="91"/>
      <c r="AD338" s="91"/>
      <c r="AE338" s="91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  <c r="AQ338" s="86"/>
      <c r="AR338" s="86"/>
      <c r="AS338" s="86"/>
      <c r="AT338" s="86"/>
      <c r="AU338" s="86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</row>
    <row r="339" spans="1:64" ht="15.75" customHeight="1" x14ac:dyDescent="0.2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90"/>
      <c r="U339" s="90"/>
      <c r="V339" s="90"/>
      <c r="W339" s="90"/>
      <c r="X339" s="90"/>
      <c r="Y339" s="90"/>
      <c r="Z339" s="90"/>
      <c r="AA339" s="90"/>
      <c r="AB339" s="91"/>
      <c r="AC339" s="91"/>
      <c r="AD339" s="91"/>
      <c r="AE339" s="91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  <c r="AQ339" s="86"/>
      <c r="AR339" s="86"/>
      <c r="AS339" s="86"/>
      <c r="AT339" s="86"/>
      <c r="AU339" s="86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</row>
    <row r="340" spans="1:64" ht="15.75" customHeight="1" x14ac:dyDescent="0.2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90"/>
      <c r="U340" s="90"/>
      <c r="V340" s="90"/>
      <c r="W340" s="90"/>
      <c r="X340" s="90"/>
      <c r="Y340" s="90"/>
      <c r="Z340" s="90"/>
      <c r="AA340" s="90"/>
      <c r="AB340" s="91"/>
      <c r="AC340" s="91"/>
      <c r="AD340" s="91"/>
      <c r="AE340" s="91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  <c r="AQ340" s="86"/>
      <c r="AR340" s="86"/>
      <c r="AS340" s="86"/>
      <c r="AT340" s="86"/>
      <c r="AU340" s="86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</row>
    <row r="341" spans="1:64" ht="15.75" customHeight="1" x14ac:dyDescent="0.2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90"/>
      <c r="U341" s="90"/>
      <c r="V341" s="90"/>
      <c r="W341" s="90"/>
      <c r="X341" s="90"/>
      <c r="Y341" s="90"/>
      <c r="Z341" s="90"/>
      <c r="AA341" s="90"/>
      <c r="AB341" s="91"/>
      <c r="AC341" s="91"/>
      <c r="AD341" s="91"/>
      <c r="AE341" s="91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  <c r="AQ341" s="86"/>
      <c r="AR341" s="86"/>
      <c r="AS341" s="86"/>
      <c r="AT341" s="86"/>
      <c r="AU341" s="86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</row>
    <row r="342" spans="1:64" ht="15.75" customHeight="1" x14ac:dyDescent="0.2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90"/>
      <c r="U342" s="90"/>
      <c r="V342" s="90"/>
      <c r="W342" s="90"/>
      <c r="X342" s="90"/>
      <c r="Y342" s="90"/>
      <c r="Z342" s="90"/>
      <c r="AA342" s="90"/>
      <c r="AB342" s="91"/>
      <c r="AC342" s="91"/>
      <c r="AD342" s="91"/>
      <c r="AE342" s="91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  <c r="AQ342" s="86"/>
      <c r="AR342" s="86"/>
      <c r="AS342" s="86"/>
      <c r="AT342" s="86"/>
      <c r="AU342" s="86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</row>
    <row r="343" spans="1:64" ht="15.75" customHeight="1" x14ac:dyDescent="0.2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90"/>
      <c r="U343" s="90"/>
      <c r="V343" s="90"/>
      <c r="W343" s="90"/>
      <c r="X343" s="90"/>
      <c r="Y343" s="90"/>
      <c r="Z343" s="90"/>
      <c r="AA343" s="90"/>
      <c r="AB343" s="91"/>
      <c r="AC343" s="91"/>
      <c r="AD343" s="91"/>
      <c r="AE343" s="91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  <c r="AQ343" s="86"/>
      <c r="AR343" s="86"/>
      <c r="AS343" s="86"/>
      <c r="AT343" s="86"/>
      <c r="AU343" s="86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</row>
    <row r="344" spans="1:64" ht="15.75" customHeight="1" x14ac:dyDescent="0.2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90"/>
      <c r="U344" s="90"/>
      <c r="V344" s="90"/>
      <c r="W344" s="90"/>
      <c r="X344" s="90"/>
      <c r="Y344" s="90"/>
      <c r="Z344" s="90"/>
      <c r="AA344" s="90"/>
      <c r="AB344" s="91"/>
      <c r="AC344" s="91"/>
      <c r="AD344" s="91"/>
      <c r="AE344" s="91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  <c r="AQ344" s="86"/>
      <c r="AR344" s="86"/>
      <c r="AS344" s="86"/>
      <c r="AT344" s="86"/>
      <c r="AU344" s="86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</row>
    <row r="345" spans="1:64" ht="15.75" customHeight="1" x14ac:dyDescent="0.2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90"/>
      <c r="U345" s="90"/>
      <c r="V345" s="90"/>
      <c r="W345" s="90"/>
      <c r="X345" s="90"/>
      <c r="Y345" s="90"/>
      <c r="Z345" s="90"/>
      <c r="AA345" s="90"/>
      <c r="AB345" s="91"/>
      <c r="AC345" s="91"/>
      <c r="AD345" s="91"/>
      <c r="AE345" s="91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</row>
    <row r="346" spans="1:64" ht="15.75" customHeight="1" x14ac:dyDescent="0.2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90"/>
      <c r="U346" s="90"/>
      <c r="V346" s="90"/>
      <c r="W346" s="90"/>
      <c r="X346" s="90"/>
      <c r="Y346" s="90"/>
      <c r="Z346" s="90"/>
      <c r="AA346" s="90"/>
      <c r="AB346" s="91"/>
      <c r="AC346" s="91"/>
      <c r="AD346" s="91"/>
      <c r="AE346" s="91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  <c r="AQ346" s="86"/>
      <c r="AR346" s="86"/>
      <c r="AS346" s="86"/>
      <c r="AT346" s="86"/>
      <c r="AU346" s="86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</row>
    <row r="347" spans="1:64" ht="15.75" customHeight="1" x14ac:dyDescent="0.2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90"/>
      <c r="U347" s="90"/>
      <c r="V347" s="90"/>
      <c r="W347" s="90"/>
      <c r="X347" s="90"/>
      <c r="Y347" s="90"/>
      <c r="Z347" s="90"/>
      <c r="AA347" s="90"/>
      <c r="AB347" s="91"/>
      <c r="AC347" s="91"/>
      <c r="AD347" s="91"/>
      <c r="AE347" s="91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  <c r="AQ347" s="86"/>
      <c r="AR347" s="86"/>
      <c r="AS347" s="86"/>
      <c r="AT347" s="86"/>
      <c r="AU347" s="86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</row>
    <row r="348" spans="1:64" ht="15.75" customHeight="1" x14ac:dyDescent="0.2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90"/>
      <c r="U348" s="90"/>
      <c r="V348" s="90"/>
      <c r="W348" s="90"/>
      <c r="X348" s="90"/>
      <c r="Y348" s="90"/>
      <c r="Z348" s="90"/>
      <c r="AA348" s="90"/>
      <c r="AB348" s="91"/>
      <c r="AC348" s="91"/>
      <c r="AD348" s="91"/>
      <c r="AE348" s="91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  <c r="AQ348" s="86"/>
      <c r="AR348" s="86"/>
      <c r="AS348" s="86"/>
      <c r="AT348" s="86"/>
      <c r="AU348" s="86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</row>
    <row r="349" spans="1:64" ht="15.75" customHeight="1" x14ac:dyDescent="0.2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90"/>
      <c r="U349" s="90"/>
      <c r="V349" s="90"/>
      <c r="W349" s="90"/>
      <c r="X349" s="90"/>
      <c r="Y349" s="90"/>
      <c r="Z349" s="90"/>
      <c r="AA349" s="90"/>
      <c r="AB349" s="91"/>
      <c r="AC349" s="91"/>
      <c r="AD349" s="91"/>
      <c r="AE349" s="91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  <c r="AQ349" s="86"/>
      <c r="AR349" s="86"/>
      <c r="AS349" s="86"/>
      <c r="AT349" s="86"/>
      <c r="AU349" s="86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</row>
    <row r="350" spans="1:64" ht="15.75" customHeight="1" x14ac:dyDescent="0.2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90"/>
      <c r="U350" s="90"/>
      <c r="V350" s="90"/>
      <c r="W350" s="90"/>
      <c r="X350" s="90"/>
      <c r="Y350" s="90"/>
      <c r="Z350" s="90"/>
      <c r="AA350" s="90"/>
      <c r="AB350" s="91"/>
      <c r="AC350" s="91"/>
      <c r="AD350" s="91"/>
      <c r="AE350" s="91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  <c r="AQ350" s="86"/>
      <c r="AR350" s="86"/>
      <c r="AS350" s="86"/>
      <c r="AT350" s="86"/>
      <c r="AU350" s="86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</row>
    <row r="351" spans="1:64" ht="15.75" customHeight="1" x14ac:dyDescent="0.2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90"/>
      <c r="U351" s="90"/>
      <c r="V351" s="90"/>
      <c r="W351" s="90"/>
      <c r="X351" s="90"/>
      <c r="Y351" s="90"/>
      <c r="Z351" s="90"/>
      <c r="AA351" s="90"/>
      <c r="AB351" s="91"/>
      <c r="AC351" s="91"/>
      <c r="AD351" s="91"/>
      <c r="AE351" s="91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  <c r="AQ351" s="86"/>
      <c r="AR351" s="86"/>
      <c r="AS351" s="86"/>
      <c r="AT351" s="86"/>
      <c r="AU351" s="86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</row>
    <row r="352" spans="1:64" ht="15.75" customHeight="1" x14ac:dyDescent="0.2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90"/>
      <c r="U352" s="90"/>
      <c r="V352" s="90"/>
      <c r="W352" s="90"/>
      <c r="X352" s="90"/>
      <c r="Y352" s="90"/>
      <c r="Z352" s="90"/>
      <c r="AA352" s="90"/>
      <c r="AB352" s="91"/>
      <c r="AC352" s="91"/>
      <c r="AD352" s="91"/>
      <c r="AE352" s="91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  <c r="AQ352" s="86"/>
      <c r="AR352" s="86"/>
      <c r="AS352" s="86"/>
      <c r="AT352" s="86"/>
      <c r="AU352" s="86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</row>
    <row r="353" spans="1:64" ht="15.75" customHeight="1" x14ac:dyDescent="0.2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90"/>
      <c r="U353" s="90"/>
      <c r="V353" s="90"/>
      <c r="W353" s="90"/>
      <c r="X353" s="90"/>
      <c r="Y353" s="90"/>
      <c r="Z353" s="90"/>
      <c r="AA353" s="90"/>
      <c r="AB353" s="91"/>
      <c r="AC353" s="91"/>
      <c r="AD353" s="91"/>
      <c r="AE353" s="91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  <c r="AQ353" s="86"/>
      <c r="AR353" s="86"/>
      <c r="AS353" s="86"/>
      <c r="AT353" s="86"/>
      <c r="AU353" s="86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</row>
    <row r="354" spans="1:64" ht="15.75" customHeight="1" x14ac:dyDescent="0.2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90"/>
      <c r="U354" s="90"/>
      <c r="V354" s="90"/>
      <c r="W354" s="90"/>
      <c r="X354" s="90"/>
      <c r="Y354" s="90"/>
      <c r="Z354" s="90"/>
      <c r="AA354" s="90"/>
      <c r="AB354" s="91"/>
      <c r="AC354" s="91"/>
      <c r="AD354" s="91"/>
      <c r="AE354" s="91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  <c r="AQ354" s="86"/>
      <c r="AR354" s="86"/>
      <c r="AS354" s="86"/>
      <c r="AT354" s="86"/>
      <c r="AU354" s="86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</row>
    <row r="355" spans="1:64" ht="15.75" customHeight="1" x14ac:dyDescent="0.2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90"/>
      <c r="U355" s="90"/>
      <c r="V355" s="90"/>
      <c r="W355" s="90"/>
      <c r="X355" s="90"/>
      <c r="Y355" s="90"/>
      <c r="Z355" s="90"/>
      <c r="AA355" s="90"/>
      <c r="AB355" s="91"/>
      <c r="AC355" s="91"/>
      <c r="AD355" s="91"/>
      <c r="AE355" s="91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  <c r="AQ355" s="86"/>
      <c r="AR355" s="86"/>
      <c r="AS355" s="86"/>
      <c r="AT355" s="86"/>
      <c r="AU355" s="86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</row>
    <row r="356" spans="1:64" ht="15.75" customHeight="1" x14ac:dyDescent="0.2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90"/>
      <c r="U356" s="90"/>
      <c r="V356" s="90"/>
      <c r="W356" s="90"/>
      <c r="X356" s="90"/>
      <c r="Y356" s="90"/>
      <c r="Z356" s="90"/>
      <c r="AA356" s="90"/>
      <c r="AB356" s="91"/>
      <c r="AC356" s="91"/>
      <c r="AD356" s="91"/>
      <c r="AE356" s="91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  <c r="AQ356" s="86"/>
      <c r="AR356" s="86"/>
      <c r="AS356" s="86"/>
      <c r="AT356" s="86"/>
      <c r="AU356" s="86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</row>
    <row r="357" spans="1:64" ht="15.75" customHeight="1" x14ac:dyDescent="0.2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90"/>
      <c r="U357" s="90"/>
      <c r="V357" s="90"/>
      <c r="W357" s="90"/>
      <c r="X357" s="90"/>
      <c r="Y357" s="90"/>
      <c r="Z357" s="90"/>
      <c r="AA357" s="90"/>
      <c r="AB357" s="91"/>
      <c r="AC357" s="91"/>
      <c r="AD357" s="91"/>
      <c r="AE357" s="91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  <c r="AQ357" s="86"/>
      <c r="AR357" s="86"/>
      <c r="AS357" s="86"/>
      <c r="AT357" s="86"/>
      <c r="AU357" s="86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</row>
    <row r="358" spans="1:64" ht="15.75" customHeight="1" x14ac:dyDescent="0.2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90"/>
      <c r="U358" s="90"/>
      <c r="V358" s="90"/>
      <c r="W358" s="90"/>
      <c r="X358" s="90"/>
      <c r="Y358" s="90"/>
      <c r="Z358" s="90"/>
      <c r="AA358" s="90"/>
      <c r="AB358" s="91"/>
      <c r="AC358" s="91"/>
      <c r="AD358" s="91"/>
      <c r="AE358" s="91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  <c r="AQ358" s="86"/>
      <c r="AR358" s="86"/>
      <c r="AS358" s="86"/>
      <c r="AT358" s="86"/>
      <c r="AU358" s="86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</row>
    <row r="359" spans="1:64" ht="15.75" customHeight="1" x14ac:dyDescent="0.2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90"/>
      <c r="U359" s="90"/>
      <c r="V359" s="90"/>
      <c r="W359" s="90"/>
      <c r="X359" s="90"/>
      <c r="Y359" s="90"/>
      <c r="Z359" s="90"/>
      <c r="AA359" s="90"/>
      <c r="AB359" s="91"/>
      <c r="AC359" s="91"/>
      <c r="AD359" s="91"/>
      <c r="AE359" s="91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  <c r="AQ359" s="86"/>
      <c r="AR359" s="86"/>
      <c r="AS359" s="86"/>
      <c r="AT359" s="86"/>
      <c r="AU359" s="86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</row>
    <row r="360" spans="1:64" ht="15.75" customHeight="1" x14ac:dyDescent="0.2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90"/>
      <c r="U360" s="90"/>
      <c r="V360" s="90"/>
      <c r="W360" s="90"/>
      <c r="X360" s="90"/>
      <c r="Y360" s="90"/>
      <c r="Z360" s="90"/>
      <c r="AA360" s="90"/>
      <c r="AB360" s="91"/>
      <c r="AC360" s="91"/>
      <c r="AD360" s="91"/>
      <c r="AE360" s="91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  <c r="AQ360" s="86"/>
      <c r="AR360" s="86"/>
      <c r="AS360" s="86"/>
      <c r="AT360" s="86"/>
      <c r="AU360" s="86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</row>
    <row r="361" spans="1:64" ht="15.75" customHeight="1" x14ac:dyDescent="0.2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90"/>
      <c r="U361" s="90"/>
      <c r="V361" s="90"/>
      <c r="W361" s="90"/>
      <c r="X361" s="90"/>
      <c r="Y361" s="90"/>
      <c r="Z361" s="90"/>
      <c r="AA361" s="90"/>
      <c r="AB361" s="91"/>
      <c r="AC361" s="91"/>
      <c r="AD361" s="91"/>
      <c r="AE361" s="91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  <c r="AQ361" s="86"/>
      <c r="AR361" s="86"/>
      <c r="AS361" s="86"/>
      <c r="AT361" s="86"/>
      <c r="AU361" s="86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</row>
    <row r="362" spans="1:64" ht="15.75" customHeight="1" x14ac:dyDescent="0.2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90"/>
      <c r="U362" s="90"/>
      <c r="V362" s="90"/>
      <c r="W362" s="90"/>
      <c r="X362" s="90"/>
      <c r="Y362" s="90"/>
      <c r="Z362" s="90"/>
      <c r="AA362" s="90"/>
      <c r="AB362" s="91"/>
      <c r="AC362" s="91"/>
      <c r="AD362" s="91"/>
      <c r="AE362" s="91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  <c r="AQ362" s="86"/>
      <c r="AR362" s="86"/>
      <c r="AS362" s="86"/>
      <c r="AT362" s="86"/>
      <c r="AU362" s="86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</row>
    <row r="363" spans="1:64" ht="15.75" customHeight="1" x14ac:dyDescent="0.2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90"/>
      <c r="U363" s="90"/>
      <c r="V363" s="90"/>
      <c r="W363" s="90"/>
      <c r="X363" s="90"/>
      <c r="Y363" s="90"/>
      <c r="Z363" s="90"/>
      <c r="AA363" s="90"/>
      <c r="AB363" s="91"/>
      <c r="AC363" s="91"/>
      <c r="AD363" s="91"/>
      <c r="AE363" s="91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  <c r="AQ363" s="86"/>
      <c r="AR363" s="86"/>
      <c r="AS363" s="86"/>
      <c r="AT363" s="86"/>
      <c r="AU363" s="86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</row>
    <row r="364" spans="1:64" ht="15.75" customHeight="1" x14ac:dyDescent="0.2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90"/>
      <c r="U364" s="90"/>
      <c r="V364" s="90"/>
      <c r="W364" s="90"/>
      <c r="X364" s="90"/>
      <c r="Y364" s="90"/>
      <c r="Z364" s="90"/>
      <c r="AA364" s="90"/>
      <c r="AB364" s="91"/>
      <c r="AC364" s="91"/>
      <c r="AD364" s="91"/>
      <c r="AE364" s="91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  <c r="AQ364" s="86"/>
      <c r="AR364" s="86"/>
      <c r="AS364" s="86"/>
      <c r="AT364" s="86"/>
      <c r="AU364" s="86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</row>
    <row r="365" spans="1:64" ht="15.75" customHeight="1" x14ac:dyDescent="0.2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90"/>
      <c r="U365" s="90"/>
      <c r="V365" s="90"/>
      <c r="W365" s="90"/>
      <c r="X365" s="90"/>
      <c r="Y365" s="90"/>
      <c r="Z365" s="90"/>
      <c r="AA365" s="90"/>
      <c r="AB365" s="91"/>
      <c r="AC365" s="91"/>
      <c r="AD365" s="91"/>
      <c r="AE365" s="91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6"/>
      <c r="AS365" s="86"/>
      <c r="AT365" s="86"/>
      <c r="AU365" s="86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</row>
    <row r="366" spans="1:64" ht="15.75" customHeight="1" x14ac:dyDescent="0.2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90"/>
      <c r="U366" s="90"/>
      <c r="V366" s="90"/>
      <c r="W366" s="90"/>
      <c r="X366" s="90"/>
      <c r="Y366" s="90"/>
      <c r="Z366" s="90"/>
      <c r="AA366" s="90"/>
      <c r="AB366" s="91"/>
      <c r="AC366" s="91"/>
      <c r="AD366" s="91"/>
      <c r="AE366" s="91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86"/>
      <c r="AT366" s="86"/>
      <c r="AU366" s="86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</row>
    <row r="367" spans="1:64" ht="15.75" customHeight="1" x14ac:dyDescent="0.2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90"/>
      <c r="U367" s="90"/>
      <c r="V367" s="90"/>
      <c r="W367" s="90"/>
      <c r="X367" s="90"/>
      <c r="Y367" s="90"/>
      <c r="Z367" s="90"/>
      <c r="AA367" s="90"/>
      <c r="AB367" s="91"/>
      <c r="AC367" s="91"/>
      <c r="AD367" s="91"/>
      <c r="AE367" s="91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6"/>
      <c r="AS367" s="86"/>
      <c r="AT367" s="86"/>
      <c r="AU367" s="86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</row>
    <row r="368" spans="1:64" ht="15.75" customHeight="1" x14ac:dyDescent="0.2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90"/>
      <c r="U368" s="90"/>
      <c r="V368" s="90"/>
      <c r="W368" s="90"/>
      <c r="X368" s="90"/>
      <c r="Y368" s="90"/>
      <c r="Z368" s="90"/>
      <c r="AA368" s="90"/>
      <c r="AB368" s="91"/>
      <c r="AC368" s="91"/>
      <c r="AD368" s="91"/>
      <c r="AE368" s="91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6"/>
      <c r="AS368" s="86"/>
      <c r="AT368" s="86"/>
      <c r="AU368" s="86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</row>
    <row r="369" spans="1:64" ht="15.75" customHeight="1" x14ac:dyDescent="0.2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90"/>
      <c r="U369" s="90"/>
      <c r="V369" s="90"/>
      <c r="W369" s="90"/>
      <c r="X369" s="90"/>
      <c r="Y369" s="90"/>
      <c r="Z369" s="90"/>
      <c r="AA369" s="90"/>
      <c r="AB369" s="91"/>
      <c r="AC369" s="91"/>
      <c r="AD369" s="91"/>
      <c r="AE369" s="91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6"/>
      <c r="AS369" s="86"/>
      <c r="AT369" s="86"/>
      <c r="AU369" s="86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</row>
    <row r="370" spans="1:64" ht="15.75" customHeight="1" x14ac:dyDescent="0.2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90"/>
      <c r="U370" s="90"/>
      <c r="V370" s="90"/>
      <c r="W370" s="90"/>
      <c r="X370" s="90"/>
      <c r="Y370" s="90"/>
      <c r="Z370" s="90"/>
      <c r="AA370" s="90"/>
      <c r="AB370" s="91"/>
      <c r="AC370" s="91"/>
      <c r="AD370" s="91"/>
      <c r="AE370" s="91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6"/>
      <c r="AS370" s="86"/>
      <c r="AT370" s="86"/>
      <c r="AU370" s="86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</row>
    <row r="371" spans="1:64" ht="15.75" customHeight="1" x14ac:dyDescent="0.2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90"/>
      <c r="U371" s="90"/>
      <c r="V371" s="90"/>
      <c r="W371" s="90"/>
      <c r="X371" s="90"/>
      <c r="Y371" s="90"/>
      <c r="Z371" s="90"/>
      <c r="AA371" s="90"/>
      <c r="AB371" s="91"/>
      <c r="AC371" s="91"/>
      <c r="AD371" s="91"/>
      <c r="AE371" s="91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  <c r="AQ371" s="86"/>
      <c r="AR371" s="86"/>
      <c r="AS371" s="86"/>
      <c r="AT371" s="86"/>
      <c r="AU371" s="86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</row>
    <row r="372" spans="1:64" ht="15.75" customHeight="1" x14ac:dyDescent="0.2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90"/>
      <c r="U372" s="90"/>
      <c r="V372" s="90"/>
      <c r="W372" s="90"/>
      <c r="X372" s="90"/>
      <c r="Y372" s="90"/>
      <c r="Z372" s="90"/>
      <c r="AA372" s="90"/>
      <c r="AB372" s="91"/>
      <c r="AC372" s="91"/>
      <c r="AD372" s="91"/>
      <c r="AE372" s="91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  <c r="AQ372" s="86"/>
      <c r="AR372" s="86"/>
      <c r="AS372" s="86"/>
      <c r="AT372" s="86"/>
      <c r="AU372" s="86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</row>
    <row r="373" spans="1:64" ht="15.75" customHeight="1" x14ac:dyDescent="0.2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90"/>
      <c r="U373" s="90"/>
      <c r="V373" s="90"/>
      <c r="W373" s="90"/>
      <c r="X373" s="90"/>
      <c r="Y373" s="90"/>
      <c r="Z373" s="90"/>
      <c r="AA373" s="90"/>
      <c r="AB373" s="91"/>
      <c r="AC373" s="91"/>
      <c r="AD373" s="91"/>
      <c r="AE373" s="91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  <c r="AQ373" s="86"/>
      <c r="AR373" s="86"/>
      <c r="AS373" s="86"/>
      <c r="AT373" s="86"/>
      <c r="AU373" s="86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</row>
    <row r="374" spans="1:64" ht="15.75" customHeight="1" x14ac:dyDescent="0.2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90"/>
      <c r="U374" s="90"/>
      <c r="V374" s="90"/>
      <c r="W374" s="90"/>
      <c r="X374" s="90"/>
      <c r="Y374" s="90"/>
      <c r="Z374" s="90"/>
      <c r="AA374" s="90"/>
      <c r="AB374" s="91"/>
      <c r="AC374" s="91"/>
      <c r="AD374" s="91"/>
      <c r="AE374" s="91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  <c r="AQ374" s="86"/>
      <c r="AR374" s="86"/>
      <c r="AS374" s="86"/>
      <c r="AT374" s="86"/>
      <c r="AU374" s="86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</row>
    <row r="375" spans="1:64" ht="15.75" customHeight="1" x14ac:dyDescent="0.2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90"/>
      <c r="U375" s="90"/>
      <c r="V375" s="90"/>
      <c r="W375" s="90"/>
      <c r="X375" s="90"/>
      <c r="Y375" s="90"/>
      <c r="Z375" s="90"/>
      <c r="AA375" s="90"/>
      <c r="AB375" s="91"/>
      <c r="AC375" s="91"/>
      <c r="AD375" s="91"/>
      <c r="AE375" s="91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  <c r="AQ375" s="86"/>
      <c r="AR375" s="86"/>
      <c r="AS375" s="86"/>
      <c r="AT375" s="86"/>
      <c r="AU375" s="86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</row>
    <row r="376" spans="1:64" ht="15.75" customHeight="1" x14ac:dyDescent="0.2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90"/>
      <c r="U376" s="90"/>
      <c r="V376" s="90"/>
      <c r="W376" s="90"/>
      <c r="X376" s="90"/>
      <c r="Y376" s="90"/>
      <c r="Z376" s="90"/>
      <c r="AA376" s="90"/>
      <c r="AB376" s="91"/>
      <c r="AC376" s="91"/>
      <c r="AD376" s="91"/>
      <c r="AE376" s="91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  <c r="AQ376" s="86"/>
      <c r="AR376" s="86"/>
      <c r="AS376" s="86"/>
      <c r="AT376" s="86"/>
      <c r="AU376" s="86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</row>
    <row r="377" spans="1:64" ht="15.75" customHeight="1" x14ac:dyDescent="0.2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90"/>
      <c r="U377" s="90"/>
      <c r="V377" s="90"/>
      <c r="W377" s="90"/>
      <c r="X377" s="90"/>
      <c r="Y377" s="90"/>
      <c r="Z377" s="90"/>
      <c r="AA377" s="90"/>
      <c r="AB377" s="91"/>
      <c r="AC377" s="91"/>
      <c r="AD377" s="91"/>
      <c r="AE377" s="91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  <c r="AQ377" s="86"/>
      <c r="AR377" s="86"/>
      <c r="AS377" s="86"/>
      <c r="AT377" s="86"/>
      <c r="AU377" s="86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</row>
    <row r="378" spans="1:64" ht="15.75" customHeight="1" x14ac:dyDescent="0.2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90"/>
      <c r="U378" s="90"/>
      <c r="V378" s="90"/>
      <c r="W378" s="90"/>
      <c r="X378" s="90"/>
      <c r="Y378" s="90"/>
      <c r="Z378" s="90"/>
      <c r="AA378" s="90"/>
      <c r="AB378" s="91"/>
      <c r="AC378" s="91"/>
      <c r="AD378" s="91"/>
      <c r="AE378" s="91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  <c r="AQ378" s="86"/>
      <c r="AR378" s="86"/>
      <c r="AS378" s="86"/>
      <c r="AT378" s="86"/>
      <c r="AU378" s="86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</row>
    <row r="379" spans="1:64" ht="15.75" customHeight="1" x14ac:dyDescent="0.2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90"/>
      <c r="U379" s="90"/>
      <c r="V379" s="90"/>
      <c r="W379" s="90"/>
      <c r="X379" s="90"/>
      <c r="Y379" s="90"/>
      <c r="Z379" s="90"/>
      <c r="AA379" s="90"/>
      <c r="AB379" s="91"/>
      <c r="AC379" s="91"/>
      <c r="AD379" s="91"/>
      <c r="AE379" s="91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  <c r="AQ379" s="86"/>
      <c r="AR379" s="86"/>
      <c r="AS379" s="86"/>
      <c r="AT379" s="86"/>
      <c r="AU379" s="86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</row>
    <row r="380" spans="1:64" ht="15.75" customHeight="1" x14ac:dyDescent="0.2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90"/>
      <c r="U380" s="90"/>
      <c r="V380" s="90"/>
      <c r="W380" s="90"/>
      <c r="X380" s="90"/>
      <c r="Y380" s="90"/>
      <c r="Z380" s="90"/>
      <c r="AA380" s="90"/>
      <c r="AB380" s="91"/>
      <c r="AC380" s="91"/>
      <c r="AD380" s="91"/>
      <c r="AE380" s="91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  <c r="AQ380" s="86"/>
      <c r="AR380" s="86"/>
      <c r="AS380" s="86"/>
      <c r="AT380" s="86"/>
      <c r="AU380" s="86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</row>
    <row r="381" spans="1:64" ht="15.75" customHeight="1" x14ac:dyDescent="0.2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90"/>
      <c r="U381" s="90"/>
      <c r="V381" s="90"/>
      <c r="W381" s="90"/>
      <c r="X381" s="90"/>
      <c r="Y381" s="90"/>
      <c r="Z381" s="90"/>
      <c r="AA381" s="90"/>
      <c r="AB381" s="91"/>
      <c r="AC381" s="91"/>
      <c r="AD381" s="91"/>
      <c r="AE381" s="91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  <c r="AQ381" s="86"/>
      <c r="AR381" s="86"/>
      <c r="AS381" s="86"/>
      <c r="AT381" s="86"/>
      <c r="AU381" s="86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</row>
    <row r="382" spans="1:64" ht="15.75" customHeight="1" x14ac:dyDescent="0.2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90"/>
      <c r="U382" s="90"/>
      <c r="V382" s="90"/>
      <c r="W382" s="90"/>
      <c r="X382" s="90"/>
      <c r="Y382" s="90"/>
      <c r="Z382" s="90"/>
      <c r="AA382" s="90"/>
      <c r="AB382" s="91"/>
      <c r="AC382" s="91"/>
      <c r="AD382" s="91"/>
      <c r="AE382" s="91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  <c r="AQ382" s="86"/>
      <c r="AR382" s="86"/>
      <c r="AS382" s="86"/>
      <c r="AT382" s="86"/>
      <c r="AU382" s="86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</row>
    <row r="383" spans="1:64" ht="15.75" customHeight="1" x14ac:dyDescent="0.2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90"/>
      <c r="U383" s="90"/>
      <c r="V383" s="90"/>
      <c r="W383" s="90"/>
      <c r="X383" s="90"/>
      <c r="Y383" s="90"/>
      <c r="Z383" s="90"/>
      <c r="AA383" s="90"/>
      <c r="AB383" s="91"/>
      <c r="AC383" s="91"/>
      <c r="AD383" s="91"/>
      <c r="AE383" s="91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</row>
    <row r="384" spans="1:64" ht="15.75" customHeight="1" x14ac:dyDescent="0.2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90"/>
      <c r="U384" s="90"/>
      <c r="V384" s="90"/>
      <c r="W384" s="90"/>
      <c r="X384" s="90"/>
      <c r="Y384" s="90"/>
      <c r="Z384" s="90"/>
      <c r="AA384" s="90"/>
      <c r="AB384" s="91"/>
      <c r="AC384" s="91"/>
      <c r="AD384" s="91"/>
      <c r="AE384" s="91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  <c r="AQ384" s="86"/>
      <c r="AR384" s="86"/>
      <c r="AS384" s="86"/>
      <c r="AT384" s="86"/>
      <c r="AU384" s="86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</row>
    <row r="385" spans="1:64" ht="15.75" customHeight="1" x14ac:dyDescent="0.2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90"/>
      <c r="U385" s="90"/>
      <c r="V385" s="90"/>
      <c r="W385" s="90"/>
      <c r="X385" s="90"/>
      <c r="Y385" s="90"/>
      <c r="Z385" s="90"/>
      <c r="AA385" s="90"/>
      <c r="AB385" s="91"/>
      <c r="AC385" s="91"/>
      <c r="AD385" s="91"/>
      <c r="AE385" s="91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  <c r="AQ385" s="86"/>
      <c r="AR385" s="86"/>
      <c r="AS385" s="86"/>
      <c r="AT385" s="86"/>
      <c r="AU385" s="86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</row>
    <row r="386" spans="1:64" ht="15.75" customHeight="1" x14ac:dyDescent="0.2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90"/>
      <c r="U386" s="90"/>
      <c r="V386" s="90"/>
      <c r="W386" s="90"/>
      <c r="X386" s="90"/>
      <c r="Y386" s="90"/>
      <c r="Z386" s="90"/>
      <c r="AA386" s="90"/>
      <c r="AB386" s="91"/>
      <c r="AC386" s="91"/>
      <c r="AD386" s="91"/>
      <c r="AE386" s="91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  <c r="AQ386" s="86"/>
      <c r="AR386" s="86"/>
      <c r="AS386" s="86"/>
      <c r="AT386" s="86"/>
      <c r="AU386" s="86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</row>
    <row r="387" spans="1:64" ht="15.75" customHeight="1" x14ac:dyDescent="0.2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90"/>
      <c r="U387" s="90"/>
      <c r="V387" s="90"/>
      <c r="W387" s="90"/>
      <c r="X387" s="90"/>
      <c r="Y387" s="90"/>
      <c r="Z387" s="90"/>
      <c r="AA387" s="90"/>
      <c r="AB387" s="91"/>
      <c r="AC387" s="91"/>
      <c r="AD387" s="91"/>
      <c r="AE387" s="91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  <c r="AQ387" s="86"/>
      <c r="AR387" s="86"/>
      <c r="AS387" s="86"/>
      <c r="AT387" s="86"/>
      <c r="AU387" s="86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</row>
    <row r="388" spans="1:64" ht="15.75" customHeight="1" x14ac:dyDescent="0.2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90"/>
      <c r="U388" s="90"/>
      <c r="V388" s="90"/>
      <c r="W388" s="90"/>
      <c r="X388" s="90"/>
      <c r="Y388" s="90"/>
      <c r="Z388" s="90"/>
      <c r="AA388" s="90"/>
      <c r="AB388" s="91"/>
      <c r="AC388" s="91"/>
      <c r="AD388" s="91"/>
      <c r="AE388" s="91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  <c r="AQ388" s="86"/>
      <c r="AR388" s="86"/>
      <c r="AS388" s="86"/>
      <c r="AT388" s="86"/>
      <c r="AU388" s="86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</row>
    <row r="389" spans="1:64" ht="15.75" customHeight="1" x14ac:dyDescent="0.2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90"/>
      <c r="U389" s="90"/>
      <c r="V389" s="90"/>
      <c r="W389" s="90"/>
      <c r="X389" s="90"/>
      <c r="Y389" s="90"/>
      <c r="Z389" s="90"/>
      <c r="AA389" s="90"/>
      <c r="AB389" s="91"/>
      <c r="AC389" s="91"/>
      <c r="AD389" s="91"/>
      <c r="AE389" s="91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  <c r="AQ389" s="86"/>
      <c r="AR389" s="86"/>
      <c r="AS389" s="86"/>
      <c r="AT389" s="86"/>
      <c r="AU389" s="86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</row>
    <row r="390" spans="1:64" ht="15.75" customHeight="1" x14ac:dyDescent="0.2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90"/>
      <c r="U390" s="90"/>
      <c r="V390" s="90"/>
      <c r="W390" s="90"/>
      <c r="X390" s="90"/>
      <c r="Y390" s="90"/>
      <c r="Z390" s="90"/>
      <c r="AA390" s="90"/>
      <c r="AB390" s="91"/>
      <c r="AC390" s="91"/>
      <c r="AD390" s="91"/>
      <c r="AE390" s="91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  <c r="AQ390" s="86"/>
      <c r="AR390" s="86"/>
      <c r="AS390" s="86"/>
      <c r="AT390" s="86"/>
      <c r="AU390" s="86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</row>
    <row r="391" spans="1:64" ht="15.75" customHeight="1" x14ac:dyDescent="0.2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90"/>
      <c r="U391" s="90"/>
      <c r="V391" s="90"/>
      <c r="W391" s="90"/>
      <c r="X391" s="90"/>
      <c r="Y391" s="90"/>
      <c r="Z391" s="90"/>
      <c r="AA391" s="90"/>
      <c r="AB391" s="91"/>
      <c r="AC391" s="91"/>
      <c r="AD391" s="91"/>
      <c r="AE391" s="91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  <c r="AQ391" s="86"/>
      <c r="AR391" s="86"/>
      <c r="AS391" s="86"/>
      <c r="AT391" s="86"/>
      <c r="AU391" s="86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</row>
    <row r="392" spans="1:64" ht="15.75" customHeight="1" x14ac:dyDescent="0.2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90"/>
      <c r="U392" s="90"/>
      <c r="V392" s="90"/>
      <c r="W392" s="90"/>
      <c r="X392" s="90"/>
      <c r="Y392" s="90"/>
      <c r="Z392" s="90"/>
      <c r="AA392" s="90"/>
      <c r="AB392" s="91"/>
      <c r="AC392" s="91"/>
      <c r="AD392" s="91"/>
      <c r="AE392" s="91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  <c r="AQ392" s="86"/>
      <c r="AR392" s="86"/>
      <c r="AS392" s="86"/>
      <c r="AT392" s="86"/>
      <c r="AU392" s="86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</row>
    <row r="393" spans="1:64" ht="15.75" customHeight="1" x14ac:dyDescent="0.2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90"/>
      <c r="U393" s="90"/>
      <c r="V393" s="90"/>
      <c r="W393" s="90"/>
      <c r="X393" s="90"/>
      <c r="Y393" s="90"/>
      <c r="Z393" s="90"/>
      <c r="AA393" s="90"/>
      <c r="AB393" s="91"/>
      <c r="AC393" s="91"/>
      <c r="AD393" s="91"/>
      <c r="AE393" s="91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  <c r="AQ393" s="86"/>
      <c r="AR393" s="86"/>
      <c r="AS393" s="86"/>
      <c r="AT393" s="86"/>
      <c r="AU393" s="86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</row>
    <row r="394" spans="1:64" ht="15.75" customHeight="1" x14ac:dyDescent="0.2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90"/>
      <c r="U394" s="90"/>
      <c r="V394" s="90"/>
      <c r="W394" s="90"/>
      <c r="X394" s="90"/>
      <c r="Y394" s="90"/>
      <c r="Z394" s="90"/>
      <c r="AA394" s="90"/>
      <c r="AB394" s="91"/>
      <c r="AC394" s="91"/>
      <c r="AD394" s="91"/>
      <c r="AE394" s="91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  <c r="AQ394" s="86"/>
      <c r="AR394" s="86"/>
      <c r="AS394" s="86"/>
      <c r="AT394" s="86"/>
      <c r="AU394" s="86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</row>
    <row r="395" spans="1:64" ht="15.75" customHeight="1" x14ac:dyDescent="0.2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90"/>
      <c r="U395" s="90"/>
      <c r="V395" s="90"/>
      <c r="W395" s="90"/>
      <c r="X395" s="90"/>
      <c r="Y395" s="90"/>
      <c r="Z395" s="90"/>
      <c r="AA395" s="90"/>
      <c r="AB395" s="91"/>
      <c r="AC395" s="91"/>
      <c r="AD395" s="91"/>
      <c r="AE395" s="91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  <c r="AQ395" s="86"/>
      <c r="AR395" s="86"/>
      <c r="AS395" s="86"/>
      <c r="AT395" s="86"/>
      <c r="AU395" s="86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</row>
    <row r="396" spans="1:64" ht="15.75" customHeight="1" x14ac:dyDescent="0.2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90"/>
      <c r="U396" s="90"/>
      <c r="V396" s="90"/>
      <c r="W396" s="90"/>
      <c r="X396" s="90"/>
      <c r="Y396" s="90"/>
      <c r="Z396" s="90"/>
      <c r="AA396" s="90"/>
      <c r="AB396" s="91"/>
      <c r="AC396" s="91"/>
      <c r="AD396" s="91"/>
      <c r="AE396" s="91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  <c r="AQ396" s="86"/>
      <c r="AR396" s="86"/>
      <c r="AS396" s="86"/>
      <c r="AT396" s="86"/>
      <c r="AU396" s="86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</row>
    <row r="397" spans="1:64" ht="15.75" customHeight="1" x14ac:dyDescent="0.2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90"/>
      <c r="U397" s="90"/>
      <c r="V397" s="90"/>
      <c r="W397" s="90"/>
      <c r="X397" s="90"/>
      <c r="Y397" s="90"/>
      <c r="Z397" s="90"/>
      <c r="AA397" s="90"/>
      <c r="AB397" s="91"/>
      <c r="AC397" s="91"/>
      <c r="AD397" s="91"/>
      <c r="AE397" s="91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  <c r="AQ397" s="86"/>
      <c r="AR397" s="86"/>
      <c r="AS397" s="86"/>
      <c r="AT397" s="86"/>
      <c r="AU397" s="86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</row>
    <row r="398" spans="1:64" ht="15.75" customHeight="1" x14ac:dyDescent="0.2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90"/>
      <c r="U398" s="90"/>
      <c r="V398" s="90"/>
      <c r="W398" s="90"/>
      <c r="X398" s="90"/>
      <c r="Y398" s="90"/>
      <c r="Z398" s="90"/>
      <c r="AA398" s="90"/>
      <c r="AB398" s="91"/>
      <c r="AC398" s="91"/>
      <c r="AD398" s="91"/>
      <c r="AE398" s="91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  <c r="AQ398" s="86"/>
      <c r="AR398" s="86"/>
      <c r="AS398" s="86"/>
      <c r="AT398" s="86"/>
      <c r="AU398" s="86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</row>
    <row r="399" spans="1:64" ht="15.75" customHeight="1" x14ac:dyDescent="0.2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90"/>
      <c r="U399" s="90"/>
      <c r="V399" s="90"/>
      <c r="W399" s="90"/>
      <c r="X399" s="90"/>
      <c r="Y399" s="90"/>
      <c r="Z399" s="90"/>
      <c r="AA399" s="90"/>
      <c r="AB399" s="91"/>
      <c r="AC399" s="91"/>
      <c r="AD399" s="91"/>
      <c r="AE399" s="91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  <c r="AQ399" s="86"/>
      <c r="AR399" s="86"/>
      <c r="AS399" s="86"/>
      <c r="AT399" s="86"/>
      <c r="AU399" s="86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</row>
    <row r="400" spans="1:64" ht="15.75" customHeight="1" x14ac:dyDescent="0.2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90"/>
      <c r="U400" s="90"/>
      <c r="V400" s="90"/>
      <c r="W400" s="90"/>
      <c r="X400" s="90"/>
      <c r="Y400" s="90"/>
      <c r="Z400" s="90"/>
      <c r="AA400" s="90"/>
      <c r="AB400" s="91"/>
      <c r="AC400" s="91"/>
      <c r="AD400" s="91"/>
      <c r="AE400" s="91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  <c r="AQ400" s="86"/>
      <c r="AR400" s="86"/>
      <c r="AS400" s="86"/>
      <c r="AT400" s="86"/>
      <c r="AU400" s="86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</row>
    <row r="401" spans="1:64" ht="15.75" customHeight="1" x14ac:dyDescent="0.2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90"/>
      <c r="U401" s="90"/>
      <c r="V401" s="90"/>
      <c r="W401" s="90"/>
      <c r="X401" s="90"/>
      <c r="Y401" s="90"/>
      <c r="Z401" s="90"/>
      <c r="AA401" s="90"/>
      <c r="AB401" s="91"/>
      <c r="AC401" s="91"/>
      <c r="AD401" s="91"/>
      <c r="AE401" s="91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  <c r="AQ401" s="86"/>
      <c r="AR401" s="86"/>
      <c r="AS401" s="86"/>
      <c r="AT401" s="86"/>
      <c r="AU401" s="86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</row>
    <row r="402" spans="1:64" ht="15.75" customHeight="1" x14ac:dyDescent="0.2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90"/>
      <c r="U402" s="90"/>
      <c r="V402" s="90"/>
      <c r="W402" s="90"/>
      <c r="X402" s="90"/>
      <c r="Y402" s="90"/>
      <c r="Z402" s="90"/>
      <c r="AA402" s="90"/>
      <c r="AB402" s="91"/>
      <c r="AC402" s="91"/>
      <c r="AD402" s="91"/>
      <c r="AE402" s="91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  <c r="AQ402" s="86"/>
      <c r="AR402" s="86"/>
      <c r="AS402" s="86"/>
      <c r="AT402" s="86"/>
      <c r="AU402" s="86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</row>
    <row r="403" spans="1:64" ht="15.75" customHeight="1" x14ac:dyDescent="0.2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90"/>
      <c r="U403" s="90"/>
      <c r="V403" s="90"/>
      <c r="W403" s="90"/>
      <c r="X403" s="90"/>
      <c r="Y403" s="90"/>
      <c r="Z403" s="90"/>
      <c r="AA403" s="90"/>
      <c r="AB403" s="91"/>
      <c r="AC403" s="91"/>
      <c r="AD403" s="91"/>
      <c r="AE403" s="91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  <c r="AQ403" s="86"/>
      <c r="AR403" s="86"/>
      <c r="AS403" s="86"/>
      <c r="AT403" s="86"/>
      <c r="AU403" s="86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</row>
    <row r="404" spans="1:64" ht="15.75" customHeight="1" x14ac:dyDescent="0.2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90"/>
      <c r="U404" s="90"/>
      <c r="V404" s="90"/>
      <c r="W404" s="90"/>
      <c r="X404" s="90"/>
      <c r="Y404" s="90"/>
      <c r="Z404" s="90"/>
      <c r="AA404" s="90"/>
      <c r="AB404" s="91"/>
      <c r="AC404" s="91"/>
      <c r="AD404" s="91"/>
      <c r="AE404" s="91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  <c r="AQ404" s="86"/>
      <c r="AR404" s="86"/>
      <c r="AS404" s="86"/>
      <c r="AT404" s="86"/>
      <c r="AU404" s="86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</row>
    <row r="405" spans="1:64" ht="15.75" customHeight="1" x14ac:dyDescent="0.2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0"/>
      <c r="U405" s="90"/>
      <c r="V405" s="90"/>
      <c r="W405" s="90"/>
      <c r="X405" s="90"/>
      <c r="Y405" s="90"/>
      <c r="Z405" s="90"/>
      <c r="AA405" s="90"/>
      <c r="AB405" s="91"/>
      <c r="AC405" s="91"/>
      <c r="AD405" s="91"/>
      <c r="AE405" s="91"/>
      <c r="AF405" s="92"/>
      <c r="AG405" s="92"/>
      <c r="AH405" s="92"/>
      <c r="AI405" s="92"/>
      <c r="AJ405" s="92"/>
      <c r="AK405" s="92"/>
      <c r="AL405" s="92"/>
      <c r="AM405" s="92"/>
      <c r="AN405" s="92"/>
      <c r="AO405" s="92"/>
      <c r="AP405" s="92"/>
      <c r="AQ405" s="92"/>
      <c r="AR405" s="92"/>
      <c r="AS405" s="92"/>
      <c r="AT405" s="92"/>
      <c r="AU405" s="92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</row>
    <row r="406" spans="1:64" ht="15.75" customHeight="1" x14ac:dyDescent="0.2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0"/>
      <c r="U406" s="90"/>
      <c r="V406" s="90"/>
      <c r="W406" s="90"/>
      <c r="X406" s="90"/>
      <c r="Y406" s="90"/>
      <c r="Z406" s="90"/>
      <c r="AA406" s="90"/>
      <c r="AB406" s="91"/>
      <c r="AC406" s="91"/>
      <c r="AD406" s="91"/>
      <c r="AE406" s="91"/>
      <c r="AF406" s="92"/>
      <c r="AG406" s="92"/>
      <c r="AH406" s="92"/>
      <c r="AI406" s="92"/>
      <c r="AJ406" s="92"/>
      <c r="AK406" s="92"/>
      <c r="AL406" s="92"/>
      <c r="AM406" s="92"/>
      <c r="AN406" s="92"/>
      <c r="AO406" s="92"/>
      <c r="AP406" s="92"/>
      <c r="AQ406" s="92"/>
      <c r="AR406" s="92"/>
      <c r="AS406" s="92"/>
      <c r="AT406" s="92"/>
      <c r="AU406" s="92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</row>
    <row r="407" spans="1:64" ht="15.75" customHeight="1" x14ac:dyDescent="0.2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0"/>
      <c r="U407" s="90"/>
      <c r="V407" s="90"/>
      <c r="W407" s="90"/>
      <c r="X407" s="90"/>
      <c r="Y407" s="90"/>
      <c r="Z407" s="90"/>
      <c r="AA407" s="90"/>
      <c r="AB407" s="91"/>
      <c r="AC407" s="91"/>
      <c r="AD407" s="91"/>
      <c r="AE407" s="91"/>
      <c r="AF407" s="92"/>
      <c r="AG407" s="92"/>
      <c r="AH407" s="92"/>
      <c r="AI407" s="92"/>
      <c r="AJ407" s="92"/>
      <c r="AK407" s="92"/>
      <c r="AL407" s="92"/>
      <c r="AM407" s="92"/>
      <c r="AN407" s="92"/>
      <c r="AO407" s="92"/>
      <c r="AP407" s="92"/>
      <c r="AQ407" s="92"/>
      <c r="AR407" s="92"/>
      <c r="AS407" s="92"/>
      <c r="AT407" s="92"/>
      <c r="AU407" s="92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</row>
    <row r="408" spans="1:64" ht="15.75" customHeight="1" x14ac:dyDescent="0.2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0"/>
      <c r="U408" s="90"/>
      <c r="V408" s="90"/>
      <c r="W408" s="90"/>
      <c r="X408" s="90"/>
      <c r="Y408" s="90"/>
      <c r="Z408" s="90"/>
      <c r="AA408" s="90"/>
      <c r="AB408" s="91"/>
      <c r="AC408" s="91"/>
      <c r="AD408" s="91"/>
      <c r="AE408" s="91"/>
      <c r="AF408" s="92"/>
      <c r="AG408" s="92"/>
      <c r="AH408" s="92"/>
      <c r="AI408" s="92"/>
      <c r="AJ408" s="92"/>
      <c r="AK408" s="92"/>
      <c r="AL408" s="92"/>
      <c r="AM408" s="92"/>
      <c r="AN408" s="92"/>
      <c r="AO408" s="92"/>
      <c r="AP408" s="92"/>
      <c r="AQ408" s="92"/>
      <c r="AR408" s="92"/>
      <c r="AS408" s="92"/>
      <c r="AT408" s="92"/>
      <c r="AU408" s="92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</row>
    <row r="409" spans="1:64" ht="15.75" customHeight="1" x14ac:dyDescent="0.2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0"/>
      <c r="U409" s="90"/>
      <c r="V409" s="90"/>
      <c r="W409" s="90"/>
      <c r="X409" s="90"/>
      <c r="Y409" s="90"/>
      <c r="Z409" s="90"/>
      <c r="AA409" s="90"/>
      <c r="AB409" s="91"/>
      <c r="AC409" s="91"/>
      <c r="AD409" s="91"/>
      <c r="AE409" s="91"/>
      <c r="AF409" s="92"/>
      <c r="AG409" s="92"/>
      <c r="AH409" s="92"/>
      <c r="AI409" s="92"/>
      <c r="AJ409" s="92"/>
      <c r="AK409" s="92"/>
      <c r="AL409" s="92"/>
      <c r="AM409" s="92"/>
      <c r="AN409" s="92"/>
      <c r="AO409" s="92"/>
      <c r="AP409" s="92"/>
      <c r="AQ409" s="92"/>
      <c r="AR409" s="92"/>
      <c r="AS409" s="92"/>
      <c r="AT409" s="92"/>
      <c r="AU409" s="92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</row>
    <row r="410" spans="1:64" ht="15.75" customHeight="1" x14ac:dyDescent="0.2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0"/>
      <c r="U410" s="90"/>
      <c r="V410" s="90"/>
      <c r="W410" s="90"/>
      <c r="X410" s="90"/>
      <c r="Y410" s="90"/>
      <c r="Z410" s="90"/>
      <c r="AA410" s="90"/>
      <c r="AB410" s="91"/>
      <c r="AC410" s="91"/>
      <c r="AD410" s="91"/>
      <c r="AE410" s="91"/>
      <c r="AF410" s="92"/>
      <c r="AG410" s="92"/>
      <c r="AH410" s="92"/>
      <c r="AI410" s="92"/>
      <c r="AJ410" s="92"/>
      <c r="AK410" s="92"/>
      <c r="AL410" s="92"/>
      <c r="AM410" s="92"/>
      <c r="AN410" s="92"/>
      <c r="AO410" s="92"/>
      <c r="AP410" s="92"/>
      <c r="AQ410" s="92"/>
      <c r="AR410" s="92"/>
      <c r="AS410" s="92"/>
      <c r="AT410" s="92"/>
      <c r="AU410" s="92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</row>
    <row r="411" spans="1:64" ht="15.75" customHeight="1" x14ac:dyDescent="0.2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0"/>
      <c r="U411" s="90"/>
      <c r="V411" s="90"/>
      <c r="W411" s="90"/>
      <c r="X411" s="90"/>
      <c r="Y411" s="90"/>
      <c r="Z411" s="90"/>
      <c r="AA411" s="90"/>
      <c r="AB411" s="91"/>
      <c r="AC411" s="91"/>
      <c r="AD411" s="91"/>
      <c r="AE411" s="91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92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</row>
    <row r="412" spans="1:64" ht="15.75" customHeight="1" x14ac:dyDescent="0.2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0"/>
      <c r="U412" s="90"/>
      <c r="V412" s="90"/>
      <c r="W412" s="90"/>
      <c r="X412" s="90"/>
      <c r="Y412" s="90"/>
      <c r="Z412" s="90"/>
      <c r="AA412" s="90"/>
      <c r="AB412" s="91"/>
      <c r="AC412" s="91"/>
      <c r="AD412" s="91"/>
      <c r="AE412" s="91"/>
      <c r="AF412" s="92"/>
      <c r="AG412" s="92"/>
      <c r="AH412" s="92"/>
      <c r="AI412" s="92"/>
      <c r="AJ412" s="92"/>
      <c r="AK412" s="92"/>
      <c r="AL412" s="92"/>
      <c r="AM412" s="92"/>
      <c r="AN412" s="92"/>
      <c r="AO412" s="92"/>
      <c r="AP412" s="92"/>
      <c r="AQ412" s="92"/>
      <c r="AR412" s="92"/>
      <c r="AS412" s="92"/>
      <c r="AT412" s="92"/>
      <c r="AU412" s="92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</row>
    <row r="413" spans="1:64" ht="15.75" customHeight="1" x14ac:dyDescent="0.2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0"/>
      <c r="U413" s="90"/>
      <c r="V413" s="90"/>
      <c r="W413" s="90"/>
      <c r="X413" s="90"/>
      <c r="Y413" s="90"/>
      <c r="Z413" s="90"/>
      <c r="AA413" s="90"/>
      <c r="AB413" s="91"/>
      <c r="AC413" s="91"/>
      <c r="AD413" s="91"/>
      <c r="AE413" s="91"/>
      <c r="AF413" s="92"/>
      <c r="AG413" s="92"/>
      <c r="AH413" s="92"/>
      <c r="AI413" s="92"/>
      <c r="AJ413" s="92"/>
      <c r="AK413" s="92"/>
      <c r="AL413" s="92"/>
      <c r="AM413" s="92"/>
      <c r="AN413" s="92"/>
      <c r="AO413" s="92"/>
      <c r="AP413" s="92"/>
      <c r="AQ413" s="92"/>
      <c r="AR413" s="92"/>
      <c r="AS413" s="92"/>
      <c r="AT413" s="92"/>
      <c r="AU413" s="92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</row>
    <row r="414" spans="1:64" ht="15.75" customHeight="1" x14ac:dyDescent="0.2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0"/>
      <c r="U414" s="90"/>
      <c r="V414" s="90"/>
      <c r="W414" s="90"/>
      <c r="X414" s="90"/>
      <c r="Y414" s="90"/>
      <c r="Z414" s="90"/>
      <c r="AA414" s="90"/>
      <c r="AB414" s="91"/>
      <c r="AC414" s="91"/>
      <c r="AD414" s="91"/>
      <c r="AE414" s="91"/>
      <c r="AF414" s="92"/>
      <c r="AG414" s="92"/>
      <c r="AH414" s="92"/>
      <c r="AI414" s="92"/>
      <c r="AJ414" s="92"/>
      <c r="AK414" s="92"/>
      <c r="AL414" s="92"/>
      <c r="AM414" s="92"/>
      <c r="AN414" s="92"/>
      <c r="AO414" s="92"/>
      <c r="AP414" s="92"/>
      <c r="AQ414" s="92"/>
      <c r="AR414" s="92"/>
      <c r="AS414" s="92"/>
      <c r="AT414" s="92"/>
      <c r="AU414" s="92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</row>
    <row r="415" spans="1:64" ht="15.75" customHeight="1" x14ac:dyDescent="0.2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0"/>
      <c r="U415" s="90"/>
      <c r="V415" s="90"/>
      <c r="W415" s="90"/>
      <c r="X415" s="90"/>
      <c r="Y415" s="90"/>
      <c r="Z415" s="90"/>
      <c r="AA415" s="90"/>
      <c r="AB415" s="91"/>
      <c r="AC415" s="91"/>
      <c r="AD415" s="91"/>
      <c r="AE415" s="91"/>
      <c r="AF415" s="92"/>
      <c r="AG415" s="92"/>
      <c r="AH415" s="92"/>
      <c r="AI415" s="92"/>
      <c r="AJ415" s="92"/>
      <c r="AK415" s="92"/>
      <c r="AL415" s="92"/>
      <c r="AM415" s="92"/>
      <c r="AN415" s="92"/>
      <c r="AO415" s="92"/>
      <c r="AP415" s="92"/>
      <c r="AQ415" s="92"/>
      <c r="AR415" s="92"/>
      <c r="AS415" s="92"/>
      <c r="AT415" s="92"/>
      <c r="AU415" s="92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</row>
    <row r="416" spans="1:64" ht="15.75" customHeight="1" x14ac:dyDescent="0.2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0"/>
      <c r="U416" s="90"/>
      <c r="V416" s="90"/>
      <c r="W416" s="90"/>
      <c r="X416" s="90"/>
      <c r="Y416" s="90"/>
      <c r="Z416" s="90"/>
      <c r="AA416" s="90"/>
      <c r="AB416" s="91"/>
      <c r="AC416" s="91"/>
      <c r="AD416" s="91"/>
      <c r="AE416" s="91"/>
      <c r="AF416" s="92"/>
      <c r="AG416" s="92"/>
      <c r="AH416" s="92"/>
      <c r="AI416" s="92"/>
      <c r="AJ416" s="92"/>
      <c r="AK416" s="92"/>
      <c r="AL416" s="92"/>
      <c r="AM416" s="92"/>
      <c r="AN416" s="92"/>
      <c r="AO416" s="92"/>
      <c r="AP416" s="92"/>
      <c r="AQ416" s="92"/>
      <c r="AR416" s="92"/>
      <c r="AS416" s="92"/>
      <c r="AT416" s="92"/>
      <c r="AU416" s="92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</row>
    <row r="417" spans="1:64" ht="15.75" customHeight="1" x14ac:dyDescent="0.2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0"/>
      <c r="U417" s="90"/>
      <c r="V417" s="90"/>
      <c r="W417" s="90"/>
      <c r="X417" s="90"/>
      <c r="Y417" s="90"/>
      <c r="Z417" s="90"/>
      <c r="AA417" s="90"/>
      <c r="AB417" s="91"/>
      <c r="AC417" s="91"/>
      <c r="AD417" s="91"/>
      <c r="AE417" s="91"/>
      <c r="AF417" s="92"/>
      <c r="AG417" s="92"/>
      <c r="AH417" s="92"/>
      <c r="AI417" s="92"/>
      <c r="AJ417" s="92"/>
      <c r="AK417" s="92"/>
      <c r="AL417" s="92"/>
      <c r="AM417" s="92"/>
      <c r="AN417" s="92"/>
      <c r="AO417" s="92"/>
      <c r="AP417" s="92"/>
      <c r="AQ417" s="92"/>
      <c r="AR417" s="92"/>
      <c r="AS417" s="92"/>
      <c r="AT417" s="92"/>
      <c r="AU417" s="92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</row>
    <row r="418" spans="1:64" ht="15.75" customHeight="1" x14ac:dyDescent="0.2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0"/>
      <c r="U418" s="90"/>
      <c r="V418" s="90"/>
      <c r="W418" s="90"/>
      <c r="X418" s="90"/>
      <c r="Y418" s="90"/>
      <c r="Z418" s="90"/>
      <c r="AA418" s="90"/>
      <c r="AB418" s="91"/>
      <c r="AC418" s="91"/>
      <c r="AD418" s="91"/>
      <c r="AE418" s="91"/>
      <c r="AF418" s="92"/>
      <c r="AG418" s="92"/>
      <c r="AH418" s="92"/>
      <c r="AI418" s="92"/>
      <c r="AJ418" s="92"/>
      <c r="AK418" s="92"/>
      <c r="AL418" s="92"/>
      <c r="AM418" s="92"/>
      <c r="AN418" s="92"/>
      <c r="AO418" s="92"/>
      <c r="AP418" s="92"/>
      <c r="AQ418" s="92"/>
      <c r="AR418" s="92"/>
      <c r="AS418" s="92"/>
      <c r="AT418" s="92"/>
      <c r="AU418" s="92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</row>
    <row r="419" spans="1:64" ht="15.75" customHeight="1" x14ac:dyDescent="0.2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0"/>
      <c r="U419" s="90"/>
      <c r="V419" s="90"/>
      <c r="W419" s="90"/>
      <c r="X419" s="90"/>
      <c r="Y419" s="90"/>
      <c r="Z419" s="90"/>
      <c r="AA419" s="90"/>
      <c r="AB419" s="91"/>
      <c r="AC419" s="91"/>
      <c r="AD419" s="91"/>
      <c r="AE419" s="91"/>
      <c r="AF419" s="92"/>
      <c r="AG419" s="92"/>
      <c r="AH419" s="92"/>
      <c r="AI419" s="92"/>
      <c r="AJ419" s="92"/>
      <c r="AK419" s="92"/>
      <c r="AL419" s="92"/>
      <c r="AM419" s="92"/>
      <c r="AN419" s="92"/>
      <c r="AO419" s="92"/>
      <c r="AP419" s="92"/>
      <c r="AQ419" s="92"/>
      <c r="AR419" s="92"/>
      <c r="AS419" s="92"/>
      <c r="AT419" s="92"/>
      <c r="AU419" s="92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</row>
    <row r="420" spans="1:64" ht="15.75" customHeight="1" x14ac:dyDescent="0.2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0"/>
      <c r="U420" s="90"/>
      <c r="V420" s="90"/>
      <c r="W420" s="90"/>
      <c r="X420" s="90"/>
      <c r="Y420" s="90"/>
      <c r="Z420" s="90"/>
      <c r="AA420" s="90"/>
      <c r="AB420" s="91"/>
      <c r="AC420" s="91"/>
      <c r="AD420" s="91"/>
      <c r="AE420" s="91"/>
      <c r="AF420" s="92"/>
      <c r="AG420" s="92"/>
      <c r="AH420" s="92"/>
      <c r="AI420" s="92"/>
      <c r="AJ420" s="92"/>
      <c r="AK420" s="92"/>
      <c r="AL420" s="92"/>
      <c r="AM420" s="92"/>
      <c r="AN420" s="92"/>
      <c r="AO420" s="92"/>
      <c r="AP420" s="92"/>
      <c r="AQ420" s="92"/>
      <c r="AR420" s="92"/>
      <c r="AS420" s="92"/>
      <c r="AT420" s="92"/>
      <c r="AU420" s="92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</row>
    <row r="421" spans="1:64" ht="15.75" customHeight="1" x14ac:dyDescent="0.2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0"/>
      <c r="U421" s="90"/>
      <c r="V421" s="90"/>
      <c r="W421" s="90"/>
      <c r="X421" s="90"/>
      <c r="Y421" s="90"/>
      <c r="Z421" s="90"/>
      <c r="AA421" s="90"/>
      <c r="AB421" s="91"/>
      <c r="AC421" s="91"/>
      <c r="AD421" s="91"/>
      <c r="AE421" s="91"/>
      <c r="AF421" s="92"/>
      <c r="AG421" s="92"/>
      <c r="AH421" s="92"/>
      <c r="AI421" s="92"/>
      <c r="AJ421" s="92"/>
      <c r="AK421" s="92"/>
      <c r="AL421" s="92"/>
      <c r="AM421" s="92"/>
      <c r="AN421" s="92"/>
      <c r="AO421" s="92"/>
      <c r="AP421" s="92"/>
      <c r="AQ421" s="92"/>
      <c r="AR421" s="92"/>
      <c r="AS421" s="92"/>
      <c r="AT421" s="92"/>
      <c r="AU421" s="92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</row>
    <row r="422" spans="1:64" ht="15.75" customHeight="1" x14ac:dyDescent="0.2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0"/>
      <c r="U422" s="90"/>
      <c r="V422" s="90"/>
      <c r="W422" s="90"/>
      <c r="X422" s="90"/>
      <c r="Y422" s="90"/>
      <c r="Z422" s="90"/>
      <c r="AA422" s="90"/>
      <c r="AB422" s="91"/>
      <c r="AC422" s="91"/>
      <c r="AD422" s="91"/>
      <c r="AE422" s="91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92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</row>
    <row r="423" spans="1:64" ht="15.75" customHeight="1" x14ac:dyDescent="0.2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0"/>
      <c r="U423" s="90"/>
      <c r="V423" s="90"/>
      <c r="W423" s="90"/>
      <c r="X423" s="90"/>
      <c r="Y423" s="90"/>
      <c r="Z423" s="90"/>
      <c r="AA423" s="90"/>
      <c r="AB423" s="91"/>
      <c r="AC423" s="91"/>
      <c r="AD423" s="91"/>
      <c r="AE423" s="91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92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</row>
    <row r="424" spans="1:64" ht="15.75" customHeight="1" x14ac:dyDescent="0.2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0"/>
      <c r="U424" s="90"/>
      <c r="V424" s="90"/>
      <c r="W424" s="90"/>
      <c r="X424" s="90"/>
      <c r="Y424" s="90"/>
      <c r="Z424" s="90"/>
      <c r="AA424" s="90"/>
      <c r="AB424" s="91"/>
      <c r="AC424" s="91"/>
      <c r="AD424" s="91"/>
      <c r="AE424" s="91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92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</row>
    <row r="425" spans="1:64" ht="15.75" customHeight="1" x14ac:dyDescent="0.2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0"/>
      <c r="U425" s="90"/>
      <c r="V425" s="90"/>
      <c r="W425" s="90"/>
      <c r="X425" s="90"/>
      <c r="Y425" s="90"/>
      <c r="Z425" s="90"/>
      <c r="AA425" s="90"/>
      <c r="AB425" s="91"/>
      <c r="AC425" s="91"/>
      <c r="AD425" s="91"/>
      <c r="AE425" s="91"/>
      <c r="AF425" s="92"/>
      <c r="AG425" s="92"/>
      <c r="AH425" s="92"/>
      <c r="AI425" s="92"/>
      <c r="AJ425" s="92"/>
      <c r="AK425" s="92"/>
      <c r="AL425" s="92"/>
      <c r="AM425" s="92"/>
      <c r="AN425" s="92"/>
      <c r="AO425" s="92"/>
      <c r="AP425" s="92"/>
      <c r="AQ425" s="92"/>
      <c r="AR425" s="92"/>
      <c r="AS425" s="92"/>
      <c r="AT425" s="92"/>
      <c r="AU425" s="92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</row>
    <row r="426" spans="1:64" ht="15.75" customHeight="1" x14ac:dyDescent="0.2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0"/>
      <c r="U426" s="90"/>
      <c r="V426" s="90"/>
      <c r="W426" s="90"/>
      <c r="X426" s="90"/>
      <c r="Y426" s="90"/>
      <c r="Z426" s="90"/>
      <c r="AA426" s="90"/>
      <c r="AB426" s="91"/>
      <c r="AC426" s="91"/>
      <c r="AD426" s="91"/>
      <c r="AE426" s="91"/>
      <c r="AF426" s="92"/>
      <c r="AG426" s="92"/>
      <c r="AH426" s="92"/>
      <c r="AI426" s="92"/>
      <c r="AJ426" s="92"/>
      <c r="AK426" s="92"/>
      <c r="AL426" s="92"/>
      <c r="AM426" s="92"/>
      <c r="AN426" s="92"/>
      <c r="AO426" s="92"/>
      <c r="AP426" s="92"/>
      <c r="AQ426" s="92"/>
      <c r="AR426" s="92"/>
      <c r="AS426" s="92"/>
      <c r="AT426" s="92"/>
      <c r="AU426" s="92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</row>
    <row r="427" spans="1:64" ht="15.75" customHeight="1" x14ac:dyDescent="0.2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0"/>
      <c r="U427" s="90"/>
      <c r="V427" s="90"/>
      <c r="W427" s="90"/>
      <c r="X427" s="90"/>
      <c r="Y427" s="90"/>
      <c r="Z427" s="90"/>
      <c r="AA427" s="90"/>
      <c r="AB427" s="91"/>
      <c r="AC427" s="91"/>
      <c r="AD427" s="91"/>
      <c r="AE427" s="91"/>
      <c r="AF427" s="92"/>
      <c r="AG427" s="92"/>
      <c r="AH427" s="92"/>
      <c r="AI427" s="92"/>
      <c r="AJ427" s="92"/>
      <c r="AK427" s="92"/>
      <c r="AL427" s="92"/>
      <c r="AM427" s="92"/>
      <c r="AN427" s="92"/>
      <c r="AO427" s="92"/>
      <c r="AP427" s="92"/>
      <c r="AQ427" s="92"/>
      <c r="AR427" s="92"/>
      <c r="AS427" s="92"/>
      <c r="AT427" s="92"/>
      <c r="AU427" s="92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</row>
    <row r="428" spans="1:64" ht="15.75" customHeight="1" x14ac:dyDescent="0.2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0"/>
      <c r="U428" s="90"/>
      <c r="V428" s="90"/>
      <c r="W428" s="90"/>
      <c r="X428" s="90"/>
      <c r="Y428" s="90"/>
      <c r="Z428" s="90"/>
      <c r="AA428" s="90"/>
      <c r="AB428" s="91"/>
      <c r="AC428" s="91"/>
      <c r="AD428" s="91"/>
      <c r="AE428" s="91"/>
      <c r="AF428" s="92"/>
      <c r="AG428" s="92"/>
      <c r="AH428" s="92"/>
      <c r="AI428" s="92"/>
      <c r="AJ428" s="92"/>
      <c r="AK428" s="92"/>
      <c r="AL428" s="92"/>
      <c r="AM428" s="92"/>
      <c r="AN428" s="92"/>
      <c r="AO428" s="92"/>
      <c r="AP428" s="92"/>
      <c r="AQ428" s="92"/>
      <c r="AR428" s="92"/>
      <c r="AS428" s="92"/>
      <c r="AT428" s="92"/>
      <c r="AU428" s="92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</row>
    <row r="429" spans="1:64" ht="15.75" customHeight="1" x14ac:dyDescent="0.2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0"/>
      <c r="U429" s="90"/>
      <c r="V429" s="90"/>
      <c r="W429" s="90"/>
      <c r="X429" s="90"/>
      <c r="Y429" s="90"/>
      <c r="Z429" s="90"/>
      <c r="AA429" s="90"/>
      <c r="AB429" s="91"/>
      <c r="AC429" s="91"/>
      <c r="AD429" s="91"/>
      <c r="AE429" s="91"/>
      <c r="AF429" s="92"/>
      <c r="AG429" s="92"/>
      <c r="AH429" s="92"/>
      <c r="AI429" s="92"/>
      <c r="AJ429" s="92"/>
      <c r="AK429" s="92"/>
      <c r="AL429" s="92"/>
      <c r="AM429" s="92"/>
      <c r="AN429" s="92"/>
      <c r="AO429" s="92"/>
      <c r="AP429" s="92"/>
      <c r="AQ429" s="92"/>
      <c r="AR429" s="92"/>
      <c r="AS429" s="92"/>
      <c r="AT429" s="92"/>
      <c r="AU429" s="92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</row>
    <row r="430" spans="1:64" ht="15.75" customHeight="1" x14ac:dyDescent="0.2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0"/>
      <c r="U430" s="90"/>
      <c r="V430" s="90"/>
      <c r="W430" s="90"/>
      <c r="X430" s="90"/>
      <c r="Y430" s="90"/>
      <c r="Z430" s="90"/>
      <c r="AA430" s="90"/>
      <c r="AB430" s="91"/>
      <c r="AC430" s="91"/>
      <c r="AD430" s="91"/>
      <c r="AE430" s="91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92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</row>
    <row r="431" spans="1:64" ht="15.75" customHeight="1" x14ac:dyDescent="0.2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0"/>
      <c r="U431" s="90"/>
      <c r="V431" s="90"/>
      <c r="W431" s="90"/>
      <c r="X431" s="90"/>
      <c r="Y431" s="90"/>
      <c r="Z431" s="90"/>
      <c r="AA431" s="90"/>
      <c r="AB431" s="91"/>
      <c r="AC431" s="91"/>
      <c r="AD431" s="91"/>
      <c r="AE431" s="91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92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</row>
    <row r="432" spans="1:64" ht="15.75" customHeight="1" x14ac:dyDescent="0.2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0"/>
      <c r="U432" s="90"/>
      <c r="V432" s="90"/>
      <c r="W432" s="90"/>
      <c r="X432" s="90"/>
      <c r="Y432" s="90"/>
      <c r="Z432" s="90"/>
      <c r="AA432" s="90"/>
      <c r="AB432" s="91"/>
      <c r="AC432" s="91"/>
      <c r="AD432" s="91"/>
      <c r="AE432" s="91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92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</row>
    <row r="433" spans="1:64" ht="15.75" customHeight="1" x14ac:dyDescent="0.2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0"/>
      <c r="U433" s="90"/>
      <c r="V433" s="90"/>
      <c r="W433" s="90"/>
      <c r="X433" s="90"/>
      <c r="Y433" s="90"/>
      <c r="Z433" s="90"/>
      <c r="AA433" s="90"/>
      <c r="AB433" s="91"/>
      <c r="AC433" s="91"/>
      <c r="AD433" s="91"/>
      <c r="AE433" s="91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92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</row>
    <row r="434" spans="1:64" ht="15.75" customHeight="1" x14ac:dyDescent="0.2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0"/>
      <c r="U434" s="90"/>
      <c r="V434" s="90"/>
      <c r="W434" s="90"/>
      <c r="X434" s="90"/>
      <c r="Y434" s="90"/>
      <c r="Z434" s="90"/>
      <c r="AA434" s="90"/>
      <c r="AB434" s="91"/>
      <c r="AC434" s="91"/>
      <c r="AD434" s="91"/>
      <c r="AE434" s="91"/>
      <c r="AF434" s="92"/>
      <c r="AG434" s="92"/>
      <c r="AH434" s="92"/>
      <c r="AI434" s="92"/>
      <c r="AJ434" s="92"/>
      <c r="AK434" s="92"/>
      <c r="AL434" s="92"/>
      <c r="AM434" s="92"/>
      <c r="AN434" s="92"/>
      <c r="AO434" s="92"/>
      <c r="AP434" s="92"/>
      <c r="AQ434" s="92"/>
      <c r="AR434" s="92"/>
      <c r="AS434" s="92"/>
      <c r="AT434" s="92"/>
      <c r="AU434" s="92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</row>
    <row r="435" spans="1:64" ht="15.75" customHeight="1" x14ac:dyDescent="0.2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0"/>
      <c r="U435" s="90"/>
      <c r="V435" s="90"/>
      <c r="W435" s="90"/>
      <c r="X435" s="90"/>
      <c r="Y435" s="90"/>
      <c r="Z435" s="90"/>
      <c r="AA435" s="90"/>
      <c r="AB435" s="91"/>
      <c r="AC435" s="91"/>
      <c r="AD435" s="91"/>
      <c r="AE435" s="91"/>
      <c r="AF435" s="92"/>
      <c r="AG435" s="92"/>
      <c r="AH435" s="92"/>
      <c r="AI435" s="92"/>
      <c r="AJ435" s="92"/>
      <c r="AK435" s="92"/>
      <c r="AL435" s="92"/>
      <c r="AM435" s="92"/>
      <c r="AN435" s="92"/>
      <c r="AO435" s="92"/>
      <c r="AP435" s="92"/>
      <c r="AQ435" s="92"/>
      <c r="AR435" s="92"/>
      <c r="AS435" s="92"/>
      <c r="AT435" s="92"/>
      <c r="AU435" s="92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</row>
    <row r="436" spans="1:64" ht="15.75" customHeight="1" x14ac:dyDescent="0.2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0"/>
      <c r="U436" s="90"/>
      <c r="V436" s="90"/>
      <c r="W436" s="90"/>
      <c r="X436" s="90"/>
      <c r="Y436" s="90"/>
      <c r="Z436" s="90"/>
      <c r="AA436" s="90"/>
      <c r="AB436" s="91"/>
      <c r="AC436" s="91"/>
      <c r="AD436" s="91"/>
      <c r="AE436" s="91"/>
      <c r="AF436" s="92"/>
      <c r="AG436" s="92"/>
      <c r="AH436" s="92"/>
      <c r="AI436" s="92"/>
      <c r="AJ436" s="92"/>
      <c r="AK436" s="92"/>
      <c r="AL436" s="92"/>
      <c r="AM436" s="92"/>
      <c r="AN436" s="92"/>
      <c r="AO436" s="92"/>
      <c r="AP436" s="92"/>
      <c r="AQ436" s="92"/>
      <c r="AR436" s="92"/>
      <c r="AS436" s="92"/>
      <c r="AT436" s="92"/>
      <c r="AU436" s="92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</row>
    <row r="437" spans="1:64" ht="15.75" customHeight="1" x14ac:dyDescent="0.2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0"/>
      <c r="U437" s="90"/>
      <c r="V437" s="90"/>
      <c r="W437" s="90"/>
      <c r="X437" s="90"/>
      <c r="Y437" s="90"/>
      <c r="Z437" s="90"/>
      <c r="AA437" s="90"/>
      <c r="AB437" s="91"/>
      <c r="AC437" s="91"/>
      <c r="AD437" s="91"/>
      <c r="AE437" s="91"/>
      <c r="AF437" s="92"/>
      <c r="AG437" s="92"/>
      <c r="AH437" s="92"/>
      <c r="AI437" s="92"/>
      <c r="AJ437" s="92"/>
      <c r="AK437" s="92"/>
      <c r="AL437" s="92"/>
      <c r="AM437" s="92"/>
      <c r="AN437" s="92"/>
      <c r="AO437" s="92"/>
      <c r="AP437" s="92"/>
      <c r="AQ437" s="92"/>
      <c r="AR437" s="92"/>
      <c r="AS437" s="92"/>
      <c r="AT437" s="92"/>
      <c r="AU437" s="92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</row>
    <row r="438" spans="1:64" ht="15.75" customHeight="1" x14ac:dyDescent="0.2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0"/>
      <c r="U438" s="90"/>
      <c r="V438" s="90"/>
      <c r="W438" s="90"/>
      <c r="X438" s="90"/>
      <c r="Y438" s="90"/>
      <c r="Z438" s="90"/>
      <c r="AA438" s="90"/>
      <c r="AB438" s="91"/>
      <c r="AC438" s="91"/>
      <c r="AD438" s="91"/>
      <c r="AE438" s="91"/>
      <c r="AF438" s="92"/>
      <c r="AG438" s="92"/>
      <c r="AH438" s="92"/>
      <c r="AI438" s="92"/>
      <c r="AJ438" s="92"/>
      <c r="AK438" s="92"/>
      <c r="AL438" s="92"/>
      <c r="AM438" s="92"/>
      <c r="AN438" s="92"/>
      <c r="AO438" s="92"/>
      <c r="AP438" s="92"/>
      <c r="AQ438" s="92"/>
      <c r="AR438" s="92"/>
      <c r="AS438" s="92"/>
      <c r="AT438" s="92"/>
      <c r="AU438" s="92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</row>
    <row r="439" spans="1:64" ht="15.75" customHeight="1" x14ac:dyDescent="0.2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0"/>
      <c r="U439" s="90"/>
      <c r="V439" s="90"/>
      <c r="W439" s="90"/>
      <c r="X439" s="90"/>
      <c r="Y439" s="90"/>
      <c r="Z439" s="90"/>
      <c r="AA439" s="90"/>
      <c r="AB439" s="91"/>
      <c r="AC439" s="91"/>
      <c r="AD439" s="91"/>
      <c r="AE439" s="91"/>
      <c r="AF439" s="92"/>
      <c r="AG439" s="92"/>
      <c r="AH439" s="92"/>
      <c r="AI439" s="92"/>
      <c r="AJ439" s="92"/>
      <c r="AK439" s="92"/>
      <c r="AL439" s="92"/>
      <c r="AM439" s="92"/>
      <c r="AN439" s="92"/>
      <c r="AO439" s="92"/>
      <c r="AP439" s="92"/>
      <c r="AQ439" s="92"/>
      <c r="AR439" s="92"/>
      <c r="AS439" s="92"/>
      <c r="AT439" s="92"/>
      <c r="AU439" s="92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</row>
    <row r="440" spans="1:64" ht="15.75" customHeight="1" x14ac:dyDescent="0.2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0"/>
      <c r="U440" s="90"/>
      <c r="V440" s="90"/>
      <c r="W440" s="90"/>
      <c r="X440" s="90"/>
      <c r="Y440" s="90"/>
      <c r="Z440" s="90"/>
      <c r="AA440" s="90"/>
      <c r="AB440" s="91"/>
      <c r="AC440" s="91"/>
      <c r="AD440" s="91"/>
      <c r="AE440" s="91"/>
      <c r="AF440" s="92"/>
      <c r="AG440" s="92"/>
      <c r="AH440" s="92"/>
      <c r="AI440" s="92"/>
      <c r="AJ440" s="92"/>
      <c r="AK440" s="92"/>
      <c r="AL440" s="92"/>
      <c r="AM440" s="92"/>
      <c r="AN440" s="92"/>
      <c r="AO440" s="92"/>
      <c r="AP440" s="92"/>
      <c r="AQ440" s="92"/>
      <c r="AR440" s="92"/>
      <c r="AS440" s="92"/>
      <c r="AT440" s="92"/>
      <c r="AU440" s="92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</row>
    <row r="441" spans="1:64" ht="15.75" customHeight="1" x14ac:dyDescent="0.2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0"/>
      <c r="U441" s="90"/>
      <c r="V441" s="90"/>
      <c r="W441" s="90"/>
      <c r="X441" s="90"/>
      <c r="Y441" s="90"/>
      <c r="Z441" s="90"/>
      <c r="AA441" s="90"/>
      <c r="AB441" s="91"/>
      <c r="AC441" s="91"/>
      <c r="AD441" s="91"/>
      <c r="AE441" s="91"/>
      <c r="AF441" s="92"/>
      <c r="AG441" s="92"/>
      <c r="AH441" s="92"/>
      <c r="AI441" s="92"/>
      <c r="AJ441" s="92"/>
      <c r="AK441" s="92"/>
      <c r="AL441" s="92"/>
      <c r="AM441" s="92"/>
      <c r="AN441" s="92"/>
      <c r="AO441" s="92"/>
      <c r="AP441" s="92"/>
      <c r="AQ441" s="92"/>
      <c r="AR441" s="92"/>
      <c r="AS441" s="92"/>
      <c r="AT441" s="92"/>
      <c r="AU441" s="92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</row>
    <row r="442" spans="1:64" ht="15.75" customHeight="1" x14ac:dyDescent="0.2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0"/>
      <c r="U442" s="90"/>
      <c r="V442" s="90"/>
      <c r="W442" s="90"/>
      <c r="X442" s="90"/>
      <c r="Y442" s="90"/>
      <c r="Z442" s="90"/>
      <c r="AA442" s="90"/>
      <c r="AB442" s="91"/>
      <c r="AC442" s="91"/>
      <c r="AD442" s="91"/>
      <c r="AE442" s="91"/>
      <c r="AF442" s="92"/>
      <c r="AG442" s="92"/>
      <c r="AH442" s="92"/>
      <c r="AI442" s="92"/>
      <c r="AJ442" s="92"/>
      <c r="AK442" s="92"/>
      <c r="AL442" s="92"/>
      <c r="AM442" s="92"/>
      <c r="AN442" s="92"/>
      <c r="AO442" s="92"/>
      <c r="AP442" s="92"/>
      <c r="AQ442" s="92"/>
      <c r="AR442" s="92"/>
      <c r="AS442" s="92"/>
      <c r="AT442" s="92"/>
      <c r="AU442" s="92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</row>
    <row r="443" spans="1:64" ht="15.75" customHeight="1" x14ac:dyDescent="0.2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0"/>
      <c r="U443" s="90"/>
      <c r="V443" s="90"/>
      <c r="W443" s="90"/>
      <c r="X443" s="90"/>
      <c r="Y443" s="90"/>
      <c r="Z443" s="90"/>
      <c r="AA443" s="90"/>
      <c r="AB443" s="91"/>
      <c r="AC443" s="91"/>
      <c r="AD443" s="91"/>
      <c r="AE443" s="91"/>
      <c r="AF443" s="92"/>
      <c r="AG443" s="92"/>
      <c r="AH443" s="92"/>
      <c r="AI443" s="92"/>
      <c r="AJ443" s="92"/>
      <c r="AK443" s="92"/>
      <c r="AL443" s="92"/>
      <c r="AM443" s="92"/>
      <c r="AN443" s="92"/>
      <c r="AO443" s="92"/>
      <c r="AP443" s="92"/>
      <c r="AQ443" s="92"/>
      <c r="AR443" s="92"/>
      <c r="AS443" s="92"/>
      <c r="AT443" s="92"/>
      <c r="AU443" s="92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</row>
    <row r="444" spans="1:64" ht="15.75" customHeight="1" x14ac:dyDescent="0.2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0"/>
      <c r="U444" s="90"/>
      <c r="V444" s="90"/>
      <c r="W444" s="90"/>
      <c r="X444" s="90"/>
      <c r="Y444" s="90"/>
      <c r="Z444" s="90"/>
      <c r="AA444" s="90"/>
      <c r="AB444" s="91"/>
      <c r="AC444" s="91"/>
      <c r="AD444" s="91"/>
      <c r="AE444" s="91"/>
      <c r="AF444" s="92"/>
      <c r="AG444" s="92"/>
      <c r="AH444" s="92"/>
      <c r="AI444" s="92"/>
      <c r="AJ444" s="92"/>
      <c r="AK444" s="92"/>
      <c r="AL444" s="92"/>
      <c r="AM444" s="92"/>
      <c r="AN444" s="92"/>
      <c r="AO444" s="92"/>
      <c r="AP444" s="92"/>
      <c r="AQ444" s="92"/>
      <c r="AR444" s="92"/>
      <c r="AS444" s="92"/>
      <c r="AT444" s="92"/>
      <c r="AU444" s="92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</row>
    <row r="445" spans="1:64" ht="15.75" customHeight="1" x14ac:dyDescent="0.2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0"/>
      <c r="U445" s="90"/>
      <c r="V445" s="90"/>
      <c r="W445" s="90"/>
      <c r="X445" s="90"/>
      <c r="Y445" s="90"/>
      <c r="Z445" s="90"/>
      <c r="AA445" s="90"/>
      <c r="AB445" s="91"/>
      <c r="AC445" s="91"/>
      <c r="AD445" s="91"/>
      <c r="AE445" s="91"/>
      <c r="AF445" s="92"/>
      <c r="AG445" s="92"/>
      <c r="AH445" s="92"/>
      <c r="AI445" s="92"/>
      <c r="AJ445" s="92"/>
      <c r="AK445" s="92"/>
      <c r="AL445" s="92"/>
      <c r="AM445" s="92"/>
      <c r="AN445" s="92"/>
      <c r="AO445" s="92"/>
      <c r="AP445" s="92"/>
      <c r="AQ445" s="92"/>
      <c r="AR445" s="92"/>
      <c r="AS445" s="92"/>
      <c r="AT445" s="92"/>
      <c r="AU445" s="92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</row>
    <row r="446" spans="1:64" ht="15.75" customHeight="1" x14ac:dyDescent="0.2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0"/>
      <c r="U446" s="90"/>
      <c r="V446" s="90"/>
      <c r="W446" s="90"/>
      <c r="X446" s="90"/>
      <c r="Y446" s="90"/>
      <c r="Z446" s="90"/>
      <c r="AA446" s="90"/>
      <c r="AB446" s="91"/>
      <c r="AC446" s="91"/>
      <c r="AD446" s="91"/>
      <c r="AE446" s="91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2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</row>
    <row r="447" spans="1:64" ht="15.75" customHeight="1" x14ac:dyDescent="0.2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0"/>
      <c r="U447" s="90"/>
      <c r="V447" s="90"/>
      <c r="W447" s="90"/>
      <c r="X447" s="90"/>
      <c r="Y447" s="90"/>
      <c r="Z447" s="90"/>
      <c r="AA447" s="90"/>
      <c r="AB447" s="91"/>
      <c r="AC447" s="91"/>
      <c r="AD447" s="91"/>
      <c r="AE447" s="91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2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</row>
    <row r="448" spans="1:64" ht="15.75" customHeight="1" x14ac:dyDescent="0.2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0"/>
      <c r="U448" s="90"/>
      <c r="V448" s="90"/>
      <c r="W448" s="90"/>
      <c r="X448" s="90"/>
      <c r="Y448" s="90"/>
      <c r="Z448" s="90"/>
      <c r="AA448" s="90"/>
      <c r="AB448" s="91"/>
      <c r="AC448" s="91"/>
      <c r="AD448" s="91"/>
      <c r="AE448" s="91"/>
      <c r="AF448" s="92"/>
      <c r="AG448" s="92"/>
      <c r="AH448" s="92"/>
      <c r="AI448" s="92"/>
      <c r="AJ448" s="92"/>
      <c r="AK448" s="92"/>
      <c r="AL448" s="92"/>
      <c r="AM448" s="92"/>
      <c r="AN448" s="92"/>
      <c r="AO448" s="92"/>
      <c r="AP448" s="92"/>
      <c r="AQ448" s="92"/>
      <c r="AR448" s="92"/>
      <c r="AS448" s="92"/>
      <c r="AT448" s="92"/>
      <c r="AU448" s="92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</row>
    <row r="449" spans="1:64" ht="15.75" customHeight="1" x14ac:dyDescent="0.2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0"/>
      <c r="U449" s="90"/>
      <c r="V449" s="90"/>
      <c r="W449" s="90"/>
      <c r="X449" s="90"/>
      <c r="Y449" s="90"/>
      <c r="Z449" s="90"/>
      <c r="AA449" s="90"/>
      <c r="AB449" s="91"/>
      <c r="AC449" s="91"/>
      <c r="AD449" s="91"/>
      <c r="AE449" s="91"/>
      <c r="AF449" s="92"/>
      <c r="AG449" s="92"/>
      <c r="AH449" s="92"/>
      <c r="AI449" s="92"/>
      <c r="AJ449" s="92"/>
      <c r="AK449" s="92"/>
      <c r="AL449" s="92"/>
      <c r="AM449" s="92"/>
      <c r="AN449" s="92"/>
      <c r="AO449" s="92"/>
      <c r="AP449" s="92"/>
      <c r="AQ449" s="92"/>
      <c r="AR449" s="92"/>
      <c r="AS449" s="92"/>
      <c r="AT449" s="92"/>
      <c r="AU449" s="92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</row>
    <row r="450" spans="1:64" ht="15.75" customHeight="1" x14ac:dyDescent="0.2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0"/>
      <c r="U450" s="90"/>
      <c r="V450" s="90"/>
      <c r="W450" s="90"/>
      <c r="X450" s="90"/>
      <c r="Y450" s="90"/>
      <c r="Z450" s="90"/>
      <c r="AA450" s="90"/>
      <c r="AB450" s="91"/>
      <c r="AC450" s="91"/>
      <c r="AD450" s="91"/>
      <c r="AE450" s="91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2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</row>
    <row r="451" spans="1:64" ht="15.75" customHeight="1" x14ac:dyDescent="0.2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0"/>
      <c r="U451" s="90"/>
      <c r="V451" s="90"/>
      <c r="W451" s="90"/>
      <c r="X451" s="90"/>
      <c r="Y451" s="90"/>
      <c r="Z451" s="90"/>
      <c r="AA451" s="90"/>
      <c r="AB451" s="91"/>
      <c r="AC451" s="91"/>
      <c r="AD451" s="91"/>
      <c r="AE451" s="91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2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</row>
    <row r="452" spans="1:64" ht="15.75" customHeight="1" x14ac:dyDescent="0.2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0"/>
      <c r="U452" s="90"/>
      <c r="V452" s="90"/>
      <c r="W452" s="90"/>
      <c r="X452" s="90"/>
      <c r="Y452" s="90"/>
      <c r="Z452" s="90"/>
      <c r="AA452" s="90"/>
      <c r="AB452" s="91"/>
      <c r="AC452" s="91"/>
      <c r="AD452" s="91"/>
      <c r="AE452" s="91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2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</row>
    <row r="453" spans="1:64" ht="15.75" customHeight="1" x14ac:dyDescent="0.2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0"/>
      <c r="U453" s="90"/>
      <c r="V453" s="90"/>
      <c r="W453" s="90"/>
      <c r="X453" s="90"/>
      <c r="Y453" s="90"/>
      <c r="Z453" s="90"/>
      <c r="AA453" s="90"/>
      <c r="AB453" s="91"/>
      <c r="AC453" s="91"/>
      <c r="AD453" s="91"/>
      <c r="AE453" s="91"/>
      <c r="AF453" s="92"/>
      <c r="AG453" s="92"/>
      <c r="AH453" s="92"/>
      <c r="AI453" s="92"/>
      <c r="AJ453" s="92"/>
      <c r="AK453" s="92"/>
      <c r="AL453" s="92"/>
      <c r="AM453" s="92"/>
      <c r="AN453" s="92"/>
      <c r="AO453" s="92"/>
      <c r="AP453" s="92"/>
      <c r="AQ453" s="92"/>
      <c r="AR453" s="92"/>
      <c r="AS453" s="92"/>
      <c r="AT453" s="92"/>
      <c r="AU453" s="92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</row>
    <row r="454" spans="1:64" ht="15.75" customHeight="1" x14ac:dyDescent="0.2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0"/>
      <c r="U454" s="90"/>
      <c r="V454" s="90"/>
      <c r="W454" s="90"/>
      <c r="X454" s="90"/>
      <c r="Y454" s="90"/>
      <c r="Z454" s="90"/>
      <c r="AA454" s="90"/>
      <c r="AB454" s="91"/>
      <c r="AC454" s="91"/>
      <c r="AD454" s="91"/>
      <c r="AE454" s="91"/>
      <c r="AF454" s="92"/>
      <c r="AG454" s="92"/>
      <c r="AH454" s="92"/>
      <c r="AI454" s="92"/>
      <c r="AJ454" s="92"/>
      <c r="AK454" s="92"/>
      <c r="AL454" s="92"/>
      <c r="AM454" s="92"/>
      <c r="AN454" s="92"/>
      <c r="AO454" s="92"/>
      <c r="AP454" s="92"/>
      <c r="AQ454" s="92"/>
      <c r="AR454" s="92"/>
      <c r="AS454" s="92"/>
      <c r="AT454" s="92"/>
      <c r="AU454" s="92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</row>
    <row r="455" spans="1:64" ht="15.75" customHeight="1" x14ac:dyDescent="0.2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0"/>
      <c r="U455" s="90"/>
      <c r="V455" s="90"/>
      <c r="W455" s="90"/>
      <c r="X455" s="90"/>
      <c r="Y455" s="90"/>
      <c r="Z455" s="90"/>
      <c r="AA455" s="90"/>
      <c r="AB455" s="91"/>
      <c r="AC455" s="91"/>
      <c r="AD455" s="91"/>
      <c r="AE455" s="91"/>
      <c r="AF455" s="92"/>
      <c r="AG455" s="92"/>
      <c r="AH455" s="92"/>
      <c r="AI455" s="92"/>
      <c r="AJ455" s="92"/>
      <c r="AK455" s="92"/>
      <c r="AL455" s="92"/>
      <c r="AM455" s="92"/>
      <c r="AN455" s="92"/>
      <c r="AO455" s="92"/>
      <c r="AP455" s="92"/>
      <c r="AQ455" s="92"/>
      <c r="AR455" s="92"/>
      <c r="AS455" s="92"/>
      <c r="AT455" s="92"/>
      <c r="AU455" s="92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</row>
    <row r="456" spans="1:64" ht="15.75" customHeight="1" x14ac:dyDescent="0.2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0"/>
      <c r="U456" s="90"/>
      <c r="V456" s="90"/>
      <c r="W456" s="90"/>
      <c r="X456" s="90"/>
      <c r="Y456" s="90"/>
      <c r="Z456" s="90"/>
      <c r="AA456" s="90"/>
      <c r="AB456" s="91"/>
      <c r="AC456" s="91"/>
      <c r="AD456" s="91"/>
      <c r="AE456" s="91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2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</row>
    <row r="457" spans="1:64" ht="15.75" customHeight="1" x14ac:dyDescent="0.2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0"/>
      <c r="U457" s="90"/>
      <c r="V457" s="90"/>
      <c r="W457" s="90"/>
      <c r="X457" s="90"/>
      <c r="Y457" s="90"/>
      <c r="Z457" s="90"/>
      <c r="AA457" s="90"/>
      <c r="AB457" s="91"/>
      <c r="AC457" s="91"/>
      <c r="AD457" s="91"/>
      <c r="AE457" s="91"/>
      <c r="AF457" s="92"/>
      <c r="AG457" s="92"/>
      <c r="AH457" s="92"/>
      <c r="AI457" s="92"/>
      <c r="AJ457" s="92"/>
      <c r="AK457" s="92"/>
      <c r="AL457" s="92"/>
      <c r="AM457" s="92"/>
      <c r="AN457" s="92"/>
      <c r="AO457" s="92"/>
      <c r="AP457" s="92"/>
      <c r="AQ457" s="92"/>
      <c r="AR457" s="92"/>
      <c r="AS457" s="92"/>
      <c r="AT457" s="92"/>
      <c r="AU457" s="92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</row>
    <row r="458" spans="1:64" ht="15.75" customHeight="1" x14ac:dyDescent="0.2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0"/>
      <c r="U458" s="90"/>
      <c r="V458" s="90"/>
      <c r="W458" s="90"/>
      <c r="X458" s="90"/>
      <c r="Y458" s="90"/>
      <c r="Z458" s="90"/>
      <c r="AA458" s="90"/>
      <c r="AB458" s="91"/>
      <c r="AC458" s="91"/>
      <c r="AD458" s="91"/>
      <c r="AE458" s="91"/>
      <c r="AF458" s="92"/>
      <c r="AG458" s="92"/>
      <c r="AH458" s="92"/>
      <c r="AI458" s="92"/>
      <c r="AJ458" s="92"/>
      <c r="AK458" s="92"/>
      <c r="AL458" s="92"/>
      <c r="AM458" s="92"/>
      <c r="AN458" s="92"/>
      <c r="AO458" s="92"/>
      <c r="AP458" s="92"/>
      <c r="AQ458" s="92"/>
      <c r="AR458" s="92"/>
      <c r="AS458" s="92"/>
      <c r="AT458" s="92"/>
      <c r="AU458" s="92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</row>
    <row r="459" spans="1:64" ht="15.75" customHeight="1" x14ac:dyDescent="0.2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0"/>
      <c r="U459" s="90"/>
      <c r="V459" s="90"/>
      <c r="W459" s="90"/>
      <c r="X459" s="90"/>
      <c r="Y459" s="90"/>
      <c r="Z459" s="90"/>
      <c r="AA459" s="90"/>
      <c r="AB459" s="91"/>
      <c r="AC459" s="91"/>
      <c r="AD459" s="91"/>
      <c r="AE459" s="91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2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</row>
    <row r="460" spans="1:64" ht="15.75" customHeight="1" x14ac:dyDescent="0.2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0"/>
      <c r="U460" s="90"/>
      <c r="V460" s="90"/>
      <c r="W460" s="90"/>
      <c r="X460" s="90"/>
      <c r="Y460" s="90"/>
      <c r="Z460" s="90"/>
      <c r="AA460" s="90"/>
      <c r="AB460" s="91"/>
      <c r="AC460" s="91"/>
      <c r="AD460" s="91"/>
      <c r="AE460" s="91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2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</row>
    <row r="461" spans="1:64" ht="15.75" customHeight="1" x14ac:dyDescent="0.2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0"/>
      <c r="U461" s="90"/>
      <c r="V461" s="90"/>
      <c r="W461" s="90"/>
      <c r="X461" s="90"/>
      <c r="Y461" s="90"/>
      <c r="Z461" s="90"/>
      <c r="AA461" s="90"/>
      <c r="AB461" s="91"/>
      <c r="AC461" s="91"/>
      <c r="AD461" s="91"/>
      <c r="AE461" s="91"/>
      <c r="AF461" s="92"/>
      <c r="AG461" s="92"/>
      <c r="AH461" s="92"/>
      <c r="AI461" s="92"/>
      <c r="AJ461" s="92"/>
      <c r="AK461" s="92"/>
      <c r="AL461" s="92"/>
      <c r="AM461" s="92"/>
      <c r="AN461" s="92"/>
      <c r="AO461" s="92"/>
      <c r="AP461" s="92"/>
      <c r="AQ461" s="92"/>
      <c r="AR461" s="92"/>
      <c r="AS461" s="92"/>
      <c r="AT461" s="92"/>
      <c r="AU461" s="92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</row>
    <row r="462" spans="1:64" ht="15.75" customHeight="1" x14ac:dyDescent="0.2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0"/>
      <c r="U462" s="90"/>
      <c r="V462" s="90"/>
      <c r="W462" s="90"/>
      <c r="X462" s="90"/>
      <c r="Y462" s="90"/>
      <c r="Z462" s="90"/>
      <c r="AA462" s="90"/>
      <c r="AB462" s="91"/>
      <c r="AC462" s="91"/>
      <c r="AD462" s="91"/>
      <c r="AE462" s="91"/>
      <c r="AF462" s="92"/>
      <c r="AG462" s="92"/>
      <c r="AH462" s="92"/>
      <c r="AI462" s="92"/>
      <c r="AJ462" s="92"/>
      <c r="AK462" s="92"/>
      <c r="AL462" s="92"/>
      <c r="AM462" s="92"/>
      <c r="AN462" s="92"/>
      <c r="AO462" s="92"/>
      <c r="AP462" s="92"/>
      <c r="AQ462" s="92"/>
      <c r="AR462" s="92"/>
      <c r="AS462" s="92"/>
      <c r="AT462" s="92"/>
      <c r="AU462" s="92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</row>
    <row r="463" spans="1:64" ht="15.75" customHeight="1" x14ac:dyDescent="0.2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0"/>
      <c r="U463" s="90"/>
      <c r="V463" s="90"/>
      <c r="W463" s="90"/>
      <c r="X463" s="90"/>
      <c r="Y463" s="90"/>
      <c r="Z463" s="90"/>
      <c r="AA463" s="90"/>
      <c r="AB463" s="91"/>
      <c r="AC463" s="91"/>
      <c r="AD463" s="91"/>
      <c r="AE463" s="91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2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</row>
    <row r="464" spans="1:64" ht="15.75" customHeight="1" x14ac:dyDescent="0.2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0"/>
      <c r="U464" s="90"/>
      <c r="V464" s="90"/>
      <c r="W464" s="90"/>
      <c r="X464" s="90"/>
      <c r="Y464" s="90"/>
      <c r="Z464" s="90"/>
      <c r="AA464" s="90"/>
      <c r="AB464" s="91"/>
      <c r="AC464" s="91"/>
      <c r="AD464" s="91"/>
      <c r="AE464" s="91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2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</row>
    <row r="465" spans="1:64" ht="15.75" customHeight="1" x14ac:dyDescent="0.2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0"/>
      <c r="U465" s="90"/>
      <c r="V465" s="90"/>
      <c r="W465" s="90"/>
      <c r="X465" s="90"/>
      <c r="Y465" s="90"/>
      <c r="Z465" s="90"/>
      <c r="AA465" s="90"/>
      <c r="AB465" s="91"/>
      <c r="AC465" s="91"/>
      <c r="AD465" s="91"/>
      <c r="AE465" s="91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2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</row>
    <row r="466" spans="1:64" ht="15.75" customHeight="1" x14ac:dyDescent="0.2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0"/>
      <c r="U466" s="90"/>
      <c r="V466" s="90"/>
      <c r="W466" s="90"/>
      <c r="X466" s="90"/>
      <c r="Y466" s="90"/>
      <c r="Z466" s="90"/>
      <c r="AA466" s="90"/>
      <c r="AB466" s="91"/>
      <c r="AC466" s="91"/>
      <c r="AD466" s="91"/>
      <c r="AE466" s="91"/>
      <c r="AF466" s="92"/>
      <c r="AG466" s="92"/>
      <c r="AH466" s="92"/>
      <c r="AI466" s="92"/>
      <c r="AJ466" s="92"/>
      <c r="AK466" s="92"/>
      <c r="AL466" s="92"/>
      <c r="AM466" s="92"/>
      <c r="AN466" s="92"/>
      <c r="AO466" s="92"/>
      <c r="AP466" s="92"/>
      <c r="AQ466" s="92"/>
      <c r="AR466" s="92"/>
      <c r="AS466" s="92"/>
      <c r="AT466" s="92"/>
      <c r="AU466" s="92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</row>
    <row r="467" spans="1:64" ht="15.75" customHeight="1" x14ac:dyDescent="0.2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0"/>
      <c r="U467" s="90"/>
      <c r="V467" s="90"/>
      <c r="W467" s="90"/>
      <c r="X467" s="90"/>
      <c r="Y467" s="90"/>
      <c r="Z467" s="90"/>
      <c r="AA467" s="90"/>
      <c r="AB467" s="91"/>
      <c r="AC467" s="91"/>
      <c r="AD467" s="91"/>
      <c r="AE467" s="91"/>
      <c r="AF467" s="92"/>
      <c r="AG467" s="92"/>
      <c r="AH467" s="92"/>
      <c r="AI467" s="92"/>
      <c r="AJ467" s="92"/>
      <c r="AK467" s="92"/>
      <c r="AL467" s="92"/>
      <c r="AM467" s="92"/>
      <c r="AN467" s="92"/>
      <c r="AO467" s="92"/>
      <c r="AP467" s="92"/>
      <c r="AQ467" s="92"/>
      <c r="AR467" s="92"/>
      <c r="AS467" s="92"/>
      <c r="AT467" s="92"/>
      <c r="AU467" s="92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</row>
    <row r="468" spans="1:64" ht="15.75" customHeight="1" x14ac:dyDescent="0.2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0"/>
      <c r="U468" s="90"/>
      <c r="V468" s="90"/>
      <c r="W468" s="90"/>
      <c r="X468" s="90"/>
      <c r="Y468" s="90"/>
      <c r="Z468" s="90"/>
      <c r="AA468" s="90"/>
      <c r="AB468" s="91"/>
      <c r="AC468" s="91"/>
      <c r="AD468" s="91"/>
      <c r="AE468" s="91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2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</row>
    <row r="469" spans="1:64" ht="15.75" customHeight="1" x14ac:dyDescent="0.2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0"/>
      <c r="U469" s="90"/>
      <c r="V469" s="90"/>
      <c r="W469" s="90"/>
      <c r="X469" s="90"/>
      <c r="Y469" s="90"/>
      <c r="Z469" s="90"/>
      <c r="AA469" s="90"/>
      <c r="AB469" s="91"/>
      <c r="AC469" s="91"/>
      <c r="AD469" s="91"/>
      <c r="AE469" s="91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2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</row>
    <row r="470" spans="1:64" ht="15.75" customHeight="1" x14ac:dyDescent="0.2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0"/>
      <c r="U470" s="90"/>
      <c r="V470" s="90"/>
      <c r="W470" s="90"/>
      <c r="X470" s="90"/>
      <c r="Y470" s="90"/>
      <c r="Z470" s="90"/>
      <c r="AA470" s="90"/>
      <c r="AB470" s="91"/>
      <c r="AC470" s="91"/>
      <c r="AD470" s="91"/>
      <c r="AE470" s="91"/>
      <c r="AF470" s="92"/>
      <c r="AG470" s="92"/>
      <c r="AH470" s="92"/>
      <c r="AI470" s="92"/>
      <c r="AJ470" s="92"/>
      <c r="AK470" s="92"/>
      <c r="AL470" s="92"/>
      <c r="AM470" s="92"/>
      <c r="AN470" s="92"/>
      <c r="AO470" s="92"/>
      <c r="AP470" s="92"/>
      <c r="AQ470" s="92"/>
      <c r="AR470" s="92"/>
      <c r="AS470" s="92"/>
      <c r="AT470" s="92"/>
      <c r="AU470" s="92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</row>
    <row r="471" spans="1:64" ht="15.75" customHeight="1" x14ac:dyDescent="0.2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0"/>
      <c r="U471" s="90"/>
      <c r="V471" s="90"/>
      <c r="W471" s="90"/>
      <c r="X471" s="90"/>
      <c r="Y471" s="90"/>
      <c r="Z471" s="90"/>
      <c r="AA471" s="90"/>
      <c r="AB471" s="91"/>
      <c r="AC471" s="91"/>
      <c r="AD471" s="91"/>
      <c r="AE471" s="91"/>
      <c r="AF471" s="92"/>
      <c r="AG471" s="92"/>
      <c r="AH471" s="92"/>
      <c r="AI471" s="92"/>
      <c r="AJ471" s="92"/>
      <c r="AK471" s="92"/>
      <c r="AL471" s="92"/>
      <c r="AM471" s="92"/>
      <c r="AN471" s="92"/>
      <c r="AO471" s="92"/>
      <c r="AP471" s="92"/>
      <c r="AQ471" s="92"/>
      <c r="AR471" s="92"/>
      <c r="AS471" s="92"/>
      <c r="AT471" s="92"/>
      <c r="AU471" s="92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</row>
    <row r="472" spans="1:64" ht="15.75" customHeight="1" x14ac:dyDescent="0.2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0"/>
      <c r="U472" s="90"/>
      <c r="V472" s="90"/>
      <c r="W472" s="90"/>
      <c r="X472" s="90"/>
      <c r="Y472" s="90"/>
      <c r="Z472" s="90"/>
      <c r="AA472" s="90"/>
      <c r="AB472" s="91"/>
      <c r="AC472" s="91"/>
      <c r="AD472" s="91"/>
      <c r="AE472" s="91"/>
      <c r="AF472" s="92"/>
      <c r="AG472" s="92"/>
      <c r="AH472" s="92"/>
      <c r="AI472" s="92"/>
      <c r="AJ472" s="92"/>
      <c r="AK472" s="92"/>
      <c r="AL472" s="92"/>
      <c r="AM472" s="92"/>
      <c r="AN472" s="92"/>
      <c r="AO472" s="92"/>
      <c r="AP472" s="92"/>
      <c r="AQ472" s="92"/>
      <c r="AR472" s="92"/>
      <c r="AS472" s="92"/>
      <c r="AT472" s="92"/>
      <c r="AU472" s="92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</row>
    <row r="473" spans="1:64" ht="15.75" customHeight="1" x14ac:dyDescent="0.2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0"/>
      <c r="U473" s="90"/>
      <c r="V473" s="90"/>
      <c r="W473" s="90"/>
      <c r="X473" s="90"/>
      <c r="Y473" s="90"/>
      <c r="Z473" s="90"/>
      <c r="AA473" s="90"/>
      <c r="AB473" s="91"/>
      <c r="AC473" s="91"/>
      <c r="AD473" s="91"/>
      <c r="AE473" s="91"/>
      <c r="AF473" s="92"/>
      <c r="AG473" s="92"/>
      <c r="AH473" s="92"/>
      <c r="AI473" s="92"/>
      <c r="AJ473" s="92"/>
      <c r="AK473" s="92"/>
      <c r="AL473" s="92"/>
      <c r="AM473" s="92"/>
      <c r="AN473" s="92"/>
      <c r="AO473" s="92"/>
      <c r="AP473" s="92"/>
      <c r="AQ473" s="92"/>
      <c r="AR473" s="92"/>
      <c r="AS473" s="92"/>
      <c r="AT473" s="92"/>
      <c r="AU473" s="92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</row>
    <row r="474" spans="1:64" ht="15.75" customHeight="1" x14ac:dyDescent="0.2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0"/>
      <c r="U474" s="90"/>
      <c r="V474" s="90"/>
      <c r="W474" s="90"/>
      <c r="X474" s="90"/>
      <c r="Y474" s="90"/>
      <c r="Z474" s="90"/>
      <c r="AA474" s="90"/>
      <c r="AB474" s="91"/>
      <c r="AC474" s="91"/>
      <c r="AD474" s="91"/>
      <c r="AE474" s="91"/>
      <c r="AF474" s="92"/>
      <c r="AG474" s="92"/>
      <c r="AH474" s="92"/>
      <c r="AI474" s="92"/>
      <c r="AJ474" s="92"/>
      <c r="AK474" s="92"/>
      <c r="AL474" s="92"/>
      <c r="AM474" s="92"/>
      <c r="AN474" s="92"/>
      <c r="AO474" s="92"/>
      <c r="AP474" s="92"/>
      <c r="AQ474" s="92"/>
      <c r="AR474" s="92"/>
      <c r="AS474" s="92"/>
      <c r="AT474" s="92"/>
      <c r="AU474" s="92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</row>
    <row r="475" spans="1:64" ht="15.75" customHeight="1" x14ac:dyDescent="0.2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0"/>
      <c r="U475" s="90"/>
      <c r="V475" s="90"/>
      <c r="W475" s="90"/>
      <c r="X475" s="90"/>
      <c r="Y475" s="90"/>
      <c r="Z475" s="90"/>
      <c r="AA475" s="90"/>
      <c r="AB475" s="91"/>
      <c r="AC475" s="91"/>
      <c r="AD475" s="91"/>
      <c r="AE475" s="91"/>
      <c r="AF475" s="92"/>
      <c r="AG475" s="92"/>
      <c r="AH475" s="92"/>
      <c r="AI475" s="92"/>
      <c r="AJ475" s="92"/>
      <c r="AK475" s="92"/>
      <c r="AL475" s="92"/>
      <c r="AM475" s="92"/>
      <c r="AN475" s="92"/>
      <c r="AO475" s="92"/>
      <c r="AP475" s="92"/>
      <c r="AQ475" s="92"/>
      <c r="AR475" s="92"/>
      <c r="AS475" s="92"/>
      <c r="AT475" s="92"/>
      <c r="AU475" s="92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</row>
    <row r="476" spans="1:64" ht="15.75" customHeight="1" x14ac:dyDescent="0.2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0"/>
      <c r="U476" s="90"/>
      <c r="V476" s="90"/>
      <c r="W476" s="90"/>
      <c r="X476" s="90"/>
      <c r="Y476" s="90"/>
      <c r="Z476" s="90"/>
      <c r="AA476" s="90"/>
      <c r="AB476" s="91"/>
      <c r="AC476" s="91"/>
      <c r="AD476" s="91"/>
      <c r="AE476" s="91"/>
      <c r="AF476" s="92"/>
      <c r="AG476" s="92"/>
      <c r="AH476" s="92"/>
      <c r="AI476" s="92"/>
      <c r="AJ476" s="92"/>
      <c r="AK476" s="92"/>
      <c r="AL476" s="92"/>
      <c r="AM476" s="92"/>
      <c r="AN476" s="92"/>
      <c r="AO476" s="92"/>
      <c r="AP476" s="92"/>
      <c r="AQ476" s="92"/>
      <c r="AR476" s="92"/>
      <c r="AS476" s="92"/>
      <c r="AT476" s="92"/>
      <c r="AU476" s="92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</row>
    <row r="477" spans="1:64" ht="15.75" customHeight="1" x14ac:dyDescent="0.2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0"/>
      <c r="U477" s="90"/>
      <c r="V477" s="90"/>
      <c r="W477" s="90"/>
      <c r="X477" s="90"/>
      <c r="Y477" s="90"/>
      <c r="Z477" s="90"/>
      <c r="AA477" s="90"/>
      <c r="AB477" s="91"/>
      <c r="AC477" s="91"/>
      <c r="AD477" s="91"/>
      <c r="AE477" s="91"/>
      <c r="AF477" s="92"/>
      <c r="AG477" s="92"/>
      <c r="AH477" s="92"/>
      <c r="AI477" s="92"/>
      <c r="AJ477" s="92"/>
      <c r="AK477" s="92"/>
      <c r="AL477" s="92"/>
      <c r="AM477" s="92"/>
      <c r="AN477" s="92"/>
      <c r="AO477" s="92"/>
      <c r="AP477" s="92"/>
      <c r="AQ477" s="92"/>
      <c r="AR477" s="92"/>
      <c r="AS477" s="92"/>
      <c r="AT477" s="92"/>
      <c r="AU477" s="92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</row>
    <row r="478" spans="1:64" ht="15.75" customHeight="1" x14ac:dyDescent="0.2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0"/>
      <c r="U478" s="90"/>
      <c r="V478" s="90"/>
      <c r="W478" s="90"/>
      <c r="X478" s="90"/>
      <c r="Y478" s="90"/>
      <c r="Z478" s="90"/>
      <c r="AA478" s="90"/>
      <c r="AB478" s="91"/>
      <c r="AC478" s="91"/>
      <c r="AD478" s="91"/>
      <c r="AE478" s="91"/>
      <c r="AF478" s="92"/>
      <c r="AG478" s="92"/>
      <c r="AH478" s="92"/>
      <c r="AI478" s="92"/>
      <c r="AJ478" s="92"/>
      <c r="AK478" s="92"/>
      <c r="AL478" s="92"/>
      <c r="AM478" s="92"/>
      <c r="AN478" s="92"/>
      <c r="AO478" s="92"/>
      <c r="AP478" s="92"/>
      <c r="AQ478" s="92"/>
      <c r="AR478" s="92"/>
      <c r="AS478" s="92"/>
      <c r="AT478" s="92"/>
      <c r="AU478" s="92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</row>
    <row r="479" spans="1:64" ht="15.75" customHeight="1" x14ac:dyDescent="0.2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0"/>
      <c r="U479" s="90"/>
      <c r="V479" s="90"/>
      <c r="W479" s="90"/>
      <c r="X479" s="90"/>
      <c r="Y479" s="90"/>
      <c r="Z479" s="90"/>
      <c r="AA479" s="90"/>
      <c r="AB479" s="91"/>
      <c r="AC479" s="91"/>
      <c r="AD479" s="91"/>
      <c r="AE479" s="91"/>
      <c r="AF479" s="92"/>
      <c r="AG479" s="92"/>
      <c r="AH479" s="92"/>
      <c r="AI479" s="92"/>
      <c r="AJ479" s="92"/>
      <c r="AK479" s="92"/>
      <c r="AL479" s="92"/>
      <c r="AM479" s="92"/>
      <c r="AN479" s="92"/>
      <c r="AO479" s="92"/>
      <c r="AP479" s="92"/>
      <c r="AQ479" s="92"/>
      <c r="AR479" s="92"/>
      <c r="AS479" s="92"/>
      <c r="AT479" s="92"/>
      <c r="AU479" s="92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</row>
    <row r="480" spans="1:64" ht="15.75" customHeight="1" x14ac:dyDescent="0.2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0"/>
      <c r="U480" s="90"/>
      <c r="V480" s="90"/>
      <c r="W480" s="90"/>
      <c r="X480" s="90"/>
      <c r="Y480" s="90"/>
      <c r="Z480" s="90"/>
      <c r="AA480" s="90"/>
      <c r="AB480" s="91"/>
      <c r="AC480" s="91"/>
      <c r="AD480" s="91"/>
      <c r="AE480" s="91"/>
      <c r="AF480" s="92"/>
      <c r="AG480" s="92"/>
      <c r="AH480" s="92"/>
      <c r="AI480" s="92"/>
      <c r="AJ480" s="92"/>
      <c r="AK480" s="92"/>
      <c r="AL480" s="92"/>
      <c r="AM480" s="92"/>
      <c r="AN480" s="92"/>
      <c r="AO480" s="92"/>
      <c r="AP480" s="92"/>
      <c r="AQ480" s="92"/>
      <c r="AR480" s="92"/>
      <c r="AS480" s="92"/>
      <c r="AT480" s="92"/>
      <c r="AU480" s="92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</row>
    <row r="481" spans="1:64" ht="15.75" customHeight="1" x14ac:dyDescent="0.2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0"/>
      <c r="U481" s="90"/>
      <c r="V481" s="90"/>
      <c r="W481" s="90"/>
      <c r="X481" s="90"/>
      <c r="Y481" s="90"/>
      <c r="Z481" s="90"/>
      <c r="AA481" s="90"/>
      <c r="AB481" s="91"/>
      <c r="AC481" s="91"/>
      <c r="AD481" s="91"/>
      <c r="AE481" s="91"/>
      <c r="AF481" s="92"/>
      <c r="AG481" s="92"/>
      <c r="AH481" s="92"/>
      <c r="AI481" s="92"/>
      <c r="AJ481" s="92"/>
      <c r="AK481" s="92"/>
      <c r="AL481" s="92"/>
      <c r="AM481" s="92"/>
      <c r="AN481" s="92"/>
      <c r="AO481" s="92"/>
      <c r="AP481" s="92"/>
      <c r="AQ481" s="92"/>
      <c r="AR481" s="92"/>
      <c r="AS481" s="92"/>
      <c r="AT481" s="92"/>
      <c r="AU481" s="92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</row>
    <row r="482" spans="1:64" ht="15.75" customHeight="1" x14ac:dyDescent="0.2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0"/>
      <c r="U482" s="90"/>
      <c r="V482" s="90"/>
      <c r="W482" s="90"/>
      <c r="X482" s="90"/>
      <c r="Y482" s="90"/>
      <c r="Z482" s="90"/>
      <c r="AA482" s="90"/>
      <c r="AB482" s="91"/>
      <c r="AC482" s="91"/>
      <c r="AD482" s="91"/>
      <c r="AE482" s="91"/>
      <c r="AF482" s="92"/>
      <c r="AG482" s="92"/>
      <c r="AH482" s="92"/>
      <c r="AI482" s="92"/>
      <c r="AJ482" s="92"/>
      <c r="AK482" s="92"/>
      <c r="AL482" s="92"/>
      <c r="AM482" s="92"/>
      <c r="AN482" s="92"/>
      <c r="AO482" s="92"/>
      <c r="AP482" s="92"/>
      <c r="AQ482" s="92"/>
      <c r="AR482" s="92"/>
      <c r="AS482" s="92"/>
      <c r="AT482" s="92"/>
      <c r="AU482" s="92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</row>
    <row r="483" spans="1:64" ht="15.75" customHeight="1" x14ac:dyDescent="0.2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0"/>
      <c r="U483" s="90"/>
      <c r="V483" s="90"/>
      <c r="W483" s="90"/>
      <c r="X483" s="90"/>
      <c r="Y483" s="90"/>
      <c r="Z483" s="90"/>
      <c r="AA483" s="90"/>
      <c r="AB483" s="91"/>
      <c r="AC483" s="91"/>
      <c r="AD483" s="91"/>
      <c r="AE483" s="91"/>
      <c r="AF483" s="92"/>
      <c r="AG483" s="92"/>
      <c r="AH483" s="92"/>
      <c r="AI483" s="92"/>
      <c r="AJ483" s="92"/>
      <c r="AK483" s="92"/>
      <c r="AL483" s="92"/>
      <c r="AM483" s="92"/>
      <c r="AN483" s="92"/>
      <c r="AO483" s="92"/>
      <c r="AP483" s="92"/>
      <c r="AQ483" s="92"/>
      <c r="AR483" s="92"/>
      <c r="AS483" s="92"/>
      <c r="AT483" s="92"/>
      <c r="AU483" s="92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</row>
    <row r="484" spans="1:64" ht="15.75" customHeight="1" x14ac:dyDescent="0.2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0"/>
      <c r="U484" s="90"/>
      <c r="V484" s="90"/>
      <c r="W484" s="90"/>
      <c r="X484" s="90"/>
      <c r="Y484" s="90"/>
      <c r="Z484" s="90"/>
      <c r="AA484" s="90"/>
      <c r="AB484" s="91"/>
      <c r="AC484" s="91"/>
      <c r="AD484" s="91"/>
      <c r="AE484" s="91"/>
      <c r="AF484" s="92"/>
      <c r="AG484" s="92"/>
      <c r="AH484" s="92"/>
      <c r="AI484" s="92"/>
      <c r="AJ484" s="92"/>
      <c r="AK484" s="92"/>
      <c r="AL484" s="92"/>
      <c r="AM484" s="92"/>
      <c r="AN484" s="92"/>
      <c r="AO484" s="92"/>
      <c r="AP484" s="92"/>
      <c r="AQ484" s="92"/>
      <c r="AR484" s="92"/>
      <c r="AS484" s="92"/>
      <c r="AT484" s="92"/>
      <c r="AU484" s="92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</row>
    <row r="485" spans="1:64" ht="15.75" customHeight="1" x14ac:dyDescent="0.2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0"/>
      <c r="U485" s="90"/>
      <c r="V485" s="90"/>
      <c r="W485" s="90"/>
      <c r="X485" s="90"/>
      <c r="Y485" s="90"/>
      <c r="Z485" s="90"/>
      <c r="AA485" s="90"/>
      <c r="AB485" s="91"/>
      <c r="AC485" s="91"/>
      <c r="AD485" s="91"/>
      <c r="AE485" s="91"/>
      <c r="AF485" s="92"/>
      <c r="AG485" s="92"/>
      <c r="AH485" s="92"/>
      <c r="AI485" s="92"/>
      <c r="AJ485" s="92"/>
      <c r="AK485" s="92"/>
      <c r="AL485" s="92"/>
      <c r="AM485" s="92"/>
      <c r="AN485" s="92"/>
      <c r="AO485" s="92"/>
      <c r="AP485" s="92"/>
      <c r="AQ485" s="92"/>
      <c r="AR485" s="92"/>
      <c r="AS485" s="92"/>
      <c r="AT485" s="92"/>
      <c r="AU485" s="92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</row>
    <row r="486" spans="1:64" ht="15.75" customHeight="1" x14ac:dyDescent="0.2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0"/>
      <c r="U486" s="90"/>
      <c r="V486" s="90"/>
      <c r="W486" s="90"/>
      <c r="X486" s="90"/>
      <c r="Y486" s="90"/>
      <c r="Z486" s="90"/>
      <c r="AA486" s="90"/>
      <c r="AB486" s="91"/>
      <c r="AC486" s="91"/>
      <c r="AD486" s="91"/>
      <c r="AE486" s="91"/>
      <c r="AF486" s="92"/>
      <c r="AG486" s="92"/>
      <c r="AH486" s="92"/>
      <c r="AI486" s="92"/>
      <c r="AJ486" s="92"/>
      <c r="AK486" s="92"/>
      <c r="AL486" s="92"/>
      <c r="AM486" s="92"/>
      <c r="AN486" s="92"/>
      <c r="AO486" s="92"/>
      <c r="AP486" s="92"/>
      <c r="AQ486" s="92"/>
      <c r="AR486" s="92"/>
      <c r="AS486" s="92"/>
      <c r="AT486" s="92"/>
      <c r="AU486" s="92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</row>
    <row r="487" spans="1:64" ht="15.75" customHeight="1" x14ac:dyDescent="0.2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0"/>
      <c r="U487" s="90"/>
      <c r="V487" s="90"/>
      <c r="W487" s="90"/>
      <c r="X487" s="90"/>
      <c r="Y487" s="90"/>
      <c r="Z487" s="90"/>
      <c r="AA487" s="90"/>
      <c r="AB487" s="91"/>
      <c r="AC487" s="91"/>
      <c r="AD487" s="91"/>
      <c r="AE487" s="91"/>
      <c r="AF487" s="92"/>
      <c r="AG487" s="92"/>
      <c r="AH487" s="92"/>
      <c r="AI487" s="92"/>
      <c r="AJ487" s="92"/>
      <c r="AK487" s="92"/>
      <c r="AL487" s="92"/>
      <c r="AM487" s="92"/>
      <c r="AN487" s="92"/>
      <c r="AO487" s="92"/>
      <c r="AP487" s="92"/>
      <c r="AQ487" s="92"/>
      <c r="AR487" s="92"/>
      <c r="AS487" s="92"/>
      <c r="AT487" s="92"/>
      <c r="AU487" s="92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</row>
    <row r="488" spans="1:64" ht="15.75" customHeight="1" x14ac:dyDescent="0.2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0"/>
      <c r="U488" s="90"/>
      <c r="V488" s="90"/>
      <c r="W488" s="90"/>
      <c r="X488" s="90"/>
      <c r="Y488" s="90"/>
      <c r="Z488" s="90"/>
      <c r="AA488" s="90"/>
      <c r="AB488" s="91"/>
      <c r="AC488" s="91"/>
      <c r="AD488" s="91"/>
      <c r="AE488" s="91"/>
      <c r="AF488" s="92"/>
      <c r="AG488" s="92"/>
      <c r="AH488" s="92"/>
      <c r="AI488" s="92"/>
      <c r="AJ488" s="92"/>
      <c r="AK488" s="92"/>
      <c r="AL488" s="92"/>
      <c r="AM488" s="92"/>
      <c r="AN488" s="92"/>
      <c r="AO488" s="92"/>
      <c r="AP488" s="92"/>
      <c r="AQ488" s="92"/>
      <c r="AR488" s="92"/>
      <c r="AS488" s="92"/>
      <c r="AT488" s="92"/>
      <c r="AU488" s="92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</row>
    <row r="489" spans="1:64" ht="15.75" customHeight="1" x14ac:dyDescent="0.2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0"/>
      <c r="U489" s="90"/>
      <c r="V489" s="90"/>
      <c r="W489" s="90"/>
      <c r="X489" s="90"/>
      <c r="Y489" s="90"/>
      <c r="Z489" s="90"/>
      <c r="AA489" s="90"/>
      <c r="AB489" s="91"/>
      <c r="AC489" s="91"/>
      <c r="AD489" s="91"/>
      <c r="AE489" s="91"/>
      <c r="AF489" s="92"/>
      <c r="AG489" s="92"/>
      <c r="AH489" s="92"/>
      <c r="AI489" s="92"/>
      <c r="AJ489" s="92"/>
      <c r="AK489" s="92"/>
      <c r="AL489" s="92"/>
      <c r="AM489" s="92"/>
      <c r="AN489" s="92"/>
      <c r="AO489" s="92"/>
      <c r="AP489" s="92"/>
      <c r="AQ489" s="92"/>
      <c r="AR489" s="92"/>
      <c r="AS489" s="92"/>
      <c r="AT489" s="92"/>
      <c r="AU489" s="92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</row>
    <row r="490" spans="1:64" ht="15.75" customHeight="1" x14ac:dyDescent="0.2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0"/>
      <c r="U490" s="90"/>
      <c r="V490" s="90"/>
      <c r="W490" s="90"/>
      <c r="X490" s="90"/>
      <c r="Y490" s="90"/>
      <c r="Z490" s="90"/>
      <c r="AA490" s="90"/>
      <c r="AB490" s="91"/>
      <c r="AC490" s="91"/>
      <c r="AD490" s="91"/>
      <c r="AE490" s="91"/>
      <c r="AF490" s="92"/>
      <c r="AG490" s="92"/>
      <c r="AH490" s="92"/>
      <c r="AI490" s="92"/>
      <c r="AJ490" s="92"/>
      <c r="AK490" s="92"/>
      <c r="AL490" s="92"/>
      <c r="AM490" s="92"/>
      <c r="AN490" s="92"/>
      <c r="AO490" s="92"/>
      <c r="AP490" s="92"/>
      <c r="AQ490" s="92"/>
      <c r="AR490" s="92"/>
      <c r="AS490" s="92"/>
      <c r="AT490" s="92"/>
      <c r="AU490" s="92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</row>
    <row r="491" spans="1:64" ht="15.75" customHeight="1" x14ac:dyDescent="0.2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0"/>
      <c r="U491" s="90"/>
      <c r="V491" s="90"/>
      <c r="W491" s="90"/>
      <c r="X491" s="90"/>
      <c r="Y491" s="90"/>
      <c r="Z491" s="90"/>
      <c r="AA491" s="90"/>
      <c r="AB491" s="91"/>
      <c r="AC491" s="91"/>
      <c r="AD491" s="91"/>
      <c r="AE491" s="91"/>
      <c r="AF491" s="92"/>
      <c r="AG491" s="92"/>
      <c r="AH491" s="92"/>
      <c r="AI491" s="92"/>
      <c r="AJ491" s="92"/>
      <c r="AK491" s="92"/>
      <c r="AL491" s="92"/>
      <c r="AM491" s="92"/>
      <c r="AN491" s="92"/>
      <c r="AO491" s="92"/>
      <c r="AP491" s="92"/>
      <c r="AQ491" s="92"/>
      <c r="AR491" s="92"/>
      <c r="AS491" s="92"/>
      <c r="AT491" s="92"/>
      <c r="AU491" s="92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</row>
    <row r="492" spans="1:64" ht="15.75" customHeight="1" x14ac:dyDescent="0.2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0"/>
      <c r="U492" s="90"/>
      <c r="V492" s="90"/>
      <c r="W492" s="90"/>
      <c r="X492" s="90"/>
      <c r="Y492" s="90"/>
      <c r="Z492" s="90"/>
      <c r="AA492" s="90"/>
      <c r="AB492" s="91"/>
      <c r="AC492" s="91"/>
      <c r="AD492" s="91"/>
      <c r="AE492" s="91"/>
      <c r="AF492" s="92"/>
      <c r="AG492" s="92"/>
      <c r="AH492" s="92"/>
      <c r="AI492" s="92"/>
      <c r="AJ492" s="92"/>
      <c r="AK492" s="92"/>
      <c r="AL492" s="92"/>
      <c r="AM492" s="92"/>
      <c r="AN492" s="92"/>
      <c r="AO492" s="92"/>
      <c r="AP492" s="92"/>
      <c r="AQ492" s="92"/>
      <c r="AR492" s="92"/>
      <c r="AS492" s="92"/>
      <c r="AT492" s="92"/>
      <c r="AU492" s="92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</row>
    <row r="493" spans="1:64" ht="15.75" customHeight="1" x14ac:dyDescent="0.2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0"/>
      <c r="U493" s="90"/>
      <c r="V493" s="90"/>
      <c r="W493" s="90"/>
      <c r="X493" s="90"/>
      <c r="Y493" s="90"/>
      <c r="Z493" s="90"/>
      <c r="AA493" s="90"/>
      <c r="AB493" s="91"/>
      <c r="AC493" s="91"/>
      <c r="AD493" s="91"/>
      <c r="AE493" s="91"/>
      <c r="AF493" s="92"/>
      <c r="AG493" s="92"/>
      <c r="AH493" s="92"/>
      <c r="AI493" s="92"/>
      <c r="AJ493" s="92"/>
      <c r="AK493" s="92"/>
      <c r="AL493" s="92"/>
      <c r="AM493" s="92"/>
      <c r="AN493" s="92"/>
      <c r="AO493" s="92"/>
      <c r="AP493" s="92"/>
      <c r="AQ493" s="92"/>
      <c r="AR493" s="92"/>
      <c r="AS493" s="92"/>
      <c r="AT493" s="92"/>
      <c r="AU493" s="92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</row>
    <row r="494" spans="1:64" ht="15.75" customHeight="1" x14ac:dyDescent="0.2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0"/>
      <c r="U494" s="90"/>
      <c r="V494" s="90"/>
      <c r="W494" s="90"/>
      <c r="X494" s="90"/>
      <c r="Y494" s="90"/>
      <c r="Z494" s="90"/>
      <c r="AA494" s="90"/>
      <c r="AB494" s="91"/>
      <c r="AC494" s="91"/>
      <c r="AD494" s="91"/>
      <c r="AE494" s="91"/>
      <c r="AF494" s="92"/>
      <c r="AG494" s="92"/>
      <c r="AH494" s="92"/>
      <c r="AI494" s="92"/>
      <c r="AJ494" s="92"/>
      <c r="AK494" s="92"/>
      <c r="AL494" s="92"/>
      <c r="AM494" s="92"/>
      <c r="AN494" s="92"/>
      <c r="AO494" s="92"/>
      <c r="AP494" s="92"/>
      <c r="AQ494" s="92"/>
      <c r="AR494" s="92"/>
      <c r="AS494" s="92"/>
      <c r="AT494" s="92"/>
      <c r="AU494" s="92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</row>
    <row r="495" spans="1:64" ht="15.75" customHeight="1" x14ac:dyDescent="0.2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0"/>
      <c r="U495" s="90"/>
      <c r="V495" s="90"/>
      <c r="W495" s="90"/>
      <c r="X495" s="90"/>
      <c r="Y495" s="90"/>
      <c r="Z495" s="90"/>
      <c r="AA495" s="90"/>
      <c r="AB495" s="91"/>
      <c r="AC495" s="91"/>
      <c r="AD495" s="91"/>
      <c r="AE495" s="91"/>
      <c r="AF495" s="92"/>
      <c r="AG495" s="92"/>
      <c r="AH495" s="92"/>
      <c r="AI495" s="92"/>
      <c r="AJ495" s="92"/>
      <c r="AK495" s="92"/>
      <c r="AL495" s="92"/>
      <c r="AM495" s="92"/>
      <c r="AN495" s="92"/>
      <c r="AO495" s="92"/>
      <c r="AP495" s="92"/>
      <c r="AQ495" s="92"/>
      <c r="AR495" s="92"/>
      <c r="AS495" s="92"/>
      <c r="AT495" s="92"/>
      <c r="AU495" s="92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</row>
    <row r="496" spans="1:64" ht="15.75" customHeight="1" x14ac:dyDescent="0.2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0"/>
      <c r="U496" s="90"/>
      <c r="V496" s="90"/>
      <c r="W496" s="90"/>
      <c r="X496" s="90"/>
      <c r="Y496" s="90"/>
      <c r="Z496" s="90"/>
      <c r="AA496" s="90"/>
      <c r="AB496" s="91"/>
      <c r="AC496" s="91"/>
      <c r="AD496" s="91"/>
      <c r="AE496" s="91"/>
      <c r="AF496" s="92"/>
      <c r="AG496" s="92"/>
      <c r="AH496" s="92"/>
      <c r="AI496" s="92"/>
      <c r="AJ496" s="92"/>
      <c r="AK496" s="92"/>
      <c r="AL496" s="92"/>
      <c r="AM496" s="92"/>
      <c r="AN496" s="92"/>
      <c r="AO496" s="92"/>
      <c r="AP496" s="92"/>
      <c r="AQ496" s="92"/>
      <c r="AR496" s="92"/>
      <c r="AS496" s="92"/>
      <c r="AT496" s="92"/>
      <c r="AU496" s="92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</row>
    <row r="497" spans="1:64" ht="15.75" customHeight="1" x14ac:dyDescent="0.2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0"/>
      <c r="U497" s="90"/>
      <c r="V497" s="90"/>
      <c r="W497" s="90"/>
      <c r="X497" s="90"/>
      <c r="Y497" s="90"/>
      <c r="Z497" s="90"/>
      <c r="AA497" s="90"/>
      <c r="AB497" s="91"/>
      <c r="AC497" s="91"/>
      <c r="AD497" s="91"/>
      <c r="AE497" s="91"/>
      <c r="AF497" s="92"/>
      <c r="AG497" s="92"/>
      <c r="AH497" s="92"/>
      <c r="AI497" s="92"/>
      <c r="AJ497" s="92"/>
      <c r="AK497" s="92"/>
      <c r="AL497" s="92"/>
      <c r="AM497" s="92"/>
      <c r="AN497" s="92"/>
      <c r="AO497" s="92"/>
      <c r="AP497" s="92"/>
      <c r="AQ497" s="92"/>
      <c r="AR497" s="92"/>
      <c r="AS497" s="92"/>
      <c r="AT497" s="92"/>
      <c r="AU497" s="92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</row>
    <row r="498" spans="1:64" ht="15.75" customHeight="1" x14ac:dyDescent="0.2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0"/>
      <c r="U498" s="90"/>
      <c r="V498" s="90"/>
      <c r="W498" s="90"/>
      <c r="X498" s="90"/>
      <c r="Y498" s="90"/>
      <c r="Z498" s="90"/>
      <c r="AA498" s="90"/>
      <c r="AB498" s="91"/>
      <c r="AC498" s="91"/>
      <c r="AD498" s="91"/>
      <c r="AE498" s="91"/>
      <c r="AF498" s="92"/>
      <c r="AG498" s="92"/>
      <c r="AH498" s="92"/>
      <c r="AI498" s="92"/>
      <c r="AJ498" s="92"/>
      <c r="AK498" s="92"/>
      <c r="AL498" s="92"/>
      <c r="AM498" s="92"/>
      <c r="AN498" s="92"/>
      <c r="AO498" s="92"/>
      <c r="AP498" s="92"/>
      <c r="AQ498" s="92"/>
      <c r="AR498" s="92"/>
      <c r="AS498" s="92"/>
      <c r="AT498" s="92"/>
      <c r="AU498" s="92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</row>
    <row r="499" spans="1:64" ht="15.75" customHeight="1" x14ac:dyDescent="0.2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0"/>
      <c r="U499" s="90"/>
      <c r="V499" s="90"/>
      <c r="W499" s="90"/>
      <c r="X499" s="90"/>
      <c r="Y499" s="90"/>
      <c r="Z499" s="90"/>
      <c r="AA499" s="90"/>
      <c r="AB499" s="91"/>
      <c r="AC499" s="91"/>
      <c r="AD499" s="91"/>
      <c r="AE499" s="91"/>
      <c r="AF499" s="92"/>
      <c r="AG499" s="92"/>
      <c r="AH499" s="92"/>
      <c r="AI499" s="92"/>
      <c r="AJ499" s="92"/>
      <c r="AK499" s="92"/>
      <c r="AL499" s="92"/>
      <c r="AM499" s="92"/>
      <c r="AN499" s="92"/>
      <c r="AO499" s="92"/>
      <c r="AP499" s="92"/>
      <c r="AQ499" s="92"/>
      <c r="AR499" s="92"/>
      <c r="AS499" s="92"/>
      <c r="AT499" s="92"/>
      <c r="AU499" s="92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</row>
    <row r="500" spans="1:64" ht="15.75" customHeight="1" x14ac:dyDescent="0.2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0"/>
      <c r="U500" s="90"/>
      <c r="V500" s="90"/>
      <c r="W500" s="90"/>
      <c r="X500" s="90"/>
      <c r="Y500" s="90"/>
      <c r="Z500" s="90"/>
      <c r="AA500" s="90"/>
      <c r="AB500" s="91"/>
      <c r="AC500" s="91"/>
      <c r="AD500" s="91"/>
      <c r="AE500" s="91"/>
      <c r="AF500" s="92"/>
      <c r="AG500" s="92"/>
      <c r="AH500" s="92"/>
      <c r="AI500" s="92"/>
      <c r="AJ500" s="92"/>
      <c r="AK500" s="92"/>
      <c r="AL500" s="92"/>
      <c r="AM500" s="92"/>
      <c r="AN500" s="92"/>
      <c r="AO500" s="92"/>
      <c r="AP500" s="92"/>
      <c r="AQ500" s="92"/>
      <c r="AR500" s="92"/>
      <c r="AS500" s="92"/>
      <c r="AT500" s="92"/>
      <c r="AU500" s="92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</row>
    <row r="501" spans="1:64" ht="15.75" customHeight="1" x14ac:dyDescent="0.2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0"/>
      <c r="U501" s="90"/>
      <c r="V501" s="90"/>
      <c r="W501" s="90"/>
      <c r="X501" s="90"/>
      <c r="Y501" s="90"/>
      <c r="Z501" s="90"/>
      <c r="AA501" s="90"/>
      <c r="AB501" s="91"/>
      <c r="AC501" s="91"/>
      <c r="AD501" s="91"/>
      <c r="AE501" s="91"/>
      <c r="AF501" s="92"/>
      <c r="AG501" s="92"/>
      <c r="AH501" s="92"/>
      <c r="AI501" s="92"/>
      <c r="AJ501" s="92"/>
      <c r="AK501" s="92"/>
      <c r="AL501" s="92"/>
      <c r="AM501" s="92"/>
      <c r="AN501" s="92"/>
      <c r="AO501" s="92"/>
      <c r="AP501" s="92"/>
      <c r="AQ501" s="92"/>
      <c r="AR501" s="92"/>
      <c r="AS501" s="92"/>
      <c r="AT501" s="92"/>
      <c r="AU501" s="92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</row>
    <row r="502" spans="1:64" ht="15.75" customHeight="1" x14ac:dyDescent="0.2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0"/>
      <c r="U502" s="90"/>
      <c r="V502" s="90"/>
      <c r="W502" s="90"/>
      <c r="X502" s="90"/>
      <c r="Y502" s="90"/>
      <c r="Z502" s="90"/>
      <c r="AA502" s="90"/>
      <c r="AB502" s="91"/>
      <c r="AC502" s="91"/>
      <c r="AD502" s="91"/>
      <c r="AE502" s="91"/>
      <c r="AF502" s="92"/>
      <c r="AG502" s="92"/>
      <c r="AH502" s="92"/>
      <c r="AI502" s="92"/>
      <c r="AJ502" s="92"/>
      <c r="AK502" s="92"/>
      <c r="AL502" s="92"/>
      <c r="AM502" s="92"/>
      <c r="AN502" s="92"/>
      <c r="AO502" s="92"/>
      <c r="AP502" s="92"/>
      <c r="AQ502" s="92"/>
      <c r="AR502" s="92"/>
      <c r="AS502" s="92"/>
      <c r="AT502" s="92"/>
      <c r="AU502" s="92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</row>
    <row r="503" spans="1:64" ht="15.75" customHeight="1" x14ac:dyDescent="0.2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0"/>
      <c r="U503" s="90"/>
      <c r="V503" s="90"/>
      <c r="W503" s="90"/>
      <c r="X503" s="90"/>
      <c r="Y503" s="90"/>
      <c r="Z503" s="90"/>
      <c r="AA503" s="90"/>
      <c r="AB503" s="91"/>
      <c r="AC503" s="91"/>
      <c r="AD503" s="91"/>
      <c r="AE503" s="91"/>
      <c r="AF503" s="92"/>
      <c r="AG503" s="92"/>
      <c r="AH503" s="92"/>
      <c r="AI503" s="92"/>
      <c r="AJ503" s="92"/>
      <c r="AK503" s="92"/>
      <c r="AL503" s="92"/>
      <c r="AM503" s="92"/>
      <c r="AN503" s="92"/>
      <c r="AO503" s="92"/>
      <c r="AP503" s="92"/>
      <c r="AQ503" s="92"/>
      <c r="AR503" s="92"/>
      <c r="AS503" s="92"/>
      <c r="AT503" s="92"/>
      <c r="AU503" s="92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</row>
    <row r="504" spans="1:64" ht="15.75" customHeight="1" x14ac:dyDescent="0.2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0"/>
      <c r="U504" s="90"/>
      <c r="V504" s="90"/>
      <c r="W504" s="90"/>
      <c r="X504" s="90"/>
      <c r="Y504" s="90"/>
      <c r="Z504" s="90"/>
      <c r="AA504" s="90"/>
      <c r="AB504" s="91"/>
      <c r="AC504" s="91"/>
      <c r="AD504" s="91"/>
      <c r="AE504" s="91"/>
      <c r="AF504" s="92"/>
      <c r="AG504" s="92"/>
      <c r="AH504" s="92"/>
      <c r="AI504" s="92"/>
      <c r="AJ504" s="92"/>
      <c r="AK504" s="92"/>
      <c r="AL504" s="92"/>
      <c r="AM504" s="92"/>
      <c r="AN504" s="92"/>
      <c r="AO504" s="92"/>
      <c r="AP504" s="92"/>
      <c r="AQ504" s="92"/>
      <c r="AR504" s="92"/>
      <c r="AS504" s="92"/>
      <c r="AT504" s="92"/>
      <c r="AU504" s="92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</row>
    <row r="505" spans="1:64" ht="15.75" customHeight="1" x14ac:dyDescent="0.2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0"/>
      <c r="U505" s="90"/>
      <c r="V505" s="90"/>
      <c r="W505" s="90"/>
      <c r="X505" s="90"/>
      <c r="Y505" s="90"/>
      <c r="Z505" s="90"/>
      <c r="AA505" s="90"/>
      <c r="AB505" s="91"/>
      <c r="AC505" s="91"/>
      <c r="AD505" s="91"/>
      <c r="AE505" s="91"/>
      <c r="AF505" s="92"/>
      <c r="AG505" s="92"/>
      <c r="AH505" s="92"/>
      <c r="AI505" s="92"/>
      <c r="AJ505" s="92"/>
      <c r="AK505" s="92"/>
      <c r="AL505" s="92"/>
      <c r="AM505" s="92"/>
      <c r="AN505" s="92"/>
      <c r="AO505" s="92"/>
      <c r="AP505" s="92"/>
      <c r="AQ505" s="92"/>
      <c r="AR505" s="92"/>
      <c r="AS505" s="92"/>
      <c r="AT505" s="92"/>
      <c r="AU505" s="92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</row>
    <row r="506" spans="1:64" ht="15.75" customHeight="1" x14ac:dyDescent="0.2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0"/>
      <c r="U506" s="90"/>
      <c r="V506" s="90"/>
      <c r="W506" s="90"/>
      <c r="X506" s="90"/>
      <c r="Y506" s="90"/>
      <c r="Z506" s="90"/>
      <c r="AA506" s="90"/>
      <c r="AB506" s="91"/>
      <c r="AC506" s="91"/>
      <c r="AD506" s="91"/>
      <c r="AE506" s="91"/>
      <c r="AF506" s="92"/>
      <c r="AG506" s="92"/>
      <c r="AH506" s="92"/>
      <c r="AI506" s="92"/>
      <c r="AJ506" s="92"/>
      <c r="AK506" s="92"/>
      <c r="AL506" s="92"/>
      <c r="AM506" s="92"/>
      <c r="AN506" s="92"/>
      <c r="AO506" s="92"/>
      <c r="AP506" s="92"/>
      <c r="AQ506" s="92"/>
      <c r="AR506" s="92"/>
      <c r="AS506" s="92"/>
      <c r="AT506" s="92"/>
      <c r="AU506" s="92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</row>
    <row r="507" spans="1:64" ht="15.75" customHeight="1" x14ac:dyDescent="0.2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0"/>
      <c r="U507" s="90"/>
      <c r="V507" s="90"/>
      <c r="W507" s="90"/>
      <c r="X507" s="90"/>
      <c r="Y507" s="90"/>
      <c r="Z507" s="90"/>
      <c r="AA507" s="90"/>
      <c r="AB507" s="91"/>
      <c r="AC507" s="91"/>
      <c r="AD507" s="91"/>
      <c r="AE507" s="91"/>
      <c r="AF507" s="92"/>
      <c r="AG507" s="92"/>
      <c r="AH507" s="92"/>
      <c r="AI507" s="92"/>
      <c r="AJ507" s="92"/>
      <c r="AK507" s="92"/>
      <c r="AL507" s="92"/>
      <c r="AM507" s="92"/>
      <c r="AN507" s="92"/>
      <c r="AO507" s="92"/>
      <c r="AP507" s="92"/>
      <c r="AQ507" s="92"/>
      <c r="AR507" s="92"/>
      <c r="AS507" s="92"/>
      <c r="AT507" s="92"/>
      <c r="AU507" s="92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</row>
    <row r="508" spans="1:64" ht="15.75" customHeight="1" x14ac:dyDescent="0.2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0"/>
      <c r="U508" s="90"/>
      <c r="V508" s="90"/>
      <c r="W508" s="90"/>
      <c r="X508" s="90"/>
      <c r="Y508" s="90"/>
      <c r="Z508" s="90"/>
      <c r="AA508" s="90"/>
      <c r="AB508" s="91"/>
      <c r="AC508" s="91"/>
      <c r="AD508" s="91"/>
      <c r="AE508" s="91"/>
      <c r="AF508" s="92"/>
      <c r="AG508" s="92"/>
      <c r="AH508" s="92"/>
      <c r="AI508" s="92"/>
      <c r="AJ508" s="92"/>
      <c r="AK508" s="92"/>
      <c r="AL508" s="92"/>
      <c r="AM508" s="92"/>
      <c r="AN508" s="92"/>
      <c r="AO508" s="92"/>
      <c r="AP508" s="92"/>
      <c r="AQ508" s="92"/>
      <c r="AR508" s="92"/>
      <c r="AS508" s="92"/>
      <c r="AT508" s="92"/>
      <c r="AU508" s="92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</row>
    <row r="509" spans="1:64" ht="15.75" customHeight="1" x14ac:dyDescent="0.2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0"/>
      <c r="U509" s="90"/>
      <c r="V509" s="90"/>
      <c r="W509" s="90"/>
      <c r="X509" s="90"/>
      <c r="Y509" s="90"/>
      <c r="Z509" s="90"/>
      <c r="AA509" s="90"/>
      <c r="AB509" s="91"/>
      <c r="AC509" s="91"/>
      <c r="AD509" s="91"/>
      <c r="AE509" s="91"/>
      <c r="AF509" s="92"/>
      <c r="AG509" s="92"/>
      <c r="AH509" s="92"/>
      <c r="AI509" s="92"/>
      <c r="AJ509" s="92"/>
      <c r="AK509" s="92"/>
      <c r="AL509" s="92"/>
      <c r="AM509" s="92"/>
      <c r="AN509" s="92"/>
      <c r="AO509" s="92"/>
      <c r="AP509" s="92"/>
      <c r="AQ509" s="92"/>
      <c r="AR509" s="92"/>
      <c r="AS509" s="92"/>
      <c r="AT509" s="92"/>
      <c r="AU509" s="92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</row>
    <row r="510" spans="1:64" ht="15.75" customHeight="1" x14ac:dyDescent="0.2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0"/>
      <c r="U510" s="90"/>
      <c r="V510" s="90"/>
      <c r="W510" s="90"/>
      <c r="X510" s="90"/>
      <c r="Y510" s="90"/>
      <c r="Z510" s="90"/>
      <c r="AA510" s="90"/>
      <c r="AB510" s="91"/>
      <c r="AC510" s="91"/>
      <c r="AD510" s="91"/>
      <c r="AE510" s="91"/>
      <c r="AF510" s="92"/>
      <c r="AG510" s="92"/>
      <c r="AH510" s="92"/>
      <c r="AI510" s="92"/>
      <c r="AJ510" s="92"/>
      <c r="AK510" s="92"/>
      <c r="AL510" s="92"/>
      <c r="AM510" s="92"/>
      <c r="AN510" s="92"/>
      <c r="AO510" s="92"/>
      <c r="AP510" s="92"/>
      <c r="AQ510" s="92"/>
      <c r="AR510" s="92"/>
      <c r="AS510" s="92"/>
      <c r="AT510" s="92"/>
      <c r="AU510" s="92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</row>
    <row r="511" spans="1:64" ht="15.75" customHeight="1" x14ac:dyDescent="0.2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0"/>
      <c r="U511" s="90"/>
      <c r="V511" s="90"/>
      <c r="W511" s="90"/>
      <c r="X511" s="90"/>
      <c r="Y511" s="90"/>
      <c r="Z511" s="90"/>
      <c r="AA511" s="90"/>
      <c r="AB511" s="91"/>
      <c r="AC511" s="91"/>
      <c r="AD511" s="91"/>
      <c r="AE511" s="91"/>
      <c r="AF511" s="92"/>
      <c r="AG511" s="92"/>
      <c r="AH511" s="92"/>
      <c r="AI511" s="92"/>
      <c r="AJ511" s="92"/>
      <c r="AK511" s="92"/>
      <c r="AL511" s="92"/>
      <c r="AM511" s="92"/>
      <c r="AN511" s="92"/>
      <c r="AO511" s="92"/>
      <c r="AP511" s="92"/>
      <c r="AQ511" s="92"/>
      <c r="AR511" s="92"/>
      <c r="AS511" s="92"/>
      <c r="AT511" s="92"/>
      <c r="AU511" s="92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</row>
    <row r="512" spans="1:64" ht="15.75" customHeight="1" x14ac:dyDescent="0.2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0"/>
      <c r="U512" s="90"/>
      <c r="V512" s="90"/>
      <c r="W512" s="90"/>
      <c r="X512" s="90"/>
      <c r="Y512" s="90"/>
      <c r="Z512" s="90"/>
      <c r="AA512" s="90"/>
      <c r="AB512" s="91"/>
      <c r="AC512" s="91"/>
      <c r="AD512" s="91"/>
      <c r="AE512" s="91"/>
      <c r="AF512" s="92"/>
      <c r="AG512" s="92"/>
      <c r="AH512" s="92"/>
      <c r="AI512" s="92"/>
      <c r="AJ512" s="92"/>
      <c r="AK512" s="92"/>
      <c r="AL512" s="92"/>
      <c r="AM512" s="92"/>
      <c r="AN512" s="92"/>
      <c r="AO512" s="92"/>
      <c r="AP512" s="92"/>
      <c r="AQ512" s="92"/>
      <c r="AR512" s="92"/>
      <c r="AS512" s="92"/>
      <c r="AT512" s="92"/>
      <c r="AU512" s="92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</row>
    <row r="513" spans="1:64" ht="15.75" customHeight="1" x14ac:dyDescent="0.2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0"/>
      <c r="U513" s="90"/>
      <c r="V513" s="90"/>
      <c r="W513" s="90"/>
      <c r="X513" s="90"/>
      <c r="Y513" s="90"/>
      <c r="Z513" s="90"/>
      <c r="AA513" s="90"/>
      <c r="AB513" s="91"/>
      <c r="AC513" s="91"/>
      <c r="AD513" s="91"/>
      <c r="AE513" s="91"/>
      <c r="AF513" s="92"/>
      <c r="AG513" s="92"/>
      <c r="AH513" s="92"/>
      <c r="AI513" s="92"/>
      <c r="AJ513" s="92"/>
      <c r="AK513" s="92"/>
      <c r="AL513" s="92"/>
      <c r="AM513" s="92"/>
      <c r="AN513" s="92"/>
      <c r="AO513" s="92"/>
      <c r="AP513" s="92"/>
      <c r="AQ513" s="92"/>
      <c r="AR513" s="92"/>
      <c r="AS513" s="92"/>
      <c r="AT513" s="92"/>
      <c r="AU513" s="92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</row>
    <row r="514" spans="1:64" ht="15.75" customHeight="1" x14ac:dyDescent="0.2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0"/>
      <c r="U514" s="90"/>
      <c r="V514" s="90"/>
      <c r="W514" s="90"/>
      <c r="X514" s="90"/>
      <c r="Y514" s="90"/>
      <c r="Z514" s="90"/>
      <c r="AA514" s="90"/>
      <c r="AB514" s="91"/>
      <c r="AC514" s="91"/>
      <c r="AD514" s="91"/>
      <c r="AE514" s="91"/>
      <c r="AF514" s="92"/>
      <c r="AG514" s="92"/>
      <c r="AH514" s="92"/>
      <c r="AI514" s="92"/>
      <c r="AJ514" s="92"/>
      <c r="AK514" s="92"/>
      <c r="AL514" s="92"/>
      <c r="AM514" s="92"/>
      <c r="AN514" s="92"/>
      <c r="AO514" s="92"/>
      <c r="AP514" s="92"/>
      <c r="AQ514" s="92"/>
      <c r="AR514" s="92"/>
      <c r="AS514" s="92"/>
      <c r="AT514" s="92"/>
      <c r="AU514" s="92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</row>
    <row r="515" spans="1:64" ht="15.75" customHeight="1" x14ac:dyDescent="0.2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0"/>
      <c r="U515" s="90"/>
      <c r="V515" s="90"/>
      <c r="W515" s="90"/>
      <c r="X515" s="90"/>
      <c r="Y515" s="90"/>
      <c r="Z515" s="90"/>
      <c r="AA515" s="90"/>
      <c r="AB515" s="91"/>
      <c r="AC515" s="91"/>
      <c r="AD515" s="91"/>
      <c r="AE515" s="91"/>
      <c r="AF515" s="92"/>
      <c r="AG515" s="92"/>
      <c r="AH515" s="92"/>
      <c r="AI515" s="92"/>
      <c r="AJ515" s="92"/>
      <c r="AK515" s="92"/>
      <c r="AL515" s="92"/>
      <c r="AM515" s="92"/>
      <c r="AN515" s="92"/>
      <c r="AO515" s="92"/>
      <c r="AP515" s="92"/>
      <c r="AQ515" s="92"/>
      <c r="AR515" s="92"/>
      <c r="AS515" s="92"/>
      <c r="AT515" s="92"/>
      <c r="AU515" s="92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</row>
    <row r="516" spans="1:64" ht="15.75" customHeight="1" x14ac:dyDescent="0.2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0"/>
      <c r="U516" s="90"/>
      <c r="V516" s="90"/>
      <c r="W516" s="90"/>
      <c r="X516" s="90"/>
      <c r="Y516" s="90"/>
      <c r="Z516" s="90"/>
      <c r="AA516" s="90"/>
      <c r="AB516" s="91"/>
      <c r="AC516" s="91"/>
      <c r="AD516" s="91"/>
      <c r="AE516" s="91"/>
      <c r="AF516" s="92"/>
      <c r="AG516" s="92"/>
      <c r="AH516" s="92"/>
      <c r="AI516" s="92"/>
      <c r="AJ516" s="92"/>
      <c r="AK516" s="92"/>
      <c r="AL516" s="92"/>
      <c r="AM516" s="92"/>
      <c r="AN516" s="92"/>
      <c r="AO516" s="92"/>
      <c r="AP516" s="92"/>
      <c r="AQ516" s="92"/>
      <c r="AR516" s="92"/>
      <c r="AS516" s="92"/>
      <c r="AT516" s="92"/>
      <c r="AU516" s="92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</row>
    <row r="517" spans="1:64" ht="15.75" customHeight="1" x14ac:dyDescent="0.2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0"/>
      <c r="U517" s="90"/>
      <c r="V517" s="90"/>
      <c r="W517" s="90"/>
      <c r="X517" s="90"/>
      <c r="Y517" s="90"/>
      <c r="Z517" s="90"/>
      <c r="AA517" s="90"/>
      <c r="AB517" s="91"/>
      <c r="AC517" s="91"/>
      <c r="AD517" s="91"/>
      <c r="AE517" s="91"/>
      <c r="AF517" s="92"/>
      <c r="AG517" s="92"/>
      <c r="AH517" s="92"/>
      <c r="AI517" s="92"/>
      <c r="AJ517" s="92"/>
      <c r="AK517" s="92"/>
      <c r="AL517" s="92"/>
      <c r="AM517" s="92"/>
      <c r="AN517" s="92"/>
      <c r="AO517" s="92"/>
      <c r="AP517" s="92"/>
      <c r="AQ517" s="92"/>
      <c r="AR517" s="92"/>
      <c r="AS517" s="92"/>
      <c r="AT517" s="92"/>
      <c r="AU517" s="92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</row>
    <row r="518" spans="1:64" ht="15.75" customHeight="1" x14ac:dyDescent="0.2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0"/>
      <c r="U518" s="90"/>
      <c r="V518" s="90"/>
      <c r="W518" s="90"/>
      <c r="X518" s="90"/>
      <c r="Y518" s="90"/>
      <c r="Z518" s="90"/>
      <c r="AA518" s="90"/>
      <c r="AB518" s="91"/>
      <c r="AC518" s="91"/>
      <c r="AD518" s="91"/>
      <c r="AE518" s="91"/>
      <c r="AF518" s="92"/>
      <c r="AG518" s="92"/>
      <c r="AH518" s="92"/>
      <c r="AI518" s="92"/>
      <c r="AJ518" s="92"/>
      <c r="AK518" s="92"/>
      <c r="AL518" s="92"/>
      <c r="AM518" s="92"/>
      <c r="AN518" s="92"/>
      <c r="AO518" s="92"/>
      <c r="AP518" s="92"/>
      <c r="AQ518" s="92"/>
      <c r="AR518" s="92"/>
      <c r="AS518" s="92"/>
      <c r="AT518" s="92"/>
      <c r="AU518" s="92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</row>
    <row r="519" spans="1:64" ht="15.75" customHeight="1" x14ac:dyDescent="0.2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0"/>
      <c r="U519" s="90"/>
      <c r="V519" s="90"/>
      <c r="W519" s="90"/>
      <c r="X519" s="90"/>
      <c r="Y519" s="90"/>
      <c r="Z519" s="90"/>
      <c r="AA519" s="90"/>
      <c r="AB519" s="91"/>
      <c r="AC519" s="91"/>
      <c r="AD519" s="91"/>
      <c r="AE519" s="91"/>
      <c r="AF519" s="92"/>
      <c r="AG519" s="92"/>
      <c r="AH519" s="92"/>
      <c r="AI519" s="92"/>
      <c r="AJ519" s="92"/>
      <c r="AK519" s="92"/>
      <c r="AL519" s="92"/>
      <c r="AM519" s="92"/>
      <c r="AN519" s="92"/>
      <c r="AO519" s="92"/>
      <c r="AP519" s="92"/>
      <c r="AQ519" s="92"/>
      <c r="AR519" s="92"/>
      <c r="AS519" s="92"/>
      <c r="AT519" s="92"/>
      <c r="AU519" s="92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</row>
    <row r="520" spans="1:64" ht="15.75" customHeight="1" x14ac:dyDescent="0.2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0"/>
      <c r="U520" s="90"/>
      <c r="V520" s="90"/>
      <c r="W520" s="90"/>
      <c r="X520" s="90"/>
      <c r="Y520" s="90"/>
      <c r="Z520" s="90"/>
      <c r="AA520" s="90"/>
      <c r="AB520" s="91"/>
      <c r="AC520" s="91"/>
      <c r="AD520" s="91"/>
      <c r="AE520" s="91"/>
      <c r="AF520" s="92"/>
      <c r="AG520" s="92"/>
      <c r="AH520" s="92"/>
      <c r="AI520" s="92"/>
      <c r="AJ520" s="92"/>
      <c r="AK520" s="92"/>
      <c r="AL520" s="92"/>
      <c r="AM520" s="92"/>
      <c r="AN520" s="92"/>
      <c r="AO520" s="92"/>
      <c r="AP520" s="92"/>
      <c r="AQ520" s="92"/>
      <c r="AR520" s="92"/>
      <c r="AS520" s="92"/>
      <c r="AT520" s="92"/>
      <c r="AU520" s="92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</row>
    <row r="521" spans="1:64" ht="15.75" customHeight="1" x14ac:dyDescent="0.2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0"/>
      <c r="U521" s="90"/>
      <c r="V521" s="90"/>
      <c r="W521" s="90"/>
      <c r="X521" s="90"/>
      <c r="Y521" s="90"/>
      <c r="Z521" s="90"/>
      <c r="AA521" s="90"/>
      <c r="AB521" s="91"/>
      <c r="AC521" s="91"/>
      <c r="AD521" s="91"/>
      <c r="AE521" s="91"/>
      <c r="AF521" s="92"/>
      <c r="AG521" s="92"/>
      <c r="AH521" s="92"/>
      <c r="AI521" s="92"/>
      <c r="AJ521" s="92"/>
      <c r="AK521" s="92"/>
      <c r="AL521" s="92"/>
      <c r="AM521" s="92"/>
      <c r="AN521" s="92"/>
      <c r="AO521" s="92"/>
      <c r="AP521" s="92"/>
      <c r="AQ521" s="92"/>
      <c r="AR521" s="92"/>
      <c r="AS521" s="92"/>
      <c r="AT521" s="92"/>
      <c r="AU521" s="92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</row>
    <row r="522" spans="1:64" ht="15.75" customHeight="1" x14ac:dyDescent="0.2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0"/>
      <c r="U522" s="90"/>
      <c r="V522" s="90"/>
      <c r="W522" s="90"/>
      <c r="X522" s="90"/>
      <c r="Y522" s="90"/>
      <c r="Z522" s="90"/>
      <c r="AA522" s="90"/>
      <c r="AB522" s="91"/>
      <c r="AC522" s="91"/>
      <c r="AD522" s="91"/>
      <c r="AE522" s="91"/>
      <c r="AF522" s="92"/>
      <c r="AG522" s="92"/>
      <c r="AH522" s="92"/>
      <c r="AI522" s="92"/>
      <c r="AJ522" s="92"/>
      <c r="AK522" s="92"/>
      <c r="AL522" s="92"/>
      <c r="AM522" s="92"/>
      <c r="AN522" s="92"/>
      <c r="AO522" s="92"/>
      <c r="AP522" s="92"/>
      <c r="AQ522" s="92"/>
      <c r="AR522" s="92"/>
      <c r="AS522" s="92"/>
      <c r="AT522" s="92"/>
      <c r="AU522" s="92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</row>
    <row r="523" spans="1:64" ht="15.75" customHeight="1" x14ac:dyDescent="0.2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0"/>
      <c r="U523" s="90"/>
      <c r="V523" s="90"/>
      <c r="W523" s="90"/>
      <c r="X523" s="90"/>
      <c r="Y523" s="90"/>
      <c r="Z523" s="90"/>
      <c r="AA523" s="90"/>
      <c r="AB523" s="91"/>
      <c r="AC523" s="91"/>
      <c r="AD523" s="91"/>
      <c r="AE523" s="91"/>
      <c r="AF523" s="92"/>
      <c r="AG523" s="92"/>
      <c r="AH523" s="92"/>
      <c r="AI523" s="92"/>
      <c r="AJ523" s="92"/>
      <c r="AK523" s="92"/>
      <c r="AL523" s="92"/>
      <c r="AM523" s="92"/>
      <c r="AN523" s="92"/>
      <c r="AO523" s="92"/>
      <c r="AP523" s="92"/>
      <c r="AQ523" s="92"/>
      <c r="AR523" s="92"/>
      <c r="AS523" s="92"/>
      <c r="AT523" s="92"/>
      <c r="AU523" s="92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</row>
    <row r="524" spans="1:64" ht="15.75" customHeight="1" x14ac:dyDescent="0.2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0"/>
      <c r="U524" s="90"/>
      <c r="V524" s="90"/>
      <c r="W524" s="90"/>
      <c r="X524" s="90"/>
      <c r="Y524" s="90"/>
      <c r="Z524" s="90"/>
      <c r="AA524" s="90"/>
      <c r="AB524" s="91"/>
      <c r="AC524" s="91"/>
      <c r="AD524" s="91"/>
      <c r="AE524" s="91"/>
      <c r="AF524" s="92"/>
      <c r="AG524" s="92"/>
      <c r="AH524" s="92"/>
      <c r="AI524" s="92"/>
      <c r="AJ524" s="92"/>
      <c r="AK524" s="92"/>
      <c r="AL524" s="92"/>
      <c r="AM524" s="92"/>
      <c r="AN524" s="92"/>
      <c r="AO524" s="92"/>
      <c r="AP524" s="92"/>
      <c r="AQ524" s="92"/>
      <c r="AR524" s="92"/>
      <c r="AS524" s="92"/>
      <c r="AT524" s="92"/>
      <c r="AU524" s="92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</row>
    <row r="525" spans="1:64" ht="15.75" customHeight="1" x14ac:dyDescent="0.2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0"/>
      <c r="U525" s="90"/>
      <c r="V525" s="90"/>
      <c r="W525" s="90"/>
      <c r="X525" s="90"/>
      <c r="Y525" s="90"/>
      <c r="Z525" s="90"/>
      <c r="AA525" s="90"/>
      <c r="AB525" s="91"/>
      <c r="AC525" s="91"/>
      <c r="AD525" s="91"/>
      <c r="AE525" s="91"/>
      <c r="AF525" s="92"/>
      <c r="AG525" s="92"/>
      <c r="AH525" s="92"/>
      <c r="AI525" s="92"/>
      <c r="AJ525" s="92"/>
      <c r="AK525" s="92"/>
      <c r="AL525" s="92"/>
      <c r="AM525" s="92"/>
      <c r="AN525" s="92"/>
      <c r="AO525" s="92"/>
      <c r="AP525" s="92"/>
      <c r="AQ525" s="92"/>
      <c r="AR525" s="92"/>
      <c r="AS525" s="92"/>
      <c r="AT525" s="92"/>
      <c r="AU525" s="92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</row>
    <row r="526" spans="1:64" ht="15.75" customHeight="1" x14ac:dyDescent="0.2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0"/>
      <c r="U526" s="90"/>
      <c r="V526" s="90"/>
      <c r="W526" s="90"/>
      <c r="X526" s="90"/>
      <c r="Y526" s="90"/>
      <c r="Z526" s="90"/>
      <c r="AA526" s="90"/>
      <c r="AB526" s="91"/>
      <c r="AC526" s="91"/>
      <c r="AD526" s="91"/>
      <c r="AE526" s="91"/>
      <c r="AF526" s="92"/>
      <c r="AG526" s="92"/>
      <c r="AH526" s="92"/>
      <c r="AI526" s="92"/>
      <c r="AJ526" s="92"/>
      <c r="AK526" s="92"/>
      <c r="AL526" s="92"/>
      <c r="AM526" s="92"/>
      <c r="AN526" s="92"/>
      <c r="AO526" s="92"/>
      <c r="AP526" s="92"/>
      <c r="AQ526" s="92"/>
      <c r="AR526" s="92"/>
      <c r="AS526" s="92"/>
      <c r="AT526" s="92"/>
      <c r="AU526" s="92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</row>
    <row r="527" spans="1:64" ht="15.75" customHeight="1" x14ac:dyDescent="0.2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0"/>
      <c r="U527" s="90"/>
      <c r="V527" s="90"/>
      <c r="W527" s="90"/>
      <c r="X527" s="90"/>
      <c r="Y527" s="90"/>
      <c r="Z527" s="90"/>
      <c r="AA527" s="90"/>
      <c r="AB527" s="91"/>
      <c r="AC527" s="91"/>
      <c r="AD527" s="91"/>
      <c r="AE527" s="91"/>
      <c r="AF527" s="92"/>
      <c r="AG527" s="92"/>
      <c r="AH527" s="92"/>
      <c r="AI527" s="92"/>
      <c r="AJ527" s="92"/>
      <c r="AK527" s="92"/>
      <c r="AL527" s="92"/>
      <c r="AM527" s="92"/>
      <c r="AN527" s="92"/>
      <c r="AO527" s="92"/>
      <c r="AP527" s="92"/>
      <c r="AQ527" s="92"/>
      <c r="AR527" s="92"/>
      <c r="AS527" s="92"/>
      <c r="AT527" s="92"/>
      <c r="AU527" s="92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</row>
    <row r="528" spans="1:64" ht="15.75" customHeight="1" x14ac:dyDescent="0.2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0"/>
      <c r="U528" s="90"/>
      <c r="V528" s="90"/>
      <c r="W528" s="90"/>
      <c r="X528" s="90"/>
      <c r="Y528" s="90"/>
      <c r="Z528" s="90"/>
      <c r="AA528" s="90"/>
      <c r="AB528" s="91"/>
      <c r="AC528" s="91"/>
      <c r="AD528" s="91"/>
      <c r="AE528" s="91"/>
      <c r="AF528" s="92"/>
      <c r="AG528" s="92"/>
      <c r="AH528" s="92"/>
      <c r="AI528" s="92"/>
      <c r="AJ528" s="92"/>
      <c r="AK528" s="92"/>
      <c r="AL528" s="92"/>
      <c r="AM528" s="92"/>
      <c r="AN528" s="92"/>
      <c r="AO528" s="92"/>
      <c r="AP528" s="92"/>
      <c r="AQ528" s="92"/>
      <c r="AR528" s="92"/>
      <c r="AS528" s="92"/>
      <c r="AT528" s="92"/>
      <c r="AU528" s="92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</row>
    <row r="529" spans="1:64" ht="15.75" customHeight="1" x14ac:dyDescent="0.2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0"/>
      <c r="U529" s="90"/>
      <c r="V529" s="90"/>
      <c r="W529" s="90"/>
      <c r="X529" s="90"/>
      <c r="Y529" s="90"/>
      <c r="Z529" s="90"/>
      <c r="AA529" s="90"/>
      <c r="AB529" s="91"/>
      <c r="AC529" s="91"/>
      <c r="AD529" s="91"/>
      <c r="AE529" s="91"/>
      <c r="AF529" s="92"/>
      <c r="AG529" s="92"/>
      <c r="AH529" s="92"/>
      <c r="AI529" s="92"/>
      <c r="AJ529" s="92"/>
      <c r="AK529" s="92"/>
      <c r="AL529" s="92"/>
      <c r="AM529" s="92"/>
      <c r="AN529" s="92"/>
      <c r="AO529" s="92"/>
      <c r="AP529" s="92"/>
      <c r="AQ529" s="92"/>
      <c r="AR529" s="92"/>
      <c r="AS529" s="92"/>
      <c r="AT529" s="92"/>
      <c r="AU529" s="92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</row>
    <row r="530" spans="1:64" ht="15.75" customHeight="1" x14ac:dyDescent="0.2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0"/>
      <c r="U530" s="90"/>
      <c r="V530" s="90"/>
      <c r="W530" s="90"/>
      <c r="X530" s="90"/>
      <c r="Y530" s="90"/>
      <c r="Z530" s="90"/>
      <c r="AA530" s="90"/>
      <c r="AB530" s="91"/>
      <c r="AC530" s="91"/>
      <c r="AD530" s="91"/>
      <c r="AE530" s="91"/>
      <c r="AF530" s="92"/>
      <c r="AG530" s="92"/>
      <c r="AH530" s="92"/>
      <c r="AI530" s="92"/>
      <c r="AJ530" s="92"/>
      <c r="AK530" s="92"/>
      <c r="AL530" s="92"/>
      <c r="AM530" s="92"/>
      <c r="AN530" s="92"/>
      <c r="AO530" s="92"/>
      <c r="AP530" s="92"/>
      <c r="AQ530" s="92"/>
      <c r="AR530" s="92"/>
      <c r="AS530" s="92"/>
      <c r="AT530" s="92"/>
      <c r="AU530" s="92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</row>
    <row r="531" spans="1:64" ht="15.75" customHeight="1" x14ac:dyDescent="0.2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0"/>
      <c r="U531" s="90"/>
      <c r="V531" s="90"/>
      <c r="W531" s="90"/>
      <c r="X531" s="90"/>
      <c r="Y531" s="90"/>
      <c r="Z531" s="90"/>
      <c r="AA531" s="90"/>
      <c r="AB531" s="91"/>
      <c r="AC531" s="91"/>
      <c r="AD531" s="91"/>
      <c r="AE531" s="91"/>
      <c r="AF531" s="92"/>
      <c r="AG531" s="92"/>
      <c r="AH531" s="92"/>
      <c r="AI531" s="92"/>
      <c r="AJ531" s="92"/>
      <c r="AK531" s="92"/>
      <c r="AL531" s="92"/>
      <c r="AM531" s="92"/>
      <c r="AN531" s="92"/>
      <c r="AO531" s="92"/>
      <c r="AP531" s="92"/>
      <c r="AQ531" s="92"/>
      <c r="AR531" s="92"/>
      <c r="AS531" s="92"/>
      <c r="AT531" s="92"/>
      <c r="AU531" s="92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</row>
    <row r="532" spans="1:64" ht="15.75" customHeight="1" x14ac:dyDescent="0.2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0"/>
      <c r="U532" s="90"/>
      <c r="V532" s="90"/>
      <c r="W532" s="90"/>
      <c r="X532" s="90"/>
      <c r="Y532" s="90"/>
      <c r="Z532" s="90"/>
      <c r="AA532" s="90"/>
      <c r="AB532" s="91"/>
      <c r="AC532" s="91"/>
      <c r="AD532" s="91"/>
      <c r="AE532" s="91"/>
      <c r="AF532" s="92"/>
      <c r="AG532" s="92"/>
      <c r="AH532" s="92"/>
      <c r="AI532" s="92"/>
      <c r="AJ532" s="92"/>
      <c r="AK532" s="92"/>
      <c r="AL532" s="92"/>
      <c r="AM532" s="92"/>
      <c r="AN532" s="92"/>
      <c r="AO532" s="92"/>
      <c r="AP532" s="92"/>
      <c r="AQ532" s="92"/>
      <c r="AR532" s="92"/>
      <c r="AS532" s="92"/>
      <c r="AT532" s="92"/>
      <c r="AU532" s="92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</row>
    <row r="533" spans="1:64" ht="15.75" customHeight="1" x14ac:dyDescent="0.2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0"/>
      <c r="U533" s="90"/>
      <c r="V533" s="90"/>
      <c r="W533" s="90"/>
      <c r="X533" s="90"/>
      <c r="Y533" s="90"/>
      <c r="Z533" s="90"/>
      <c r="AA533" s="90"/>
      <c r="AB533" s="91"/>
      <c r="AC533" s="91"/>
      <c r="AD533" s="91"/>
      <c r="AE533" s="91"/>
      <c r="AF533" s="92"/>
      <c r="AG533" s="92"/>
      <c r="AH533" s="92"/>
      <c r="AI533" s="92"/>
      <c r="AJ533" s="92"/>
      <c r="AK533" s="92"/>
      <c r="AL533" s="92"/>
      <c r="AM533" s="92"/>
      <c r="AN533" s="92"/>
      <c r="AO533" s="92"/>
      <c r="AP533" s="92"/>
      <c r="AQ533" s="92"/>
      <c r="AR533" s="92"/>
      <c r="AS533" s="92"/>
      <c r="AT533" s="92"/>
      <c r="AU533" s="92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</row>
    <row r="534" spans="1:64" ht="15.75" customHeight="1" x14ac:dyDescent="0.2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0"/>
      <c r="U534" s="90"/>
      <c r="V534" s="90"/>
      <c r="W534" s="90"/>
      <c r="X534" s="90"/>
      <c r="Y534" s="90"/>
      <c r="Z534" s="90"/>
      <c r="AA534" s="90"/>
      <c r="AB534" s="91"/>
      <c r="AC534" s="91"/>
      <c r="AD534" s="91"/>
      <c r="AE534" s="91"/>
      <c r="AF534" s="92"/>
      <c r="AG534" s="92"/>
      <c r="AH534" s="92"/>
      <c r="AI534" s="92"/>
      <c r="AJ534" s="92"/>
      <c r="AK534" s="92"/>
      <c r="AL534" s="92"/>
      <c r="AM534" s="92"/>
      <c r="AN534" s="92"/>
      <c r="AO534" s="92"/>
      <c r="AP534" s="92"/>
      <c r="AQ534" s="92"/>
      <c r="AR534" s="92"/>
      <c r="AS534" s="92"/>
      <c r="AT534" s="92"/>
      <c r="AU534" s="92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</row>
    <row r="535" spans="1:64" ht="15.75" customHeight="1" x14ac:dyDescent="0.2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0"/>
      <c r="U535" s="90"/>
      <c r="V535" s="90"/>
      <c r="W535" s="90"/>
      <c r="X535" s="90"/>
      <c r="Y535" s="90"/>
      <c r="Z535" s="90"/>
      <c r="AA535" s="90"/>
      <c r="AB535" s="91"/>
      <c r="AC535" s="91"/>
      <c r="AD535" s="91"/>
      <c r="AE535" s="91"/>
      <c r="AF535" s="92"/>
      <c r="AG535" s="92"/>
      <c r="AH535" s="92"/>
      <c r="AI535" s="92"/>
      <c r="AJ535" s="92"/>
      <c r="AK535" s="92"/>
      <c r="AL535" s="92"/>
      <c r="AM535" s="92"/>
      <c r="AN535" s="92"/>
      <c r="AO535" s="92"/>
      <c r="AP535" s="92"/>
      <c r="AQ535" s="92"/>
      <c r="AR535" s="92"/>
      <c r="AS535" s="92"/>
      <c r="AT535" s="92"/>
      <c r="AU535" s="92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</row>
    <row r="536" spans="1:64" ht="15.75" customHeight="1" x14ac:dyDescent="0.2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0"/>
      <c r="U536" s="90"/>
      <c r="V536" s="90"/>
      <c r="W536" s="90"/>
      <c r="X536" s="90"/>
      <c r="Y536" s="90"/>
      <c r="Z536" s="90"/>
      <c r="AA536" s="90"/>
      <c r="AB536" s="91"/>
      <c r="AC536" s="91"/>
      <c r="AD536" s="91"/>
      <c r="AE536" s="91"/>
      <c r="AF536" s="92"/>
      <c r="AG536" s="92"/>
      <c r="AH536" s="92"/>
      <c r="AI536" s="92"/>
      <c r="AJ536" s="92"/>
      <c r="AK536" s="92"/>
      <c r="AL536" s="92"/>
      <c r="AM536" s="92"/>
      <c r="AN536" s="92"/>
      <c r="AO536" s="92"/>
      <c r="AP536" s="92"/>
      <c r="AQ536" s="92"/>
      <c r="AR536" s="92"/>
      <c r="AS536" s="92"/>
      <c r="AT536" s="92"/>
      <c r="AU536" s="92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</row>
    <row r="537" spans="1:64" ht="15.75" customHeight="1" x14ac:dyDescent="0.2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0"/>
      <c r="U537" s="90"/>
      <c r="V537" s="90"/>
      <c r="W537" s="90"/>
      <c r="X537" s="90"/>
      <c r="Y537" s="90"/>
      <c r="Z537" s="90"/>
      <c r="AA537" s="90"/>
      <c r="AB537" s="91"/>
      <c r="AC537" s="91"/>
      <c r="AD537" s="91"/>
      <c r="AE537" s="91"/>
      <c r="AF537" s="92"/>
      <c r="AG537" s="92"/>
      <c r="AH537" s="92"/>
      <c r="AI537" s="92"/>
      <c r="AJ537" s="92"/>
      <c r="AK537" s="92"/>
      <c r="AL537" s="92"/>
      <c r="AM537" s="92"/>
      <c r="AN537" s="92"/>
      <c r="AO537" s="92"/>
      <c r="AP537" s="92"/>
      <c r="AQ537" s="92"/>
      <c r="AR537" s="92"/>
      <c r="AS537" s="92"/>
      <c r="AT537" s="92"/>
      <c r="AU537" s="92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</row>
    <row r="538" spans="1:64" ht="15.75" customHeight="1" x14ac:dyDescent="0.2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0"/>
      <c r="U538" s="90"/>
      <c r="V538" s="90"/>
      <c r="W538" s="90"/>
      <c r="X538" s="90"/>
      <c r="Y538" s="90"/>
      <c r="Z538" s="90"/>
      <c r="AA538" s="90"/>
      <c r="AB538" s="91"/>
      <c r="AC538" s="91"/>
      <c r="AD538" s="91"/>
      <c r="AE538" s="91"/>
      <c r="AF538" s="92"/>
      <c r="AG538" s="92"/>
      <c r="AH538" s="92"/>
      <c r="AI538" s="92"/>
      <c r="AJ538" s="92"/>
      <c r="AK538" s="92"/>
      <c r="AL538" s="92"/>
      <c r="AM538" s="92"/>
      <c r="AN538" s="92"/>
      <c r="AO538" s="92"/>
      <c r="AP538" s="92"/>
      <c r="AQ538" s="92"/>
      <c r="AR538" s="92"/>
      <c r="AS538" s="92"/>
      <c r="AT538" s="92"/>
      <c r="AU538" s="92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</row>
    <row r="539" spans="1:64" ht="15.75" customHeight="1" x14ac:dyDescent="0.2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0"/>
      <c r="U539" s="90"/>
      <c r="V539" s="90"/>
      <c r="W539" s="90"/>
      <c r="X539" s="90"/>
      <c r="Y539" s="90"/>
      <c r="Z539" s="90"/>
      <c r="AA539" s="90"/>
      <c r="AB539" s="91"/>
      <c r="AC539" s="91"/>
      <c r="AD539" s="91"/>
      <c r="AE539" s="91"/>
      <c r="AF539" s="92"/>
      <c r="AG539" s="92"/>
      <c r="AH539" s="92"/>
      <c r="AI539" s="92"/>
      <c r="AJ539" s="92"/>
      <c r="AK539" s="92"/>
      <c r="AL539" s="92"/>
      <c r="AM539" s="92"/>
      <c r="AN539" s="92"/>
      <c r="AO539" s="92"/>
      <c r="AP539" s="92"/>
      <c r="AQ539" s="92"/>
      <c r="AR539" s="92"/>
      <c r="AS539" s="92"/>
      <c r="AT539" s="92"/>
      <c r="AU539" s="92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</row>
    <row r="540" spans="1:64" ht="15.75" customHeight="1" x14ac:dyDescent="0.2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0"/>
      <c r="U540" s="90"/>
      <c r="V540" s="90"/>
      <c r="W540" s="90"/>
      <c r="X540" s="90"/>
      <c r="Y540" s="90"/>
      <c r="Z540" s="90"/>
      <c r="AA540" s="90"/>
      <c r="AB540" s="91"/>
      <c r="AC540" s="91"/>
      <c r="AD540" s="91"/>
      <c r="AE540" s="91"/>
      <c r="AF540" s="92"/>
      <c r="AG540" s="92"/>
      <c r="AH540" s="92"/>
      <c r="AI540" s="92"/>
      <c r="AJ540" s="92"/>
      <c r="AK540" s="92"/>
      <c r="AL540" s="92"/>
      <c r="AM540" s="92"/>
      <c r="AN540" s="92"/>
      <c r="AO540" s="92"/>
      <c r="AP540" s="92"/>
      <c r="AQ540" s="92"/>
      <c r="AR540" s="92"/>
      <c r="AS540" s="92"/>
      <c r="AT540" s="92"/>
      <c r="AU540" s="92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</row>
    <row r="541" spans="1:64" ht="15.75" customHeight="1" x14ac:dyDescent="0.2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0"/>
      <c r="U541" s="90"/>
      <c r="V541" s="90"/>
      <c r="W541" s="90"/>
      <c r="X541" s="90"/>
      <c r="Y541" s="90"/>
      <c r="Z541" s="90"/>
      <c r="AA541" s="90"/>
      <c r="AB541" s="91"/>
      <c r="AC541" s="91"/>
      <c r="AD541" s="91"/>
      <c r="AE541" s="91"/>
      <c r="AF541" s="92"/>
      <c r="AG541" s="92"/>
      <c r="AH541" s="92"/>
      <c r="AI541" s="92"/>
      <c r="AJ541" s="92"/>
      <c r="AK541" s="92"/>
      <c r="AL541" s="92"/>
      <c r="AM541" s="92"/>
      <c r="AN541" s="92"/>
      <c r="AO541" s="92"/>
      <c r="AP541" s="92"/>
      <c r="AQ541" s="92"/>
      <c r="AR541" s="92"/>
      <c r="AS541" s="92"/>
      <c r="AT541" s="92"/>
      <c r="AU541" s="92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</row>
    <row r="542" spans="1:64" ht="15.75" customHeight="1" x14ac:dyDescent="0.2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0"/>
      <c r="U542" s="90"/>
      <c r="V542" s="90"/>
      <c r="W542" s="90"/>
      <c r="X542" s="90"/>
      <c r="Y542" s="90"/>
      <c r="Z542" s="90"/>
      <c r="AA542" s="90"/>
      <c r="AB542" s="91"/>
      <c r="AC542" s="91"/>
      <c r="AD542" s="91"/>
      <c r="AE542" s="91"/>
      <c r="AF542" s="92"/>
      <c r="AG542" s="92"/>
      <c r="AH542" s="92"/>
      <c r="AI542" s="92"/>
      <c r="AJ542" s="92"/>
      <c r="AK542" s="92"/>
      <c r="AL542" s="92"/>
      <c r="AM542" s="92"/>
      <c r="AN542" s="92"/>
      <c r="AO542" s="92"/>
      <c r="AP542" s="92"/>
      <c r="AQ542" s="92"/>
      <c r="AR542" s="92"/>
      <c r="AS542" s="92"/>
      <c r="AT542" s="92"/>
      <c r="AU542" s="92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</row>
    <row r="543" spans="1:64" ht="15.75" customHeight="1" x14ac:dyDescent="0.2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0"/>
      <c r="U543" s="90"/>
      <c r="V543" s="90"/>
      <c r="W543" s="90"/>
      <c r="X543" s="90"/>
      <c r="Y543" s="90"/>
      <c r="Z543" s="90"/>
      <c r="AA543" s="90"/>
      <c r="AB543" s="91"/>
      <c r="AC543" s="91"/>
      <c r="AD543" s="91"/>
      <c r="AE543" s="91"/>
      <c r="AF543" s="92"/>
      <c r="AG543" s="92"/>
      <c r="AH543" s="92"/>
      <c r="AI543" s="92"/>
      <c r="AJ543" s="92"/>
      <c r="AK543" s="92"/>
      <c r="AL543" s="92"/>
      <c r="AM543" s="92"/>
      <c r="AN543" s="92"/>
      <c r="AO543" s="92"/>
      <c r="AP543" s="92"/>
      <c r="AQ543" s="92"/>
      <c r="AR543" s="92"/>
      <c r="AS543" s="92"/>
      <c r="AT543" s="92"/>
      <c r="AU543" s="92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</row>
    <row r="544" spans="1:64" ht="15.75" customHeight="1" x14ac:dyDescent="0.2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0"/>
      <c r="U544" s="90"/>
      <c r="V544" s="90"/>
      <c r="W544" s="90"/>
      <c r="X544" s="90"/>
      <c r="Y544" s="90"/>
      <c r="Z544" s="90"/>
      <c r="AA544" s="90"/>
      <c r="AB544" s="91"/>
      <c r="AC544" s="91"/>
      <c r="AD544" s="91"/>
      <c r="AE544" s="91"/>
      <c r="AF544" s="92"/>
      <c r="AG544" s="92"/>
      <c r="AH544" s="92"/>
      <c r="AI544" s="92"/>
      <c r="AJ544" s="92"/>
      <c r="AK544" s="92"/>
      <c r="AL544" s="92"/>
      <c r="AM544" s="92"/>
      <c r="AN544" s="92"/>
      <c r="AO544" s="92"/>
      <c r="AP544" s="92"/>
      <c r="AQ544" s="92"/>
      <c r="AR544" s="92"/>
      <c r="AS544" s="92"/>
      <c r="AT544" s="92"/>
      <c r="AU544" s="92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</row>
    <row r="545" spans="1:64" ht="15.75" customHeight="1" x14ac:dyDescent="0.2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0"/>
      <c r="U545" s="90"/>
      <c r="V545" s="90"/>
      <c r="W545" s="90"/>
      <c r="X545" s="90"/>
      <c r="Y545" s="90"/>
      <c r="Z545" s="90"/>
      <c r="AA545" s="90"/>
      <c r="AB545" s="91"/>
      <c r="AC545" s="91"/>
      <c r="AD545" s="91"/>
      <c r="AE545" s="91"/>
      <c r="AF545" s="92"/>
      <c r="AG545" s="92"/>
      <c r="AH545" s="92"/>
      <c r="AI545" s="92"/>
      <c r="AJ545" s="92"/>
      <c r="AK545" s="92"/>
      <c r="AL545" s="92"/>
      <c r="AM545" s="92"/>
      <c r="AN545" s="92"/>
      <c r="AO545" s="92"/>
      <c r="AP545" s="92"/>
      <c r="AQ545" s="92"/>
      <c r="AR545" s="92"/>
      <c r="AS545" s="92"/>
      <c r="AT545" s="92"/>
      <c r="AU545" s="92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</row>
    <row r="546" spans="1:64" ht="15.75" customHeight="1" x14ac:dyDescent="0.2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0"/>
      <c r="U546" s="90"/>
      <c r="V546" s="90"/>
      <c r="W546" s="90"/>
      <c r="X546" s="90"/>
      <c r="Y546" s="90"/>
      <c r="Z546" s="90"/>
      <c r="AA546" s="90"/>
      <c r="AB546" s="91"/>
      <c r="AC546" s="91"/>
      <c r="AD546" s="91"/>
      <c r="AE546" s="91"/>
      <c r="AF546" s="92"/>
      <c r="AG546" s="92"/>
      <c r="AH546" s="92"/>
      <c r="AI546" s="92"/>
      <c r="AJ546" s="92"/>
      <c r="AK546" s="92"/>
      <c r="AL546" s="92"/>
      <c r="AM546" s="92"/>
      <c r="AN546" s="92"/>
      <c r="AO546" s="92"/>
      <c r="AP546" s="92"/>
      <c r="AQ546" s="92"/>
      <c r="AR546" s="92"/>
      <c r="AS546" s="92"/>
      <c r="AT546" s="92"/>
      <c r="AU546" s="92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</row>
    <row r="547" spans="1:64" ht="15.75" customHeight="1" x14ac:dyDescent="0.2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0"/>
      <c r="U547" s="90"/>
      <c r="V547" s="90"/>
      <c r="W547" s="90"/>
      <c r="X547" s="90"/>
      <c r="Y547" s="90"/>
      <c r="Z547" s="90"/>
      <c r="AA547" s="90"/>
      <c r="AB547" s="91"/>
      <c r="AC547" s="91"/>
      <c r="AD547" s="91"/>
      <c r="AE547" s="91"/>
      <c r="AF547" s="92"/>
      <c r="AG547" s="92"/>
      <c r="AH547" s="92"/>
      <c r="AI547" s="92"/>
      <c r="AJ547" s="92"/>
      <c r="AK547" s="92"/>
      <c r="AL547" s="92"/>
      <c r="AM547" s="92"/>
      <c r="AN547" s="92"/>
      <c r="AO547" s="92"/>
      <c r="AP547" s="92"/>
      <c r="AQ547" s="92"/>
      <c r="AR547" s="92"/>
      <c r="AS547" s="92"/>
      <c r="AT547" s="92"/>
      <c r="AU547" s="92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</row>
    <row r="548" spans="1:64" ht="15.75" customHeight="1" x14ac:dyDescent="0.2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0"/>
      <c r="U548" s="90"/>
      <c r="V548" s="90"/>
      <c r="W548" s="90"/>
      <c r="X548" s="90"/>
      <c r="Y548" s="90"/>
      <c r="Z548" s="90"/>
      <c r="AA548" s="90"/>
      <c r="AB548" s="91"/>
      <c r="AC548" s="91"/>
      <c r="AD548" s="91"/>
      <c r="AE548" s="91"/>
      <c r="AF548" s="92"/>
      <c r="AG548" s="92"/>
      <c r="AH548" s="92"/>
      <c r="AI548" s="92"/>
      <c r="AJ548" s="92"/>
      <c r="AK548" s="92"/>
      <c r="AL548" s="92"/>
      <c r="AM548" s="92"/>
      <c r="AN548" s="92"/>
      <c r="AO548" s="92"/>
      <c r="AP548" s="92"/>
      <c r="AQ548" s="92"/>
      <c r="AR548" s="92"/>
      <c r="AS548" s="92"/>
      <c r="AT548" s="92"/>
      <c r="AU548" s="92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</row>
    <row r="549" spans="1:64" ht="15.75" customHeight="1" x14ac:dyDescent="0.2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0"/>
      <c r="U549" s="90"/>
      <c r="V549" s="90"/>
      <c r="W549" s="90"/>
      <c r="X549" s="90"/>
      <c r="Y549" s="90"/>
      <c r="Z549" s="90"/>
      <c r="AA549" s="90"/>
      <c r="AB549" s="91"/>
      <c r="AC549" s="91"/>
      <c r="AD549" s="91"/>
      <c r="AE549" s="91"/>
      <c r="AF549" s="92"/>
      <c r="AG549" s="92"/>
      <c r="AH549" s="92"/>
      <c r="AI549" s="92"/>
      <c r="AJ549" s="92"/>
      <c r="AK549" s="92"/>
      <c r="AL549" s="92"/>
      <c r="AM549" s="92"/>
      <c r="AN549" s="92"/>
      <c r="AO549" s="92"/>
      <c r="AP549" s="92"/>
      <c r="AQ549" s="92"/>
      <c r="AR549" s="92"/>
      <c r="AS549" s="92"/>
      <c r="AT549" s="92"/>
      <c r="AU549" s="92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</row>
    <row r="550" spans="1:64" ht="15.75" customHeight="1" x14ac:dyDescent="0.2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0"/>
      <c r="U550" s="90"/>
      <c r="V550" s="90"/>
      <c r="W550" s="90"/>
      <c r="X550" s="90"/>
      <c r="Y550" s="90"/>
      <c r="Z550" s="90"/>
      <c r="AA550" s="90"/>
      <c r="AB550" s="91"/>
      <c r="AC550" s="91"/>
      <c r="AD550" s="91"/>
      <c r="AE550" s="91"/>
      <c r="AF550" s="92"/>
      <c r="AG550" s="92"/>
      <c r="AH550" s="92"/>
      <c r="AI550" s="92"/>
      <c r="AJ550" s="92"/>
      <c r="AK550" s="92"/>
      <c r="AL550" s="92"/>
      <c r="AM550" s="92"/>
      <c r="AN550" s="92"/>
      <c r="AO550" s="92"/>
      <c r="AP550" s="92"/>
      <c r="AQ550" s="92"/>
      <c r="AR550" s="92"/>
      <c r="AS550" s="92"/>
      <c r="AT550" s="92"/>
      <c r="AU550" s="92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</row>
    <row r="551" spans="1:64" ht="15.75" customHeight="1" x14ac:dyDescent="0.2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0"/>
      <c r="U551" s="90"/>
      <c r="V551" s="90"/>
      <c r="W551" s="90"/>
      <c r="X551" s="90"/>
      <c r="Y551" s="90"/>
      <c r="Z551" s="90"/>
      <c r="AA551" s="90"/>
      <c r="AB551" s="91"/>
      <c r="AC551" s="91"/>
      <c r="AD551" s="91"/>
      <c r="AE551" s="91"/>
      <c r="AF551" s="92"/>
      <c r="AG551" s="92"/>
      <c r="AH551" s="92"/>
      <c r="AI551" s="92"/>
      <c r="AJ551" s="92"/>
      <c r="AK551" s="92"/>
      <c r="AL551" s="92"/>
      <c r="AM551" s="92"/>
      <c r="AN551" s="92"/>
      <c r="AO551" s="92"/>
      <c r="AP551" s="92"/>
      <c r="AQ551" s="92"/>
      <c r="AR551" s="92"/>
      <c r="AS551" s="92"/>
      <c r="AT551" s="92"/>
      <c r="AU551" s="92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</row>
    <row r="552" spans="1:64" ht="15.75" customHeight="1" x14ac:dyDescent="0.2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0"/>
      <c r="U552" s="90"/>
      <c r="V552" s="90"/>
      <c r="W552" s="90"/>
      <c r="X552" s="90"/>
      <c r="Y552" s="90"/>
      <c r="Z552" s="90"/>
      <c r="AA552" s="90"/>
      <c r="AB552" s="91"/>
      <c r="AC552" s="91"/>
      <c r="AD552" s="91"/>
      <c r="AE552" s="91"/>
      <c r="AF552" s="92"/>
      <c r="AG552" s="92"/>
      <c r="AH552" s="92"/>
      <c r="AI552" s="92"/>
      <c r="AJ552" s="92"/>
      <c r="AK552" s="92"/>
      <c r="AL552" s="92"/>
      <c r="AM552" s="92"/>
      <c r="AN552" s="92"/>
      <c r="AO552" s="92"/>
      <c r="AP552" s="92"/>
      <c r="AQ552" s="92"/>
      <c r="AR552" s="92"/>
      <c r="AS552" s="92"/>
      <c r="AT552" s="92"/>
      <c r="AU552" s="92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</row>
    <row r="553" spans="1:64" ht="15.75" customHeight="1" x14ac:dyDescent="0.2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0"/>
      <c r="U553" s="90"/>
      <c r="V553" s="90"/>
      <c r="W553" s="90"/>
      <c r="X553" s="90"/>
      <c r="Y553" s="90"/>
      <c r="Z553" s="90"/>
      <c r="AA553" s="90"/>
      <c r="AB553" s="91"/>
      <c r="AC553" s="91"/>
      <c r="AD553" s="91"/>
      <c r="AE553" s="91"/>
      <c r="AF553" s="92"/>
      <c r="AG553" s="92"/>
      <c r="AH553" s="92"/>
      <c r="AI553" s="92"/>
      <c r="AJ553" s="92"/>
      <c r="AK553" s="92"/>
      <c r="AL553" s="92"/>
      <c r="AM553" s="92"/>
      <c r="AN553" s="92"/>
      <c r="AO553" s="92"/>
      <c r="AP553" s="92"/>
      <c r="AQ553" s="92"/>
      <c r="AR553" s="92"/>
      <c r="AS553" s="92"/>
      <c r="AT553" s="92"/>
      <c r="AU553" s="92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</row>
    <row r="554" spans="1:64" ht="15.75" customHeight="1" x14ac:dyDescent="0.2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0"/>
      <c r="U554" s="90"/>
      <c r="V554" s="90"/>
      <c r="W554" s="90"/>
      <c r="X554" s="90"/>
      <c r="Y554" s="90"/>
      <c r="Z554" s="90"/>
      <c r="AA554" s="90"/>
      <c r="AB554" s="91"/>
      <c r="AC554" s="91"/>
      <c r="AD554" s="91"/>
      <c r="AE554" s="91"/>
      <c r="AF554" s="92"/>
      <c r="AG554" s="92"/>
      <c r="AH554" s="92"/>
      <c r="AI554" s="92"/>
      <c r="AJ554" s="92"/>
      <c r="AK554" s="92"/>
      <c r="AL554" s="92"/>
      <c r="AM554" s="92"/>
      <c r="AN554" s="92"/>
      <c r="AO554" s="92"/>
      <c r="AP554" s="92"/>
      <c r="AQ554" s="92"/>
      <c r="AR554" s="92"/>
      <c r="AS554" s="92"/>
      <c r="AT554" s="92"/>
      <c r="AU554" s="92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</row>
    <row r="555" spans="1:64" ht="15.75" customHeight="1" x14ac:dyDescent="0.2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0"/>
      <c r="U555" s="90"/>
      <c r="V555" s="90"/>
      <c r="W555" s="90"/>
      <c r="X555" s="90"/>
      <c r="Y555" s="90"/>
      <c r="Z555" s="90"/>
      <c r="AA555" s="90"/>
      <c r="AB555" s="91"/>
      <c r="AC555" s="91"/>
      <c r="AD555" s="91"/>
      <c r="AE555" s="91"/>
      <c r="AF555" s="92"/>
      <c r="AG555" s="92"/>
      <c r="AH555" s="92"/>
      <c r="AI555" s="92"/>
      <c r="AJ555" s="92"/>
      <c r="AK555" s="92"/>
      <c r="AL555" s="92"/>
      <c r="AM555" s="92"/>
      <c r="AN555" s="92"/>
      <c r="AO555" s="92"/>
      <c r="AP555" s="92"/>
      <c r="AQ555" s="92"/>
      <c r="AR555" s="92"/>
      <c r="AS555" s="92"/>
      <c r="AT555" s="92"/>
      <c r="AU555" s="92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</row>
    <row r="556" spans="1:64" ht="15.75" customHeight="1" x14ac:dyDescent="0.2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0"/>
      <c r="U556" s="90"/>
      <c r="V556" s="90"/>
      <c r="W556" s="90"/>
      <c r="X556" s="90"/>
      <c r="Y556" s="90"/>
      <c r="Z556" s="90"/>
      <c r="AA556" s="90"/>
      <c r="AB556" s="91"/>
      <c r="AC556" s="91"/>
      <c r="AD556" s="91"/>
      <c r="AE556" s="91"/>
      <c r="AF556" s="92"/>
      <c r="AG556" s="92"/>
      <c r="AH556" s="92"/>
      <c r="AI556" s="92"/>
      <c r="AJ556" s="92"/>
      <c r="AK556" s="92"/>
      <c r="AL556" s="92"/>
      <c r="AM556" s="92"/>
      <c r="AN556" s="92"/>
      <c r="AO556" s="92"/>
      <c r="AP556" s="92"/>
      <c r="AQ556" s="92"/>
      <c r="AR556" s="92"/>
      <c r="AS556" s="92"/>
      <c r="AT556" s="92"/>
      <c r="AU556" s="92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</row>
    <row r="557" spans="1:64" ht="15.75" customHeight="1" x14ac:dyDescent="0.2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0"/>
      <c r="U557" s="90"/>
      <c r="V557" s="90"/>
      <c r="W557" s="90"/>
      <c r="X557" s="90"/>
      <c r="Y557" s="90"/>
      <c r="Z557" s="90"/>
      <c r="AA557" s="90"/>
      <c r="AB557" s="91"/>
      <c r="AC557" s="91"/>
      <c r="AD557" s="91"/>
      <c r="AE557" s="91"/>
      <c r="AF557" s="92"/>
      <c r="AG557" s="92"/>
      <c r="AH557" s="92"/>
      <c r="AI557" s="92"/>
      <c r="AJ557" s="92"/>
      <c r="AK557" s="92"/>
      <c r="AL557" s="92"/>
      <c r="AM557" s="92"/>
      <c r="AN557" s="92"/>
      <c r="AO557" s="92"/>
      <c r="AP557" s="92"/>
      <c r="AQ557" s="92"/>
      <c r="AR557" s="92"/>
      <c r="AS557" s="92"/>
      <c r="AT557" s="92"/>
      <c r="AU557" s="92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</row>
    <row r="558" spans="1:64" ht="15.75" customHeight="1" x14ac:dyDescent="0.2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0"/>
      <c r="U558" s="90"/>
      <c r="V558" s="90"/>
      <c r="W558" s="90"/>
      <c r="X558" s="90"/>
      <c r="Y558" s="90"/>
      <c r="Z558" s="90"/>
      <c r="AA558" s="90"/>
      <c r="AB558" s="91"/>
      <c r="AC558" s="91"/>
      <c r="AD558" s="91"/>
      <c r="AE558" s="91"/>
      <c r="AF558" s="92"/>
      <c r="AG558" s="92"/>
      <c r="AH558" s="92"/>
      <c r="AI558" s="92"/>
      <c r="AJ558" s="92"/>
      <c r="AK558" s="92"/>
      <c r="AL558" s="92"/>
      <c r="AM558" s="92"/>
      <c r="AN558" s="92"/>
      <c r="AO558" s="92"/>
      <c r="AP558" s="92"/>
      <c r="AQ558" s="92"/>
      <c r="AR558" s="92"/>
      <c r="AS558" s="92"/>
      <c r="AT558" s="92"/>
      <c r="AU558" s="92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</row>
    <row r="559" spans="1:64" ht="15.75" customHeight="1" x14ac:dyDescent="0.2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0"/>
      <c r="U559" s="90"/>
      <c r="V559" s="90"/>
      <c r="W559" s="90"/>
      <c r="X559" s="90"/>
      <c r="Y559" s="90"/>
      <c r="Z559" s="90"/>
      <c r="AA559" s="90"/>
      <c r="AB559" s="91"/>
      <c r="AC559" s="91"/>
      <c r="AD559" s="91"/>
      <c r="AE559" s="91"/>
      <c r="AF559" s="92"/>
      <c r="AG559" s="92"/>
      <c r="AH559" s="92"/>
      <c r="AI559" s="92"/>
      <c r="AJ559" s="92"/>
      <c r="AK559" s="92"/>
      <c r="AL559" s="92"/>
      <c r="AM559" s="92"/>
      <c r="AN559" s="92"/>
      <c r="AO559" s="92"/>
      <c r="AP559" s="92"/>
      <c r="AQ559" s="92"/>
      <c r="AR559" s="92"/>
      <c r="AS559" s="92"/>
      <c r="AT559" s="92"/>
      <c r="AU559" s="92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</row>
    <row r="560" spans="1:64" ht="15.75" customHeight="1" x14ac:dyDescent="0.2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0"/>
      <c r="U560" s="90"/>
      <c r="V560" s="90"/>
      <c r="W560" s="90"/>
      <c r="X560" s="90"/>
      <c r="Y560" s="90"/>
      <c r="Z560" s="90"/>
      <c r="AA560" s="90"/>
      <c r="AB560" s="91"/>
      <c r="AC560" s="91"/>
      <c r="AD560" s="91"/>
      <c r="AE560" s="91"/>
      <c r="AF560" s="92"/>
      <c r="AG560" s="92"/>
      <c r="AH560" s="92"/>
      <c r="AI560" s="92"/>
      <c r="AJ560" s="92"/>
      <c r="AK560" s="92"/>
      <c r="AL560" s="92"/>
      <c r="AM560" s="92"/>
      <c r="AN560" s="92"/>
      <c r="AO560" s="92"/>
      <c r="AP560" s="92"/>
      <c r="AQ560" s="92"/>
      <c r="AR560" s="92"/>
      <c r="AS560" s="92"/>
      <c r="AT560" s="92"/>
      <c r="AU560" s="92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</row>
    <row r="561" spans="1:64" ht="15.75" customHeight="1" x14ac:dyDescent="0.2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0"/>
      <c r="U561" s="90"/>
      <c r="V561" s="90"/>
      <c r="W561" s="90"/>
      <c r="X561" s="90"/>
      <c r="Y561" s="90"/>
      <c r="Z561" s="90"/>
      <c r="AA561" s="90"/>
      <c r="AB561" s="91"/>
      <c r="AC561" s="91"/>
      <c r="AD561" s="91"/>
      <c r="AE561" s="91"/>
      <c r="AF561" s="92"/>
      <c r="AG561" s="92"/>
      <c r="AH561" s="92"/>
      <c r="AI561" s="92"/>
      <c r="AJ561" s="92"/>
      <c r="AK561" s="92"/>
      <c r="AL561" s="92"/>
      <c r="AM561" s="92"/>
      <c r="AN561" s="92"/>
      <c r="AO561" s="92"/>
      <c r="AP561" s="92"/>
      <c r="AQ561" s="92"/>
      <c r="AR561" s="92"/>
      <c r="AS561" s="92"/>
      <c r="AT561" s="92"/>
      <c r="AU561" s="92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</row>
    <row r="562" spans="1:64" ht="15.75" customHeight="1" x14ac:dyDescent="0.2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0"/>
      <c r="U562" s="90"/>
      <c r="V562" s="90"/>
      <c r="W562" s="90"/>
      <c r="X562" s="90"/>
      <c r="Y562" s="90"/>
      <c r="Z562" s="90"/>
      <c r="AA562" s="90"/>
      <c r="AB562" s="91"/>
      <c r="AC562" s="91"/>
      <c r="AD562" s="91"/>
      <c r="AE562" s="91"/>
      <c r="AF562" s="92"/>
      <c r="AG562" s="92"/>
      <c r="AH562" s="92"/>
      <c r="AI562" s="92"/>
      <c r="AJ562" s="92"/>
      <c r="AK562" s="92"/>
      <c r="AL562" s="92"/>
      <c r="AM562" s="92"/>
      <c r="AN562" s="92"/>
      <c r="AO562" s="92"/>
      <c r="AP562" s="92"/>
      <c r="AQ562" s="92"/>
      <c r="AR562" s="92"/>
      <c r="AS562" s="92"/>
      <c r="AT562" s="92"/>
      <c r="AU562" s="92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</row>
    <row r="563" spans="1:64" ht="15.75" customHeight="1" x14ac:dyDescent="0.2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0"/>
      <c r="U563" s="90"/>
      <c r="V563" s="90"/>
      <c r="W563" s="90"/>
      <c r="X563" s="90"/>
      <c r="Y563" s="90"/>
      <c r="Z563" s="90"/>
      <c r="AA563" s="90"/>
      <c r="AB563" s="91"/>
      <c r="AC563" s="91"/>
      <c r="AD563" s="91"/>
      <c r="AE563" s="91"/>
      <c r="AF563" s="92"/>
      <c r="AG563" s="92"/>
      <c r="AH563" s="92"/>
      <c r="AI563" s="92"/>
      <c r="AJ563" s="92"/>
      <c r="AK563" s="92"/>
      <c r="AL563" s="92"/>
      <c r="AM563" s="92"/>
      <c r="AN563" s="92"/>
      <c r="AO563" s="92"/>
      <c r="AP563" s="92"/>
      <c r="AQ563" s="92"/>
      <c r="AR563" s="92"/>
      <c r="AS563" s="92"/>
      <c r="AT563" s="92"/>
      <c r="AU563" s="92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</row>
    <row r="564" spans="1:64" ht="15.75" customHeight="1" x14ac:dyDescent="0.2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0"/>
      <c r="U564" s="90"/>
      <c r="V564" s="90"/>
      <c r="W564" s="90"/>
      <c r="X564" s="90"/>
      <c r="Y564" s="90"/>
      <c r="Z564" s="90"/>
      <c r="AA564" s="90"/>
      <c r="AB564" s="91"/>
      <c r="AC564" s="91"/>
      <c r="AD564" s="91"/>
      <c r="AE564" s="91"/>
      <c r="AF564" s="92"/>
      <c r="AG564" s="92"/>
      <c r="AH564" s="92"/>
      <c r="AI564" s="92"/>
      <c r="AJ564" s="92"/>
      <c r="AK564" s="92"/>
      <c r="AL564" s="92"/>
      <c r="AM564" s="92"/>
      <c r="AN564" s="92"/>
      <c r="AO564" s="92"/>
      <c r="AP564" s="92"/>
      <c r="AQ564" s="92"/>
      <c r="AR564" s="92"/>
      <c r="AS564" s="92"/>
      <c r="AT564" s="92"/>
      <c r="AU564" s="92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</row>
    <row r="565" spans="1:64" ht="15.75" customHeight="1" x14ac:dyDescent="0.2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0"/>
      <c r="U565" s="90"/>
      <c r="V565" s="90"/>
      <c r="W565" s="90"/>
      <c r="X565" s="90"/>
      <c r="Y565" s="90"/>
      <c r="Z565" s="90"/>
      <c r="AA565" s="90"/>
      <c r="AB565" s="91"/>
      <c r="AC565" s="91"/>
      <c r="AD565" s="91"/>
      <c r="AE565" s="91"/>
      <c r="AF565" s="92"/>
      <c r="AG565" s="92"/>
      <c r="AH565" s="92"/>
      <c r="AI565" s="92"/>
      <c r="AJ565" s="92"/>
      <c r="AK565" s="92"/>
      <c r="AL565" s="92"/>
      <c r="AM565" s="92"/>
      <c r="AN565" s="92"/>
      <c r="AO565" s="92"/>
      <c r="AP565" s="92"/>
      <c r="AQ565" s="92"/>
      <c r="AR565" s="92"/>
      <c r="AS565" s="92"/>
      <c r="AT565" s="92"/>
      <c r="AU565" s="92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</row>
    <row r="566" spans="1:64" ht="15.75" customHeight="1" x14ac:dyDescent="0.2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0"/>
      <c r="U566" s="90"/>
      <c r="V566" s="90"/>
      <c r="W566" s="90"/>
      <c r="X566" s="90"/>
      <c r="Y566" s="90"/>
      <c r="Z566" s="90"/>
      <c r="AA566" s="90"/>
      <c r="AB566" s="91"/>
      <c r="AC566" s="91"/>
      <c r="AD566" s="91"/>
      <c r="AE566" s="91"/>
      <c r="AF566" s="92"/>
      <c r="AG566" s="92"/>
      <c r="AH566" s="92"/>
      <c r="AI566" s="92"/>
      <c r="AJ566" s="92"/>
      <c r="AK566" s="92"/>
      <c r="AL566" s="92"/>
      <c r="AM566" s="92"/>
      <c r="AN566" s="92"/>
      <c r="AO566" s="92"/>
      <c r="AP566" s="92"/>
      <c r="AQ566" s="92"/>
      <c r="AR566" s="92"/>
      <c r="AS566" s="92"/>
      <c r="AT566" s="92"/>
      <c r="AU566" s="92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</row>
    <row r="567" spans="1:64" ht="15.75" customHeight="1" x14ac:dyDescent="0.2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0"/>
      <c r="U567" s="90"/>
      <c r="V567" s="90"/>
      <c r="W567" s="90"/>
      <c r="X567" s="90"/>
      <c r="Y567" s="90"/>
      <c r="Z567" s="90"/>
      <c r="AA567" s="90"/>
      <c r="AB567" s="91"/>
      <c r="AC567" s="91"/>
      <c r="AD567" s="91"/>
      <c r="AE567" s="91"/>
      <c r="AF567" s="92"/>
      <c r="AG567" s="92"/>
      <c r="AH567" s="92"/>
      <c r="AI567" s="92"/>
      <c r="AJ567" s="92"/>
      <c r="AK567" s="92"/>
      <c r="AL567" s="92"/>
      <c r="AM567" s="92"/>
      <c r="AN567" s="92"/>
      <c r="AO567" s="92"/>
      <c r="AP567" s="92"/>
      <c r="AQ567" s="92"/>
      <c r="AR567" s="92"/>
      <c r="AS567" s="92"/>
      <c r="AT567" s="92"/>
      <c r="AU567" s="92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</row>
    <row r="568" spans="1:64" ht="15.75" customHeight="1" x14ac:dyDescent="0.2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0"/>
      <c r="U568" s="90"/>
      <c r="V568" s="90"/>
      <c r="W568" s="90"/>
      <c r="X568" s="90"/>
      <c r="Y568" s="90"/>
      <c r="Z568" s="90"/>
      <c r="AA568" s="90"/>
      <c r="AB568" s="91"/>
      <c r="AC568" s="91"/>
      <c r="AD568" s="91"/>
      <c r="AE568" s="91"/>
      <c r="AF568" s="92"/>
      <c r="AG568" s="92"/>
      <c r="AH568" s="92"/>
      <c r="AI568" s="92"/>
      <c r="AJ568" s="92"/>
      <c r="AK568" s="92"/>
      <c r="AL568" s="92"/>
      <c r="AM568" s="92"/>
      <c r="AN568" s="92"/>
      <c r="AO568" s="92"/>
      <c r="AP568" s="92"/>
      <c r="AQ568" s="92"/>
      <c r="AR568" s="92"/>
      <c r="AS568" s="92"/>
      <c r="AT568" s="92"/>
      <c r="AU568" s="92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</row>
    <row r="569" spans="1:64" ht="15.75" customHeight="1" x14ac:dyDescent="0.2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0"/>
      <c r="U569" s="90"/>
      <c r="V569" s="90"/>
      <c r="W569" s="90"/>
      <c r="X569" s="90"/>
      <c r="Y569" s="90"/>
      <c r="Z569" s="90"/>
      <c r="AA569" s="90"/>
      <c r="AB569" s="91"/>
      <c r="AC569" s="91"/>
      <c r="AD569" s="91"/>
      <c r="AE569" s="91"/>
      <c r="AF569" s="92"/>
      <c r="AG569" s="92"/>
      <c r="AH569" s="92"/>
      <c r="AI569" s="92"/>
      <c r="AJ569" s="92"/>
      <c r="AK569" s="92"/>
      <c r="AL569" s="92"/>
      <c r="AM569" s="92"/>
      <c r="AN569" s="92"/>
      <c r="AO569" s="92"/>
      <c r="AP569" s="92"/>
      <c r="AQ569" s="92"/>
      <c r="AR569" s="92"/>
      <c r="AS569" s="92"/>
      <c r="AT569" s="92"/>
      <c r="AU569" s="92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</row>
    <row r="570" spans="1:64" ht="15.75" customHeight="1" x14ac:dyDescent="0.2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0"/>
      <c r="U570" s="90"/>
      <c r="V570" s="90"/>
      <c r="W570" s="90"/>
      <c r="X570" s="90"/>
      <c r="Y570" s="90"/>
      <c r="Z570" s="90"/>
      <c r="AA570" s="90"/>
      <c r="AB570" s="91"/>
      <c r="AC570" s="91"/>
      <c r="AD570" s="91"/>
      <c r="AE570" s="91"/>
      <c r="AF570" s="92"/>
      <c r="AG570" s="92"/>
      <c r="AH570" s="92"/>
      <c r="AI570" s="92"/>
      <c r="AJ570" s="92"/>
      <c r="AK570" s="92"/>
      <c r="AL570" s="92"/>
      <c r="AM570" s="92"/>
      <c r="AN570" s="92"/>
      <c r="AO570" s="92"/>
      <c r="AP570" s="92"/>
      <c r="AQ570" s="92"/>
      <c r="AR570" s="92"/>
      <c r="AS570" s="92"/>
      <c r="AT570" s="92"/>
      <c r="AU570" s="92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</row>
    <row r="571" spans="1:64" ht="15.75" customHeight="1" x14ac:dyDescent="0.2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0"/>
      <c r="U571" s="90"/>
      <c r="V571" s="90"/>
      <c r="W571" s="90"/>
      <c r="X571" s="90"/>
      <c r="Y571" s="90"/>
      <c r="Z571" s="90"/>
      <c r="AA571" s="90"/>
      <c r="AB571" s="91"/>
      <c r="AC571" s="91"/>
      <c r="AD571" s="91"/>
      <c r="AE571" s="91"/>
      <c r="AF571" s="92"/>
      <c r="AG571" s="92"/>
      <c r="AH571" s="92"/>
      <c r="AI571" s="92"/>
      <c r="AJ571" s="92"/>
      <c r="AK571" s="92"/>
      <c r="AL571" s="92"/>
      <c r="AM571" s="92"/>
      <c r="AN571" s="92"/>
      <c r="AO571" s="92"/>
      <c r="AP571" s="92"/>
      <c r="AQ571" s="92"/>
      <c r="AR571" s="92"/>
      <c r="AS571" s="92"/>
      <c r="AT571" s="92"/>
      <c r="AU571" s="92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</row>
    <row r="572" spans="1:64" ht="15.75" customHeight="1" x14ac:dyDescent="0.2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0"/>
      <c r="U572" s="90"/>
      <c r="V572" s="90"/>
      <c r="W572" s="90"/>
      <c r="X572" s="90"/>
      <c r="Y572" s="90"/>
      <c r="Z572" s="90"/>
      <c r="AA572" s="90"/>
      <c r="AB572" s="91"/>
      <c r="AC572" s="91"/>
      <c r="AD572" s="91"/>
      <c r="AE572" s="91"/>
      <c r="AF572" s="92"/>
      <c r="AG572" s="92"/>
      <c r="AH572" s="92"/>
      <c r="AI572" s="92"/>
      <c r="AJ572" s="92"/>
      <c r="AK572" s="92"/>
      <c r="AL572" s="92"/>
      <c r="AM572" s="92"/>
      <c r="AN572" s="92"/>
      <c r="AO572" s="92"/>
      <c r="AP572" s="92"/>
      <c r="AQ572" s="92"/>
      <c r="AR572" s="92"/>
      <c r="AS572" s="92"/>
      <c r="AT572" s="92"/>
      <c r="AU572" s="92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</row>
    <row r="573" spans="1:64" ht="15.75" customHeight="1" x14ac:dyDescent="0.2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0"/>
      <c r="U573" s="90"/>
      <c r="V573" s="90"/>
      <c r="W573" s="90"/>
      <c r="X573" s="90"/>
      <c r="Y573" s="90"/>
      <c r="Z573" s="90"/>
      <c r="AA573" s="90"/>
      <c r="AB573" s="91"/>
      <c r="AC573" s="91"/>
      <c r="AD573" s="91"/>
      <c r="AE573" s="91"/>
      <c r="AF573" s="92"/>
      <c r="AG573" s="92"/>
      <c r="AH573" s="92"/>
      <c r="AI573" s="92"/>
      <c r="AJ573" s="92"/>
      <c r="AK573" s="92"/>
      <c r="AL573" s="92"/>
      <c r="AM573" s="92"/>
      <c r="AN573" s="92"/>
      <c r="AO573" s="92"/>
      <c r="AP573" s="92"/>
      <c r="AQ573" s="92"/>
      <c r="AR573" s="92"/>
      <c r="AS573" s="92"/>
      <c r="AT573" s="92"/>
      <c r="AU573" s="92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</row>
    <row r="574" spans="1:64" ht="15.75" customHeight="1" x14ac:dyDescent="0.2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0"/>
      <c r="U574" s="90"/>
      <c r="V574" s="90"/>
      <c r="W574" s="90"/>
      <c r="X574" s="90"/>
      <c r="Y574" s="90"/>
      <c r="Z574" s="90"/>
      <c r="AA574" s="90"/>
      <c r="AB574" s="91"/>
      <c r="AC574" s="91"/>
      <c r="AD574" s="91"/>
      <c r="AE574" s="91"/>
      <c r="AF574" s="92"/>
      <c r="AG574" s="92"/>
      <c r="AH574" s="92"/>
      <c r="AI574" s="92"/>
      <c r="AJ574" s="92"/>
      <c r="AK574" s="92"/>
      <c r="AL574" s="92"/>
      <c r="AM574" s="92"/>
      <c r="AN574" s="92"/>
      <c r="AO574" s="92"/>
      <c r="AP574" s="92"/>
      <c r="AQ574" s="92"/>
      <c r="AR574" s="92"/>
      <c r="AS574" s="92"/>
      <c r="AT574" s="92"/>
      <c r="AU574" s="92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</row>
    <row r="575" spans="1:64" ht="15.75" customHeight="1" x14ac:dyDescent="0.2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0"/>
      <c r="U575" s="90"/>
      <c r="V575" s="90"/>
      <c r="W575" s="90"/>
      <c r="X575" s="90"/>
      <c r="Y575" s="90"/>
      <c r="Z575" s="90"/>
      <c r="AA575" s="90"/>
      <c r="AB575" s="91"/>
      <c r="AC575" s="91"/>
      <c r="AD575" s="91"/>
      <c r="AE575" s="91"/>
      <c r="AF575" s="92"/>
      <c r="AG575" s="92"/>
      <c r="AH575" s="92"/>
      <c r="AI575" s="92"/>
      <c r="AJ575" s="92"/>
      <c r="AK575" s="92"/>
      <c r="AL575" s="92"/>
      <c r="AM575" s="92"/>
      <c r="AN575" s="92"/>
      <c r="AO575" s="92"/>
      <c r="AP575" s="92"/>
      <c r="AQ575" s="92"/>
      <c r="AR575" s="92"/>
      <c r="AS575" s="92"/>
      <c r="AT575" s="92"/>
      <c r="AU575" s="92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</row>
    <row r="576" spans="1:64" ht="15.75" customHeight="1" x14ac:dyDescent="0.2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0"/>
      <c r="U576" s="90"/>
      <c r="V576" s="90"/>
      <c r="W576" s="90"/>
      <c r="X576" s="90"/>
      <c r="Y576" s="90"/>
      <c r="Z576" s="90"/>
      <c r="AA576" s="90"/>
      <c r="AB576" s="91"/>
      <c r="AC576" s="91"/>
      <c r="AD576" s="91"/>
      <c r="AE576" s="91"/>
      <c r="AF576" s="92"/>
      <c r="AG576" s="92"/>
      <c r="AH576" s="92"/>
      <c r="AI576" s="92"/>
      <c r="AJ576" s="92"/>
      <c r="AK576" s="92"/>
      <c r="AL576" s="92"/>
      <c r="AM576" s="92"/>
      <c r="AN576" s="92"/>
      <c r="AO576" s="92"/>
      <c r="AP576" s="92"/>
      <c r="AQ576" s="92"/>
      <c r="AR576" s="92"/>
      <c r="AS576" s="92"/>
      <c r="AT576" s="92"/>
      <c r="AU576" s="92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</row>
    <row r="577" spans="1:64" ht="15.75" customHeight="1" x14ac:dyDescent="0.2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0"/>
      <c r="U577" s="90"/>
      <c r="V577" s="90"/>
      <c r="W577" s="90"/>
      <c r="X577" s="90"/>
      <c r="Y577" s="90"/>
      <c r="Z577" s="90"/>
      <c r="AA577" s="90"/>
      <c r="AB577" s="91"/>
      <c r="AC577" s="91"/>
      <c r="AD577" s="91"/>
      <c r="AE577" s="91"/>
      <c r="AF577" s="92"/>
      <c r="AG577" s="92"/>
      <c r="AH577" s="92"/>
      <c r="AI577" s="92"/>
      <c r="AJ577" s="92"/>
      <c r="AK577" s="92"/>
      <c r="AL577" s="92"/>
      <c r="AM577" s="92"/>
      <c r="AN577" s="92"/>
      <c r="AO577" s="92"/>
      <c r="AP577" s="92"/>
      <c r="AQ577" s="92"/>
      <c r="AR577" s="92"/>
      <c r="AS577" s="92"/>
      <c r="AT577" s="92"/>
      <c r="AU577" s="92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</row>
    <row r="578" spans="1:64" ht="15.75" customHeight="1" x14ac:dyDescent="0.2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0"/>
      <c r="U578" s="90"/>
      <c r="V578" s="90"/>
      <c r="W578" s="90"/>
      <c r="X578" s="90"/>
      <c r="Y578" s="90"/>
      <c r="Z578" s="90"/>
      <c r="AA578" s="90"/>
      <c r="AB578" s="91"/>
      <c r="AC578" s="91"/>
      <c r="AD578" s="91"/>
      <c r="AE578" s="91"/>
      <c r="AF578" s="92"/>
      <c r="AG578" s="92"/>
      <c r="AH578" s="92"/>
      <c r="AI578" s="92"/>
      <c r="AJ578" s="92"/>
      <c r="AK578" s="92"/>
      <c r="AL578" s="92"/>
      <c r="AM578" s="92"/>
      <c r="AN578" s="92"/>
      <c r="AO578" s="92"/>
      <c r="AP578" s="92"/>
      <c r="AQ578" s="92"/>
      <c r="AR578" s="92"/>
      <c r="AS578" s="92"/>
      <c r="AT578" s="92"/>
      <c r="AU578" s="92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</row>
    <row r="579" spans="1:64" ht="15.75" customHeight="1" x14ac:dyDescent="0.2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0"/>
      <c r="U579" s="90"/>
      <c r="V579" s="90"/>
      <c r="W579" s="90"/>
      <c r="X579" s="90"/>
      <c r="Y579" s="90"/>
      <c r="Z579" s="90"/>
      <c r="AA579" s="90"/>
      <c r="AB579" s="91"/>
      <c r="AC579" s="91"/>
      <c r="AD579" s="91"/>
      <c r="AE579" s="91"/>
      <c r="AF579" s="92"/>
      <c r="AG579" s="92"/>
      <c r="AH579" s="92"/>
      <c r="AI579" s="92"/>
      <c r="AJ579" s="92"/>
      <c r="AK579" s="92"/>
      <c r="AL579" s="92"/>
      <c r="AM579" s="92"/>
      <c r="AN579" s="92"/>
      <c r="AO579" s="92"/>
      <c r="AP579" s="92"/>
      <c r="AQ579" s="92"/>
      <c r="AR579" s="92"/>
      <c r="AS579" s="92"/>
      <c r="AT579" s="92"/>
      <c r="AU579" s="92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</row>
    <row r="580" spans="1:64" ht="15.75" customHeight="1" x14ac:dyDescent="0.2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0"/>
      <c r="U580" s="90"/>
      <c r="V580" s="90"/>
      <c r="W580" s="90"/>
      <c r="X580" s="90"/>
      <c r="Y580" s="90"/>
      <c r="Z580" s="90"/>
      <c r="AA580" s="90"/>
      <c r="AB580" s="91"/>
      <c r="AC580" s="91"/>
      <c r="AD580" s="91"/>
      <c r="AE580" s="91"/>
      <c r="AF580" s="92"/>
      <c r="AG580" s="92"/>
      <c r="AH580" s="92"/>
      <c r="AI580" s="92"/>
      <c r="AJ580" s="92"/>
      <c r="AK580" s="92"/>
      <c r="AL580" s="92"/>
      <c r="AM580" s="92"/>
      <c r="AN580" s="92"/>
      <c r="AO580" s="92"/>
      <c r="AP580" s="92"/>
      <c r="AQ580" s="92"/>
      <c r="AR580" s="92"/>
      <c r="AS580" s="92"/>
      <c r="AT580" s="92"/>
      <c r="AU580" s="92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</row>
    <row r="581" spans="1:64" ht="15.75" customHeight="1" x14ac:dyDescent="0.2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0"/>
      <c r="U581" s="90"/>
      <c r="V581" s="90"/>
      <c r="W581" s="90"/>
      <c r="X581" s="90"/>
      <c r="Y581" s="90"/>
      <c r="Z581" s="90"/>
      <c r="AA581" s="90"/>
      <c r="AB581" s="91"/>
      <c r="AC581" s="91"/>
      <c r="AD581" s="91"/>
      <c r="AE581" s="91"/>
      <c r="AF581" s="92"/>
      <c r="AG581" s="92"/>
      <c r="AH581" s="92"/>
      <c r="AI581" s="92"/>
      <c r="AJ581" s="92"/>
      <c r="AK581" s="92"/>
      <c r="AL581" s="92"/>
      <c r="AM581" s="92"/>
      <c r="AN581" s="92"/>
      <c r="AO581" s="92"/>
      <c r="AP581" s="92"/>
      <c r="AQ581" s="92"/>
      <c r="AR581" s="92"/>
      <c r="AS581" s="92"/>
      <c r="AT581" s="92"/>
      <c r="AU581" s="92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</row>
    <row r="582" spans="1:64" ht="15.75" customHeight="1" x14ac:dyDescent="0.2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0"/>
      <c r="U582" s="90"/>
      <c r="V582" s="90"/>
      <c r="W582" s="90"/>
      <c r="X582" s="90"/>
      <c r="Y582" s="90"/>
      <c r="Z582" s="90"/>
      <c r="AA582" s="90"/>
      <c r="AB582" s="91"/>
      <c r="AC582" s="91"/>
      <c r="AD582" s="91"/>
      <c r="AE582" s="91"/>
      <c r="AF582" s="92"/>
      <c r="AG582" s="92"/>
      <c r="AH582" s="92"/>
      <c r="AI582" s="92"/>
      <c r="AJ582" s="92"/>
      <c r="AK582" s="92"/>
      <c r="AL582" s="92"/>
      <c r="AM582" s="92"/>
      <c r="AN582" s="92"/>
      <c r="AO582" s="92"/>
      <c r="AP582" s="92"/>
      <c r="AQ582" s="92"/>
      <c r="AR582" s="92"/>
      <c r="AS582" s="92"/>
      <c r="AT582" s="92"/>
      <c r="AU582" s="92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</row>
    <row r="583" spans="1:64" ht="15.75" customHeight="1" x14ac:dyDescent="0.2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0"/>
      <c r="U583" s="90"/>
      <c r="V583" s="90"/>
      <c r="W583" s="90"/>
      <c r="X583" s="90"/>
      <c r="Y583" s="90"/>
      <c r="Z583" s="90"/>
      <c r="AA583" s="90"/>
      <c r="AB583" s="91"/>
      <c r="AC583" s="91"/>
      <c r="AD583" s="91"/>
      <c r="AE583" s="91"/>
      <c r="AF583" s="92"/>
      <c r="AG583" s="92"/>
      <c r="AH583" s="92"/>
      <c r="AI583" s="92"/>
      <c r="AJ583" s="92"/>
      <c r="AK583" s="92"/>
      <c r="AL583" s="92"/>
      <c r="AM583" s="92"/>
      <c r="AN583" s="92"/>
      <c r="AO583" s="92"/>
      <c r="AP583" s="92"/>
      <c r="AQ583" s="92"/>
      <c r="AR583" s="92"/>
      <c r="AS583" s="92"/>
      <c r="AT583" s="92"/>
      <c r="AU583" s="92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</row>
    <row r="584" spans="1:64" ht="15.75" customHeight="1" x14ac:dyDescent="0.2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0"/>
      <c r="U584" s="90"/>
      <c r="V584" s="90"/>
      <c r="W584" s="90"/>
      <c r="X584" s="90"/>
      <c r="Y584" s="90"/>
      <c r="Z584" s="90"/>
      <c r="AA584" s="90"/>
      <c r="AB584" s="91"/>
      <c r="AC584" s="91"/>
      <c r="AD584" s="91"/>
      <c r="AE584" s="91"/>
      <c r="AF584" s="92"/>
      <c r="AG584" s="92"/>
      <c r="AH584" s="92"/>
      <c r="AI584" s="92"/>
      <c r="AJ584" s="92"/>
      <c r="AK584" s="92"/>
      <c r="AL584" s="92"/>
      <c r="AM584" s="92"/>
      <c r="AN584" s="92"/>
      <c r="AO584" s="92"/>
      <c r="AP584" s="92"/>
      <c r="AQ584" s="92"/>
      <c r="AR584" s="92"/>
      <c r="AS584" s="92"/>
      <c r="AT584" s="92"/>
      <c r="AU584" s="92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</row>
    <row r="585" spans="1:64" ht="15.75" customHeight="1" x14ac:dyDescent="0.2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0"/>
      <c r="U585" s="90"/>
      <c r="V585" s="90"/>
      <c r="W585" s="90"/>
      <c r="X585" s="90"/>
      <c r="Y585" s="90"/>
      <c r="Z585" s="90"/>
      <c r="AA585" s="90"/>
      <c r="AB585" s="91"/>
      <c r="AC585" s="91"/>
      <c r="AD585" s="91"/>
      <c r="AE585" s="91"/>
      <c r="AF585" s="92"/>
      <c r="AG585" s="92"/>
      <c r="AH585" s="92"/>
      <c r="AI585" s="92"/>
      <c r="AJ585" s="92"/>
      <c r="AK585" s="92"/>
      <c r="AL585" s="92"/>
      <c r="AM585" s="92"/>
      <c r="AN585" s="92"/>
      <c r="AO585" s="92"/>
      <c r="AP585" s="92"/>
      <c r="AQ585" s="92"/>
      <c r="AR585" s="92"/>
      <c r="AS585" s="92"/>
      <c r="AT585" s="92"/>
      <c r="AU585" s="92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</row>
    <row r="586" spans="1:64" ht="15.75" customHeight="1" x14ac:dyDescent="0.2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0"/>
      <c r="U586" s="90"/>
      <c r="V586" s="90"/>
      <c r="W586" s="90"/>
      <c r="X586" s="90"/>
      <c r="Y586" s="90"/>
      <c r="Z586" s="90"/>
      <c r="AA586" s="90"/>
      <c r="AB586" s="91"/>
      <c r="AC586" s="91"/>
      <c r="AD586" s="91"/>
      <c r="AE586" s="91"/>
      <c r="AF586" s="92"/>
      <c r="AG586" s="92"/>
      <c r="AH586" s="92"/>
      <c r="AI586" s="92"/>
      <c r="AJ586" s="92"/>
      <c r="AK586" s="92"/>
      <c r="AL586" s="92"/>
      <c r="AM586" s="92"/>
      <c r="AN586" s="92"/>
      <c r="AO586" s="92"/>
      <c r="AP586" s="92"/>
      <c r="AQ586" s="92"/>
      <c r="AR586" s="92"/>
      <c r="AS586" s="92"/>
      <c r="AT586" s="92"/>
      <c r="AU586" s="92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</row>
    <row r="587" spans="1:64" ht="15.75" customHeight="1" x14ac:dyDescent="0.2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0"/>
      <c r="U587" s="90"/>
      <c r="V587" s="90"/>
      <c r="W587" s="90"/>
      <c r="X587" s="90"/>
      <c r="Y587" s="90"/>
      <c r="Z587" s="90"/>
      <c r="AA587" s="90"/>
      <c r="AB587" s="91"/>
      <c r="AC587" s="91"/>
      <c r="AD587" s="91"/>
      <c r="AE587" s="91"/>
      <c r="AF587" s="92"/>
      <c r="AG587" s="92"/>
      <c r="AH587" s="92"/>
      <c r="AI587" s="92"/>
      <c r="AJ587" s="92"/>
      <c r="AK587" s="92"/>
      <c r="AL587" s="92"/>
      <c r="AM587" s="92"/>
      <c r="AN587" s="92"/>
      <c r="AO587" s="92"/>
      <c r="AP587" s="92"/>
      <c r="AQ587" s="92"/>
      <c r="AR587" s="92"/>
      <c r="AS587" s="92"/>
      <c r="AT587" s="92"/>
      <c r="AU587" s="92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</row>
    <row r="588" spans="1:64" ht="15.75" customHeight="1" x14ac:dyDescent="0.2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0"/>
      <c r="U588" s="90"/>
      <c r="V588" s="90"/>
      <c r="W588" s="90"/>
      <c r="X588" s="90"/>
      <c r="Y588" s="90"/>
      <c r="Z588" s="90"/>
      <c r="AA588" s="90"/>
      <c r="AB588" s="91"/>
      <c r="AC588" s="91"/>
      <c r="AD588" s="91"/>
      <c r="AE588" s="91"/>
      <c r="AF588" s="92"/>
      <c r="AG588" s="92"/>
      <c r="AH588" s="92"/>
      <c r="AI588" s="92"/>
      <c r="AJ588" s="92"/>
      <c r="AK588" s="92"/>
      <c r="AL588" s="92"/>
      <c r="AM588" s="92"/>
      <c r="AN588" s="92"/>
      <c r="AO588" s="92"/>
      <c r="AP588" s="92"/>
      <c r="AQ588" s="92"/>
      <c r="AR588" s="92"/>
      <c r="AS588" s="92"/>
      <c r="AT588" s="92"/>
      <c r="AU588" s="92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</row>
    <row r="589" spans="1:64" ht="15.75" customHeight="1" x14ac:dyDescent="0.2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0"/>
      <c r="U589" s="90"/>
      <c r="V589" s="90"/>
      <c r="W589" s="90"/>
      <c r="X589" s="90"/>
      <c r="Y589" s="90"/>
      <c r="Z589" s="90"/>
      <c r="AA589" s="90"/>
      <c r="AB589" s="91"/>
      <c r="AC589" s="91"/>
      <c r="AD589" s="91"/>
      <c r="AE589" s="91"/>
      <c r="AF589" s="92"/>
      <c r="AG589" s="92"/>
      <c r="AH589" s="92"/>
      <c r="AI589" s="92"/>
      <c r="AJ589" s="92"/>
      <c r="AK589" s="92"/>
      <c r="AL589" s="92"/>
      <c r="AM589" s="92"/>
      <c r="AN589" s="92"/>
      <c r="AO589" s="92"/>
      <c r="AP589" s="92"/>
      <c r="AQ589" s="92"/>
      <c r="AR589" s="92"/>
      <c r="AS589" s="92"/>
      <c r="AT589" s="92"/>
      <c r="AU589" s="92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</row>
    <row r="590" spans="1:64" ht="15.75" customHeight="1" x14ac:dyDescent="0.2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0"/>
      <c r="U590" s="90"/>
      <c r="V590" s="90"/>
      <c r="W590" s="90"/>
      <c r="X590" s="90"/>
      <c r="Y590" s="90"/>
      <c r="Z590" s="90"/>
      <c r="AA590" s="90"/>
      <c r="AB590" s="91"/>
      <c r="AC590" s="91"/>
      <c r="AD590" s="91"/>
      <c r="AE590" s="91"/>
      <c r="AF590" s="92"/>
      <c r="AG590" s="92"/>
      <c r="AH590" s="92"/>
      <c r="AI590" s="92"/>
      <c r="AJ590" s="92"/>
      <c r="AK590" s="92"/>
      <c r="AL590" s="92"/>
      <c r="AM590" s="92"/>
      <c r="AN590" s="92"/>
      <c r="AO590" s="92"/>
      <c r="AP590" s="92"/>
      <c r="AQ590" s="92"/>
      <c r="AR590" s="92"/>
      <c r="AS590" s="92"/>
      <c r="AT590" s="92"/>
      <c r="AU590" s="92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</row>
    <row r="591" spans="1:64" ht="15.75" customHeight="1" x14ac:dyDescent="0.2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0"/>
      <c r="U591" s="90"/>
      <c r="V591" s="90"/>
      <c r="W591" s="90"/>
      <c r="X591" s="90"/>
      <c r="Y591" s="90"/>
      <c r="Z591" s="90"/>
      <c r="AA591" s="90"/>
      <c r="AB591" s="91"/>
      <c r="AC591" s="91"/>
      <c r="AD591" s="91"/>
      <c r="AE591" s="91"/>
      <c r="AF591" s="92"/>
      <c r="AG591" s="92"/>
      <c r="AH591" s="92"/>
      <c r="AI591" s="92"/>
      <c r="AJ591" s="92"/>
      <c r="AK591" s="92"/>
      <c r="AL591" s="92"/>
      <c r="AM591" s="92"/>
      <c r="AN591" s="92"/>
      <c r="AO591" s="92"/>
      <c r="AP591" s="92"/>
      <c r="AQ591" s="92"/>
      <c r="AR591" s="92"/>
      <c r="AS591" s="92"/>
      <c r="AT591" s="92"/>
      <c r="AU591" s="92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</row>
    <row r="592" spans="1:64" ht="15.75" customHeight="1" x14ac:dyDescent="0.2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0"/>
      <c r="U592" s="90"/>
      <c r="V592" s="90"/>
      <c r="W592" s="90"/>
      <c r="X592" s="90"/>
      <c r="Y592" s="90"/>
      <c r="Z592" s="90"/>
      <c r="AA592" s="90"/>
      <c r="AB592" s="91"/>
      <c r="AC592" s="91"/>
      <c r="AD592" s="91"/>
      <c r="AE592" s="91"/>
      <c r="AF592" s="92"/>
      <c r="AG592" s="92"/>
      <c r="AH592" s="92"/>
      <c r="AI592" s="92"/>
      <c r="AJ592" s="92"/>
      <c r="AK592" s="92"/>
      <c r="AL592" s="92"/>
      <c r="AM592" s="92"/>
      <c r="AN592" s="92"/>
      <c r="AO592" s="92"/>
      <c r="AP592" s="92"/>
      <c r="AQ592" s="92"/>
      <c r="AR592" s="92"/>
      <c r="AS592" s="92"/>
      <c r="AT592" s="92"/>
      <c r="AU592" s="92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</row>
    <row r="593" spans="1:64" ht="15.75" customHeight="1" x14ac:dyDescent="0.2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0"/>
      <c r="U593" s="90"/>
      <c r="V593" s="90"/>
      <c r="W593" s="90"/>
      <c r="X593" s="90"/>
      <c r="Y593" s="90"/>
      <c r="Z593" s="90"/>
      <c r="AA593" s="90"/>
      <c r="AB593" s="91"/>
      <c r="AC593" s="91"/>
      <c r="AD593" s="91"/>
      <c r="AE593" s="91"/>
      <c r="AF593" s="92"/>
      <c r="AG593" s="92"/>
      <c r="AH593" s="92"/>
      <c r="AI593" s="92"/>
      <c r="AJ593" s="92"/>
      <c r="AK593" s="92"/>
      <c r="AL593" s="92"/>
      <c r="AM593" s="92"/>
      <c r="AN593" s="92"/>
      <c r="AO593" s="92"/>
      <c r="AP593" s="92"/>
      <c r="AQ593" s="92"/>
      <c r="AR593" s="92"/>
      <c r="AS593" s="92"/>
      <c r="AT593" s="92"/>
      <c r="AU593" s="92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</row>
    <row r="594" spans="1:64" ht="15.75" customHeight="1" x14ac:dyDescent="0.2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0"/>
      <c r="U594" s="90"/>
      <c r="V594" s="90"/>
      <c r="W594" s="90"/>
      <c r="X594" s="90"/>
      <c r="Y594" s="90"/>
      <c r="Z594" s="90"/>
      <c r="AA594" s="90"/>
      <c r="AB594" s="91"/>
      <c r="AC594" s="91"/>
      <c r="AD594" s="91"/>
      <c r="AE594" s="91"/>
      <c r="AF594" s="92"/>
      <c r="AG594" s="92"/>
      <c r="AH594" s="92"/>
      <c r="AI594" s="92"/>
      <c r="AJ594" s="92"/>
      <c r="AK594" s="92"/>
      <c r="AL594" s="92"/>
      <c r="AM594" s="92"/>
      <c r="AN594" s="92"/>
      <c r="AO594" s="92"/>
      <c r="AP594" s="92"/>
      <c r="AQ594" s="92"/>
      <c r="AR594" s="92"/>
      <c r="AS594" s="92"/>
      <c r="AT594" s="92"/>
      <c r="AU594" s="92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</row>
    <row r="595" spans="1:64" ht="15.75" customHeight="1" x14ac:dyDescent="0.2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0"/>
      <c r="U595" s="90"/>
      <c r="V595" s="90"/>
      <c r="W595" s="90"/>
      <c r="X595" s="90"/>
      <c r="Y595" s="90"/>
      <c r="Z595" s="90"/>
      <c r="AA595" s="90"/>
      <c r="AB595" s="91"/>
      <c r="AC595" s="91"/>
      <c r="AD595" s="91"/>
      <c r="AE595" s="91"/>
      <c r="AF595" s="92"/>
      <c r="AG595" s="92"/>
      <c r="AH595" s="92"/>
      <c r="AI595" s="92"/>
      <c r="AJ595" s="92"/>
      <c r="AK595" s="92"/>
      <c r="AL595" s="92"/>
      <c r="AM595" s="92"/>
      <c r="AN595" s="92"/>
      <c r="AO595" s="92"/>
      <c r="AP595" s="92"/>
      <c r="AQ595" s="92"/>
      <c r="AR595" s="92"/>
      <c r="AS595" s="92"/>
      <c r="AT595" s="92"/>
      <c r="AU595" s="92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</row>
    <row r="596" spans="1:64" ht="15.75" customHeight="1" x14ac:dyDescent="0.2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0"/>
      <c r="U596" s="90"/>
      <c r="V596" s="90"/>
      <c r="W596" s="90"/>
      <c r="X596" s="90"/>
      <c r="Y596" s="90"/>
      <c r="Z596" s="90"/>
      <c r="AA596" s="90"/>
      <c r="AB596" s="91"/>
      <c r="AC596" s="91"/>
      <c r="AD596" s="91"/>
      <c r="AE596" s="91"/>
      <c r="AF596" s="92"/>
      <c r="AG596" s="92"/>
      <c r="AH596" s="92"/>
      <c r="AI596" s="92"/>
      <c r="AJ596" s="92"/>
      <c r="AK596" s="92"/>
      <c r="AL596" s="92"/>
      <c r="AM596" s="92"/>
      <c r="AN596" s="92"/>
      <c r="AO596" s="92"/>
      <c r="AP596" s="92"/>
      <c r="AQ596" s="92"/>
      <c r="AR596" s="92"/>
      <c r="AS596" s="92"/>
      <c r="AT596" s="92"/>
      <c r="AU596" s="92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</row>
    <row r="597" spans="1:64" ht="15.75" customHeight="1" x14ac:dyDescent="0.2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0"/>
      <c r="U597" s="90"/>
      <c r="V597" s="90"/>
      <c r="W597" s="90"/>
      <c r="X597" s="90"/>
      <c r="Y597" s="90"/>
      <c r="Z597" s="90"/>
      <c r="AA597" s="90"/>
      <c r="AB597" s="91"/>
      <c r="AC597" s="91"/>
      <c r="AD597" s="91"/>
      <c r="AE597" s="91"/>
      <c r="AF597" s="92"/>
      <c r="AG597" s="92"/>
      <c r="AH597" s="92"/>
      <c r="AI597" s="92"/>
      <c r="AJ597" s="92"/>
      <c r="AK597" s="92"/>
      <c r="AL597" s="92"/>
      <c r="AM597" s="92"/>
      <c r="AN597" s="92"/>
      <c r="AO597" s="92"/>
      <c r="AP597" s="92"/>
      <c r="AQ597" s="92"/>
      <c r="AR597" s="92"/>
      <c r="AS597" s="92"/>
      <c r="AT597" s="92"/>
      <c r="AU597" s="92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</row>
    <row r="598" spans="1:64" ht="15.75" customHeight="1" x14ac:dyDescent="0.2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0"/>
      <c r="U598" s="90"/>
      <c r="V598" s="90"/>
      <c r="W598" s="90"/>
      <c r="X598" s="90"/>
      <c r="Y598" s="90"/>
      <c r="Z598" s="90"/>
      <c r="AA598" s="90"/>
      <c r="AB598" s="91"/>
      <c r="AC598" s="91"/>
      <c r="AD598" s="91"/>
      <c r="AE598" s="91"/>
      <c r="AF598" s="92"/>
      <c r="AG598" s="92"/>
      <c r="AH598" s="92"/>
      <c r="AI598" s="92"/>
      <c r="AJ598" s="92"/>
      <c r="AK598" s="92"/>
      <c r="AL598" s="92"/>
      <c r="AM598" s="92"/>
      <c r="AN598" s="92"/>
      <c r="AO598" s="92"/>
      <c r="AP598" s="92"/>
      <c r="AQ598" s="92"/>
      <c r="AR598" s="92"/>
      <c r="AS598" s="92"/>
      <c r="AT598" s="92"/>
      <c r="AU598" s="92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</row>
    <row r="599" spans="1:64" ht="15.75" customHeight="1" x14ac:dyDescent="0.2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0"/>
      <c r="U599" s="90"/>
      <c r="V599" s="90"/>
      <c r="W599" s="90"/>
      <c r="X599" s="90"/>
      <c r="Y599" s="90"/>
      <c r="Z599" s="90"/>
      <c r="AA599" s="90"/>
      <c r="AB599" s="91"/>
      <c r="AC599" s="91"/>
      <c r="AD599" s="91"/>
      <c r="AE599" s="91"/>
      <c r="AF599" s="92"/>
      <c r="AG599" s="92"/>
      <c r="AH599" s="92"/>
      <c r="AI599" s="92"/>
      <c r="AJ599" s="92"/>
      <c r="AK599" s="92"/>
      <c r="AL599" s="92"/>
      <c r="AM599" s="92"/>
      <c r="AN599" s="92"/>
      <c r="AO599" s="92"/>
      <c r="AP599" s="92"/>
      <c r="AQ599" s="92"/>
      <c r="AR599" s="92"/>
      <c r="AS599" s="92"/>
      <c r="AT599" s="92"/>
      <c r="AU599" s="92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</row>
    <row r="600" spans="1:64" ht="15.75" customHeight="1" x14ac:dyDescent="0.2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0"/>
      <c r="U600" s="90"/>
      <c r="V600" s="90"/>
      <c r="W600" s="90"/>
      <c r="X600" s="90"/>
      <c r="Y600" s="90"/>
      <c r="Z600" s="90"/>
      <c r="AA600" s="90"/>
      <c r="AB600" s="91"/>
      <c r="AC600" s="91"/>
      <c r="AD600" s="91"/>
      <c r="AE600" s="91"/>
      <c r="AF600" s="92"/>
      <c r="AG600" s="92"/>
      <c r="AH600" s="92"/>
      <c r="AI600" s="92"/>
      <c r="AJ600" s="92"/>
      <c r="AK600" s="92"/>
      <c r="AL600" s="92"/>
      <c r="AM600" s="92"/>
      <c r="AN600" s="92"/>
      <c r="AO600" s="92"/>
      <c r="AP600" s="92"/>
      <c r="AQ600" s="92"/>
      <c r="AR600" s="92"/>
      <c r="AS600" s="92"/>
      <c r="AT600" s="92"/>
      <c r="AU600" s="92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</row>
    <row r="601" spans="1:64" ht="15.75" customHeight="1" x14ac:dyDescent="0.2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0"/>
      <c r="U601" s="90"/>
      <c r="V601" s="90"/>
      <c r="W601" s="90"/>
      <c r="X601" s="90"/>
      <c r="Y601" s="90"/>
      <c r="Z601" s="90"/>
      <c r="AA601" s="90"/>
      <c r="AB601" s="91"/>
      <c r="AC601" s="91"/>
      <c r="AD601" s="91"/>
      <c r="AE601" s="91"/>
      <c r="AF601" s="92"/>
      <c r="AG601" s="92"/>
      <c r="AH601" s="92"/>
      <c r="AI601" s="92"/>
      <c r="AJ601" s="92"/>
      <c r="AK601" s="92"/>
      <c r="AL601" s="92"/>
      <c r="AM601" s="92"/>
      <c r="AN601" s="92"/>
      <c r="AO601" s="92"/>
      <c r="AP601" s="92"/>
      <c r="AQ601" s="92"/>
      <c r="AR601" s="92"/>
      <c r="AS601" s="92"/>
      <c r="AT601" s="92"/>
      <c r="AU601" s="92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</row>
    <row r="602" spans="1:64" ht="15.75" customHeight="1" x14ac:dyDescent="0.2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0"/>
      <c r="U602" s="90"/>
      <c r="V602" s="90"/>
      <c r="W602" s="90"/>
      <c r="X602" s="90"/>
      <c r="Y602" s="90"/>
      <c r="Z602" s="90"/>
      <c r="AA602" s="90"/>
      <c r="AB602" s="91"/>
      <c r="AC602" s="91"/>
      <c r="AD602" s="91"/>
      <c r="AE602" s="91"/>
      <c r="AF602" s="92"/>
      <c r="AG602" s="92"/>
      <c r="AH602" s="92"/>
      <c r="AI602" s="92"/>
      <c r="AJ602" s="92"/>
      <c r="AK602" s="92"/>
      <c r="AL602" s="92"/>
      <c r="AM602" s="92"/>
      <c r="AN602" s="92"/>
      <c r="AO602" s="92"/>
      <c r="AP602" s="92"/>
      <c r="AQ602" s="92"/>
      <c r="AR602" s="92"/>
      <c r="AS602" s="92"/>
      <c r="AT602" s="92"/>
      <c r="AU602" s="92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</row>
    <row r="603" spans="1:64" ht="15.75" customHeight="1" x14ac:dyDescent="0.2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0"/>
      <c r="U603" s="90"/>
      <c r="V603" s="90"/>
      <c r="W603" s="90"/>
      <c r="X603" s="90"/>
      <c r="Y603" s="90"/>
      <c r="Z603" s="90"/>
      <c r="AA603" s="90"/>
      <c r="AB603" s="91"/>
      <c r="AC603" s="91"/>
      <c r="AD603" s="91"/>
      <c r="AE603" s="91"/>
      <c r="AF603" s="92"/>
      <c r="AG603" s="92"/>
      <c r="AH603" s="92"/>
      <c r="AI603" s="92"/>
      <c r="AJ603" s="92"/>
      <c r="AK603" s="92"/>
      <c r="AL603" s="92"/>
      <c r="AM603" s="92"/>
      <c r="AN603" s="92"/>
      <c r="AO603" s="92"/>
      <c r="AP603" s="92"/>
      <c r="AQ603" s="92"/>
      <c r="AR603" s="92"/>
      <c r="AS603" s="92"/>
      <c r="AT603" s="92"/>
      <c r="AU603" s="92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</row>
    <row r="604" spans="1:64" ht="15.75" customHeight="1" x14ac:dyDescent="0.2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0"/>
      <c r="U604" s="90"/>
      <c r="V604" s="90"/>
      <c r="W604" s="90"/>
      <c r="X604" s="90"/>
      <c r="Y604" s="90"/>
      <c r="Z604" s="90"/>
      <c r="AA604" s="90"/>
      <c r="AB604" s="91"/>
      <c r="AC604" s="91"/>
      <c r="AD604" s="91"/>
      <c r="AE604" s="91"/>
      <c r="AF604" s="92"/>
      <c r="AG604" s="92"/>
      <c r="AH604" s="92"/>
      <c r="AI604" s="92"/>
      <c r="AJ604" s="92"/>
      <c r="AK604" s="92"/>
      <c r="AL604" s="92"/>
      <c r="AM604" s="92"/>
      <c r="AN604" s="92"/>
      <c r="AO604" s="92"/>
      <c r="AP604" s="92"/>
      <c r="AQ604" s="92"/>
      <c r="AR604" s="92"/>
      <c r="AS604" s="92"/>
      <c r="AT604" s="92"/>
      <c r="AU604" s="92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</row>
    <row r="605" spans="1:64" ht="15.75" customHeight="1" x14ac:dyDescent="0.2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0"/>
      <c r="U605" s="90"/>
      <c r="V605" s="90"/>
      <c r="W605" s="90"/>
      <c r="X605" s="90"/>
      <c r="Y605" s="90"/>
      <c r="Z605" s="90"/>
      <c r="AA605" s="90"/>
      <c r="AB605" s="91"/>
      <c r="AC605" s="91"/>
      <c r="AD605" s="91"/>
      <c r="AE605" s="91"/>
      <c r="AF605" s="92"/>
      <c r="AG605" s="92"/>
      <c r="AH605" s="92"/>
      <c r="AI605" s="92"/>
      <c r="AJ605" s="92"/>
      <c r="AK605" s="92"/>
      <c r="AL605" s="92"/>
      <c r="AM605" s="92"/>
      <c r="AN605" s="92"/>
      <c r="AO605" s="92"/>
      <c r="AP605" s="92"/>
      <c r="AQ605" s="92"/>
      <c r="AR605" s="92"/>
      <c r="AS605" s="92"/>
      <c r="AT605" s="92"/>
      <c r="AU605" s="92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</row>
    <row r="606" spans="1:64" ht="15.75" customHeight="1" x14ac:dyDescent="0.2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0"/>
      <c r="U606" s="90"/>
      <c r="V606" s="90"/>
      <c r="W606" s="90"/>
      <c r="X606" s="90"/>
      <c r="Y606" s="90"/>
      <c r="Z606" s="90"/>
      <c r="AA606" s="90"/>
      <c r="AB606" s="91"/>
      <c r="AC606" s="91"/>
      <c r="AD606" s="91"/>
      <c r="AE606" s="91"/>
      <c r="AF606" s="92"/>
      <c r="AG606" s="92"/>
      <c r="AH606" s="92"/>
      <c r="AI606" s="92"/>
      <c r="AJ606" s="92"/>
      <c r="AK606" s="92"/>
      <c r="AL606" s="92"/>
      <c r="AM606" s="92"/>
      <c r="AN606" s="92"/>
      <c r="AO606" s="92"/>
      <c r="AP606" s="92"/>
      <c r="AQ606" s="92"/>
      <c r="AR606" s="92"/>
      <c r="AS606" s="92"/>
      <c r="AT606" s="92"/>
      <c r="AU606" s="92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</row>
    <row r="607" spans="1:64" ht="15.75" customHeight="1" x14ac:dyDescent="0.2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0"/>
      <c r="U607" s="90"/>
      <c r="V607" s="90"/>
      <c r="W607" s="90"/>
      <c r="X607" s="90"/>
      <c r="Y607" s="90"/>
      <c r="Z607" s="90"/>
      <c r="AA607" s="90"/>
      <c r="AB607" s="91"/>
      <c r="AC607" s="91"/>
      <c r="AD607" s="91"/>
      <c r="AE607" s="91"/>
      <c r="AF607" s="92"/>
      <c r="AG607" s="92"/>
      <c r="AH607" s="92"/>
      <c r="AI607" s="92"/>
      <c r="AJ607" s="92"/>
      <c r="AK607" s="92"/>
      <c r="AL607" s="92"/>
      <c r="AM607" s="92"/>
      <c r="AN607" s="92"/>
      <c r="AO607" s="92"/>
      <c r="AP607" s="92"/>
      <c r="AQ607" s="92"/>
      <c r="AR607" s="92"/>
      <c r="AS607" s="92"/>
      <c r="AT607" s="92"/>
      <c r="AU607" s="92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</row>
    <row r="608" spans="1:64" ht="15.75" customHeight="1" x14ac:dyDescent="0.2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0"/>
      <c r="U608" s="90"/>
      <c r="V608" s="90"/>
      <c r="W608" s="90"/>
      <c r="X608" s="90"/>
      <c r="Y608" s="90"/>
      <c r="Z608" s="90"/>
      <c r="AA608" s="90"/>
      <c r="AB608" s="91"/>
      <c r="AC608" s="91"/>
      <c r="AD608" s="91"/>
      <c r="AE608" s="91"/>
      <c r="AF608" s="92"/>
      <c r="AG608" s="92"/>
      <c r="AH608" s="92"/>
      <c r="AI608" s="92"/>
      <c r="AJ608" s="92"/>
      <c r="AK608" s="92"/>
      <c r="AL608" s="92"/>
      <c r="AM608" s="92"/>
      <c r="AN608" s="92"/>
      <c r="AO608" s="92"/>
      <c r="AP608" s="92"/>
      <c r="AQ608" s="92"/>
      <c r="AR608" s="92"/>
      <c r="AS608" s="92"/>
      <c r="AT608" s="92"/>
      <c r="AU608" s="92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</row>
    <row r="609" spans="1:64" ht="15.75" customHeight="1" x14ac:dyDescent="0.2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0"/>
      <c r="U609" s="90"/>
      <c r="V609" s="90"/>
      <c r="W609" s="90"/>
      <c r="X609" s="90"/>
      <c r="Y609" s="90"/>
      <c r="Z609" s="90"/>
      <c r="AA609" s="90"/>
      <c r="AB609" s="91"/>
      <c r="AC609" s="91"/>
      <c r="AD609" s="91"/>
      <c r="AE609" s="91"/>
      <c r="AF609" s="92"/>
      <c r="AG609" s="92"/>
      <c r="AH609" s="92"/>
      <c r="AI609" s="92"/>
      <c r="AJ609" s="92"/>
      <c r="AK609" s="92"/>
      <c r="AL609" s="92"/>
      <c r="AM609" s="92"/>
      <c r="AN609" s="92"/>
      <c r="AO609" s="92"/>
      <c r="AP609" s="92"/>
      <c r="AQ609" s="92"/>
      <c r="AR609" s="92"/>
      <c r="AS609" s="92"/>
      <c r="AT609" s="92"/>
      <c r="AU609" s="92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</row>
    <row r="610" spans="1:64" ht="15.75" customHeight="1" x14ac:dyDescent="0.2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0"/>
      <c r="U610" s="90"/>
      <c r="V610" s="90"/>
      <c r="W610" s="90"/>
      <c r="X610" s="90"/>
      <c r="Y610" s="90"/>
      <c r="Z610" s="90"/>
      <c r="AA610" s="90"/>
      <c r="AB610" s="91"/>
      <c r="AC610" s="91"/>
      <c r="AD610" s="91"/>
      <c r="AE610" s="91"/>
      <c r="AF610" s="92"/>
      <c r="AG610" s="92"/>
      <c r="AH610" s="92"/>
      <c r="AI610" s="92"/>
      <c r="AJ610" s="92"/>
      <c r="AK610" s="92"/>
      <c r="AL610" s="92"/>
      <c r="AM610" s="92"/>
      <c r="AN610" s="92"/>
      <c r="AO610" s="92"/>
      <c r="AP610" s="92"/>
      <c r="AQ610" s="92"/>
      <c r="AR610" s="92"/>
      <c r="AS610" s="92"/>
      <c r="AT610" s="92"/>
      <c r="AU610" s="92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</row>
    <row r="611" spans="1:64" ht="15.75" customHeight="1" x14ac:dyDescent="0.2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0"/>
      <c r="U611" s="90"/>
      <c r="V611" s="90"/>
      <c r="W611" s="90"/>
      <c r="X611" s="90"/>
      <c r="Y611" s="90"/>
      <c r="Z611" s="90"/>
      <c r="AA611" s="90"/>
      <c r="AB611" s="91"/>
      <c r="AC611" s="91"/>
      <c r="AD611" s="91"/>
      <c r="AE611" s="91"/>
      <c r="AF611" s="92"/>
      <c r="AG611" s="92"/>
      <c r="AH611" s="92"/>
      <c r="AI611" s="92"/>
      <c r="AJ611" s="92"/>
      <c r="AK611" s="92"/>
      <c r="AL611" s="92"/>
      <c r="AM611" s="92"/>
      <c r="AN611" s="92"/>
      <c r="AO611" s="92"/>
      <c r="AP611" s="92"/>
      <c r="AQ611" s="92"/>
      <c r="AR611" s="92"/>
      <c r="AS611" s="92"/>
      <c r="AT611" s="92"/>
      <c r="AU611" s="92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</row>
    <row r="612" spans="1:64" ht="15.75" customHeight="1" x14ac:dyDescent="0.2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0"/>
      <c r="U612" s="90"/>
      <c r="V612" s="90"/>
      <c r="W612" s="90"/>
      <c r="X612" s="90"/>
      <c r="Y612" s="90"/>
      <c r="Z612" s="90"/>
      <c r="AA612" s="90"/>
      <c r="AB612" s="91"/>
      <c r="AC612" s="91"/>
      <c r="AD612" s="91"/>
      <c r="AE612" s="91"/>
      <c r="AF612" s="92"/>
      <c r="AG612" s="92"/>
      <c r="AH612" s="92"/>
      <c r="AI612" s="92"/>
      <c r="AJ612" s="92"/>
      <c r="AK612" s="92"/>
      <c r="AL612" s="92"/>
      <c r="AM612" s="92"/>
      <c r="AN612" s="92"/>
      <c r="AO612" s="92"/>
      <c r="AP612" s="92"/>
      <c r="AQ612" s="92"/>
      <c r="AR612" s="92"/>
      <c r="AS612" s="92"/>
      <c r="AT612" s="92"/>
      <c r="AU612" s="92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</row>
    <row r="613" spans="1:64" ht="15.75" customHeight="1" x14ac:dyDescent="0.2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0"/>
      <c r="U613" s="90"/>
      <c r="V613" s="90"/>
      <c r="W613" s="90"/>
      <c r="X613" s="90"/>
      <c r="Y613" s="90"/>
      <c r="Z613" s="90"/>
      <c r="AA613" s="90"/>
      <c r="AB613" s="91"/>
      <c r="AC613" s="91"/>
      <c r="AD613" s="91"/>
      <c r="AE613" s="91"/>
      <c r="AF613" s="92"/>
      <c r="AG613" s="92"/>
      <c r="AH613" s="92"/>
      <c r="AI613" s="92"/>
      <c r="AJ613" s="92"/>
      <c r="AK613" s="92"/>
      <c r="AL613" s="92"/>
      <c r="AM613" s="92"/>
      <c r="AN613" s="92"/>
      <c r="AO613" s="92"/>
      <c r="AP613" s="92"/>
      <c r="AQ613" s="92"/>
      <c r="AR613" s="92"/>
      <c r="AS613" s="92"/>
      <c r="AT613" s="92"/>
      <c r="AU613" s="92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</row>
    <row r="614" spans="1:64" ht="15.75" customHeight="1" x14ac:dyDescent="0.2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0"/>
      <c r="U614" s="90"/>
      <c r="V614" s="90"/>
      <c r="W614" s="90"/>
      <c r="X614" s="90"/>
      <c r="Y614" s="90"/>
      <c r="Z614" s="90"/>
      <c r="AA614" s="90"/>
      <c r="AB614" s="91"/>
      <c r="AC614" s="91"/>
      <c r="AD614" s="91"/>
      <c r="AE614" s="91"/>
      <c r="AF614" s="92"/>
      <c r="AG614" s="92"/>
      <c r="AH614" s="92"/>
      <c r="AI614" s="92"/>
      <c r="AJ614" s="92"/>
      <c r="AK614" s="92"/>
      <c r="AL614" s="92"/>
      <c r="AM614" s="92"/>
      <c r="AN614" s="92"/>
      <c r="AO614" s="92"/>
      <c r="AP614" s="92"/>
      <c r="AQ614" s="92"/>
      <c r="AR614" s="92"/>
      <c r="AS614" s="92"/>
      <c r="AT614" s="92"/>
      <c r="AU614" s="92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</row>
    <row r="615" spans="1:64" ht="15.75" customHeight="1" x14ac:dyDescent="0.2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0"/>
      <c r="U615" s="90"/>
      <c r="V615" s="90"/>
      <c r="W615" s="90"/>
      <c r="X615" s="90"/>
      <c r="Y615" s="90"/>
      <c r="Z615" s="90"/>
      <c r="AA615" s="90"/>
      <c r="AB615" s="91"/>
      <c r="AC615" s="91"/>
      <c r="AD615" s="91"/>
      <c r="AE615" s="91"/>
      <c r="AF615" s="92"/>
      <c r="AG615" s="92"/>
      <c r="AH615" s="92"/>
      <c r="AI615" s="92"/>
      <c r="AJ615" s="92"/>
      <c r="AK615" s="92"/>
      <c r="AL615" s="92"/>
      <c r="AM615" s="92"/>
      <c r="AN615" s="92"/>
      <c r="AO615" s="92"/>
      <c r="AP615" s="92"/>
      <c r="AQ615" s="92"/>
      <c r="AR615" s="92"/>
      <c r="AS615" s="92"/>
      <c r="AT615" s="92"/>
      <c r="AU615" s="92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</row>
    <row r="616" spans="1:64" ht="15.75" customHeight="1" x14ac:dyDescent="0.2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0"/>
      <c r="U616" s="90"/>
      <c r="V616" s="90"/>
      <c r="W616" s="90"/>
      <c r="X616" s="90"/>
      <c r="Y616" s="90"/>
      <c r="Z616" s="90"/>
      <c r="AA616" s="90"/>
      <c r="AB616" s="91"/>
      <c r="AC616" s="91"/>
      <c r="AD616" s="91"/>
      <c r="AE616" s="91"/>
      <c r="AF616" s="92"/>
      <c r="AG616" s="92"/>
      <c r="AH616" s="92"/>
      <c r="AI616" s="92"/>
      <c r="AJ616" s="92"/>
      <c r="AK616" s="92"/>
      <c r="AL616" s="92"/>
      <c r="AM616" s="92"/>
      <c r="AN616" s="92"/>
      <c r="AO616" s="92"/>
      <c r="AP616" s="92"/>
      <c r="AQ616" s="92"/>
      <c r="AR616" s="92"/>
      <c r="AS616" s="92"/>
      <c r="AT616" s="92"/>
      <c r="AU616" s="92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</row>
    <row r="617" spans="1:64" ht="15.75" customHeight="1" x14ac:dyDescent="0.2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0"/>
      <c r="U617" s="90"/>
      <c r="V617" s="90"/>
      <c r="W617" s="90"/>
      <c r="X617" s="90"/>
      <c r="Y617" s="90"/>
      <c r="Z617" s="90"/>
      <c r="AA617" s="90"/>
      <c r="AB617" s="91"/>
      <c r="AC617" s="91"/>
      <c r="AD617" s="91"/>
      <c r="AE617" s="91"/>
      <c r="AF617" s="92"/>
      <c r="AG617" s="92"/>
      <c r="AH617" s="92"/>
      <c r="AI617" s="92"/>
      <c r="AJ617" s="92"/>
      <c r="AK617" s="92"/>
      <c r="AL617" s="92"/>
      <c r="AM617" s="92"/>
      <c r="AN617" s="92"/>
      <c r="AO617" s="92"/>
      <c r="AP617" s="92"/>
      <c r="AQ617" s="92"/>
      <c r="AR617" s="92"/>
      <c r="AS617" s="92"/>
      <c r="AT617" s="92"/>
      <c r="AU617" s="92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</row>
    <row r="618" spans="1:64" ht="15.75" customHeight="1" x14ac:dyDescent="0.2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0"/>
      <c r="U618" s="90"/>
      <c r="V618" s="90"/>
      <c r="W618" s="90"/>
      <c r="X618" s="90"/>
      <c r="Y618" s="90"/>
      <c r="Z618" s="90"/>
      <c r="AA618" s="90"/>
      <c r="AB618" s="91"/>
      <c r="AC618" s="91"/>
      <c r="AD618" s="91"/>
      <c r="AE618" s="91"/>
      <c r="AF618" s="92"/>
      <c r="AG618" s="92"/>
      <c r="AH618" s="92"/>
      <c r="AI618" s="92"/>
      <c r="AJ618" s="92"/>
      <c r="AK618" s="92"/>
      <c r="AL618" s="92"/>
      <c r="AM618" s="92"/>
      <c r="AN618" s="92"/>
      <c r="AO618" s="92"/>
      <c r="AP618" s="92"/>
      <c r="AQ618" s="92"/>
      <c r="AR618" s="92"/>
      <c r="AS618" s="92"/>
      <c r="AT618" s="92"/>
      <c r="AU618" s="92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</row>
    <row r="619" spans="1:64" ht="15.75" customHeight="1" x14ac:dyDescent="0.2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0"/>
      <c r="U619" s="90"/>
      <c r="V619" s="90"/>
      <c r="W619" s="90"/>
      <c r="X619" s="90"/>
      <c r="Y619" s="90"/>
      <c r="Z619" s="90"/>
      <c r="AA619" s="90"/>
      <c r="AB619" s="91"/>
      <c r="AC619" s="91"/>
      <c r="AD619" s="91"/>
      <c r="AE619" s="91"/>
      <c r="AF619" s="92"/>
      <c r="AG619" s="92"/>
      <c r="AH619" s="92"/>
      <c r="AI619" s="92"/>
      <c r="AJ619" s="92"/>
      <c r="AK619" s="92"/>
      <c r="AL619" s="92"/>
      <c r="AM619" s="92"/>
      <c r="AN619" s="92"/>
      <c r="AO619" s="92"/>
      <c r="AP619" s="92"/>
      <c r="AQ619" s="92"/>
      <c r="AR619" s="92"/>
      <c r="AS619" s="92"/>
      <c r="AT619" s="92"/>
      <c r="AU619" s="92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</row>
    <row r="620" spans="1:64" ht="15.75" customHeight="1" x14ac:dyDescent="0.2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0"/>
      <c r="U620" s="90"/>
      <c r="V620" s="90"/>
      <c r="W620" s="90"/>
      <c r="X620" s="90"/>
      <c r="Y620" s="90"/>
      <c r="Z620" s="90"/>
      <c r="AA620" s="90"/>
      <c r="AB620" s="91"/>
      <c r="AC620" s="91"/>
      <c r="AD620" s="91"/>
      <c r="AE620" s="91"/>
      <c r="AF620" s="92"/>
      <c r="AG620" s="92"/>
      <c r="AH620" s="92"/>
      <c r="AI620" s="92"/>
      <c r="AJ620" s="92"/>
      <c r="AK620" s="92"/>
      <c r="AL620" s="92"/>
      <c r="AM620" s="92"/>
      <c r="AN620" s="92"/>
      <c r="AO620" s="92"/>
      <c r="AP620" s="92"/>
      <c r="AQ620" s="92"/>
      <c r="AR620" s="92"/>
      <c r="AS620" s="92"/>
      <c r="AT620" s="92"/>
      <c r="AU620" s="92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</row>
    <row r="621" spans="1:64" ht="15.75" customHeight="1" x14ac:dyDescent="0.2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0"/>
      <c r="U621" s="90"/>
      <c r="V621" s="90"/>
      <c r="W621" s="90"/>
      <c r="X621" s="90"/>
      <c r="Y621" s="90"/>
      <c r="Z621" s="90"/>
      <c r="AA621" s="90"/>
      <c r="AB621" s="91"/>
      <c r="AC621" s="91"/>
      <c r="AD621" s="91"/>
      <c r="AE621" s="91"/>
      <c r="AF621" s="92"/>
      <c r="AG621" s="92"/>
      <c r="AH621" s="92"/>
      <c r="AI621" s="92"/>
      <c r="AJ621" s="92"/>
      <c r="AK621" s="92"/>
      <c r="AL621" s="92"/>
      <c r="AM621" s="92"/>
      <c r="AN621" s="92"/>
      <c r="AO621" s="92"/>
      <c r="AP621" s="92"/>
      <c r="AQ621" s="92"/>
      <c r="AR621" s="92"/>
      <c r="AS621" s="92"/>
      <c r="AT621" s="92"/>
      <c r="AU621" s="92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</row>
    <row r="622" spans="1:64" ht="15.75" customHeight="1" x14ac:dyDescent="0.2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0"/>
      <c r="U622" s="90"/>
      <c r="V622" s="90"/>
      <c r="W622" s="90"/>
      <c r="X622" s="90"/>
      <c r="Y622" s="90"/>
      <c r="Z622" s="90"/>
      <c r="AA622" s="90"/>
      <c r="AB622" s="91"/>
      <c r="AC622" s="91"/>
      <c r="AD622" s="91"/>
      <c r="AE622" s="91"/>
      <c r="AF622" s="92"/>
      <c r="AG622" s="92"/>
      <c r="AH622" s="92"/>
      <c r="AI622" s="92"/>
      <c r="AJ622" s="92"/>
      <c r="AK622" s="92"/>
      <c r="AL622" s="92"/>
      <c r="AM622" s="92"/>
      <c r="AN622" s="92"/>
      <c r="AO622" s="92"/>
      <c r="AP622" s="92"/>
      <c r="AQ622" s="92"/>
      <c r="AR622" s="92"/>
      <c r="AS622" s="92"/>
      <c r="AT622" s="92"/>
      <c r="AU622" s="92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</row>
    <row r="623" spans="1:64" ht="15.75" customHeight="1" x14ac:dyDescent="0.2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0"/>
      <c r="U623" s="90"/>
      <c r="V623" s="90"/>
      <c r="W623" s="90"/>
      <c r="X623" s="90"/>
      <c r="Y623" s="90"/>
      <c r="Z623" s="90"/>
      <c r="AA623" s="90"/>
      <c r="AB623" s="91"/>
      <c r="AC623" s="91"/>
      <c r="AD623" s="91"/>
      <c r="AE623" s="91"/>
      <c r="AF623" s="92"/>
      <c r="AG623" s="92"/>
      <c r="AH623" s="92"/>
      <c r="AI623" s="92"/>
      <c r="AJ623" s="92"/>
      <c r="AK623" s="92"/>
      <c r="AL623" s="92"/>
      <c r="AM623" s="92"/>
      <c r="AN623" s="92"/>
      <c r="AO623" s="92"/>
      <c r="AP623" s="92"/>
      <c r="AQ623" s="92"/>
      <c r="AR623" s="92"/>
      <c r="AS623" s="92"/>
      <c r="AT623" s="92"/>
      <c r="AU623" s="92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</row>
    <row r="624" spans="1:64" ht="15.75" customHeight="1" x14ac:dyDescent="0.2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0"/>
      <c r="U624" s="90"/>
      <c r="V624" s="90"/>
      <c r="W624" s="90"/>
      <c r="X624" s="90"/>
      <c r="Y624" s="90"/>
      <c r="Z624" s="90"/>
      <c r="AA624" s="90"/>
      <c r="AB624" s="91"/>
      <c r="AC624" s="91"/>
      <c r="AD624" s="91"/>
      <c r="AE624" s="91"/>
      <c r="AF624" s="92"/>
      <c r="AG624" s="92"/>
      <c r="AH624" s="92"/>
      <c r="AI624" s="92"/>
      <c r="AJ624" s="92"/>
      <c r="AK624" s="92"/>
      <c r="AL624" s="92"/>
      <c r="AM624" s="92"/>
      <c r="AN624" s="92"/>
      <c r="AO624" s="92"/>
      <c r="AP624" s="92"/>
      <c r="AQ624" s="92"/>
      <c r="AR624" s="92"/>
      <c r="AS624" s="92"/>
      <c r="AT624" s="92"/>
      <c r="AU624" s="92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</row>
    <row r="625" spans="1:64" ht="15.75" customHeight="1" x14ac:dyDescent="0.2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0"/>
      <c r="U625" s="90"/>
      <c r="V625" s="90"/>
      <c r="W625" s="90"/>
      <c r="X625" s="90"/>
      <c r="Y625" s="90"/>
      <c r="Z625" s="90"/>
      <c r="AA625" s="90"/>
      <c r="AB625" s="91"/>
      <c r="AC625" s="91"/>
      <c r="AD625" s="91"/>
      <c r="AE625" s="91"/>
      <c r="AF625" s="92"/>
      <c r="AG625" s="92"/>
      <c r="AH625" s="92"/>
      <c r="AI625" s="92"/>
      <c r="AJ625" s="92"/>
      <c r="AK625" s="92"/>
      <c r="AL625" s="92"/>
      <c r="AM625" s="92"/>
      <c r="AN625" s="92"/>
      <c r="AO625" s="92"/>
      <c r="AP625" s="92"/>
      <c r="AQ625" s="92"/>
      <c r="AR625" s="92"/>
      <c r="AS625" s="92"/>
      <c r="AT625" s="92"/>
      <c r="AU625" s="92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</row>
    <row r="626" spans="1:64" ht="15.75" customHeight="1" x14ac:dyDescent="0.2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0"/>
      <c r="U626" s="90"/>
      <c r="V626" s="90"/>
      <c r="W626" s="90"/>
      <c r="X626" s="90"/>
      <c r="Y626" s="90"/>
      <c r="Z626" s="90"/>
      <c r="AA626" s="90"/>
      <c r="AB626" s="91"/>
      <c r="AC626" s="91"/>
      <c r="AD626" s="91"/>
      <c r="AE626" s="91"/>
      <c r="AF626" s="92"/>
      <c r="AG626" s="92"/>
      <c r="AH626" s="92"/>
      <c r="AI626" s="92"/>
      <c r="AJ626" s="92"/>
      <c r="AK626" s="92"/>
      <c r="AL626" s="92"/>
      <c r="AM626" s="92"/>
      <c r="AN626" s="92"/>
      <c r="AO626" s="92"/>
      <c r="AP626" s="92"/>
      <c r="AQ626" s="92"/>
      <c r="AR626" s="92"/>
      <c r="AS626" s="92"/>
      <c r="AT626" s="92"/>
      <c r="AU626" s="92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</row>
    <row r="627" spans="1:64" ht="15.75" customHeight="1" x14ac:dyDescent="0.2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0"/>
      <c r="U627" s="90"/>
      <c r="V627" s="90"/>
      <c r="W627" s="90"/>
      <c r="X627" s="90"/>
      <c r="Y627" s="90"/>
      <c r="Z627" s="90"/>
      <c r="AA627" s="90"/>
      <c r="AB627" s="91"/>
      <c r="AC627" s="91"/>
      <c r="AD627" s="91"/>
      <c r="AE627" s="91"/>
      <c r="AF627" s="92"/>
      <c r="AG627" s="92"/>
      <c r="AH627" s="92"/>
      <c r="AI627" s="92"/>
      <c r="AJ627" s="92"/>
      <c r="AK627" s="92"/>
      <c r="AL627" s="92"/>
      <c r="AM627" s="92"/>
      <c r="AN627" s="92"/>
      <c r="AO627" s="92"/>
      <c r="AP627" s="92"/>
      <c r="AQ627" s="92"/>
      <c r="AR627" s="92"/>
      <c r="AS627" s="92"/>
      <c r="AT627" s="92"/>
      <c r="AU627" s="92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</row>
    <row r="628" spans="1:64" ht="15.75" customHeight="1" x14ac:dyDescent="0.2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0"/>
      <c r="U628" s="90"/>
      <c r="V628" s="90"/>
      <c r="W628" s="90"/>
      <c r="X628" s="90"/>
      <c r="Y628" s="90"/>
      <c r="Z628" s="90"/>
      <c r="AA628" s="90"/>
      <c r="AB628" s="91"/>
      <c r="AC628" s="91"/>
      <c r="AD628" s="91"/>
      <c r="AE628" s="91"/>
      <c r="AF628" s="92"/>
      <c r="AG628" s="92"/>
      <c r="AH628" s="92"/>
      <c r="AI628" s="92"/>
      <c r="AJ628" s="92"/>
      <c r="AK628" s="92"/>
      <c r="AL628" s="92"/>
      <c r="AM628" s="92"/>
      <c r="AN628" s="92"/>
      <c r="AO628" s="92"/>
      <c r="AP628" s="92"/>
      <c r="AQ628" s="92"/>
      <c r="AR628" s="92"/>
      <c r="AS628" s="92"/>
      <c r="AT628" s="92"/>
      <c r="AU628" s="92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</row>
    <row r="629" spans="1:64" ht="15.75" customHeight="1" x14ac:dyDescent="0.2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0"/>
      <c r="U629" s="90"/>
      <c r="V629" s="90"/>
      <c r="W629" s="90"/>
      <c r="X629" s="90"/>
      <c r="Y629" s="90"/>
      <c r="Z629" s="90"/>
      <c r="AA629" s="90"/>
      <c r="AB629" s="91"/>
      <c r="AC629" s="91"/>
      <c r="AD629" s="91"/>
      <c r="AE629" s="91"/>
      <c r="AF629" s="92"/>
      <c r="AG629" s="92"/>
      <c r="AH629" s="92"/>
      <c r="AI629" s="92"/>
      <c r="AJ629" s="92"/>
      <c r="AK629" s="92"/>
      <c r="AL629" s="92"/>
      <c r="AM629" s="92"/>
      <c r="AN629" s="92"/>
      <c r="AO629" s="92"/>
      <c r="AP629" s="92"/>
      <c r="AQ629" s="92"/>
      <c r="AR629" s="92"/>
      <c r="AS629" s="92"/>
      <c r="AT629" s="92"/>
      <c r="AU629" s="92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</row>
    <row r="630" spans="1:64" ht="15.75" customHeight="1" x14ac:dyDescent="0.2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0"/>
      <c r="U630" s="90"/>
      <c r="V630" s="90"/>
      <c r="W630" s="90"/>
      <c r="X630" s="90"/>
      <c r="Y630" s="90"/>
      <c r="Z630" s="90"/>
      <c r="AA630" s="90"/>
      <c r="AB630" s="91"/>
      <c r="AC630" s="91"/>
      <c r="AD630" s="91"/>
      <c r="AE630" s="91"/>
      <c r="AF630" s="92"/>
      <c r="AG630" s="92"/>
      <c r="AH630" s="92"/>
      <c r="AI630" s="92"/>
      <c r="AJ630" s="92"/>
      <c r="AK630" s="92"/>
      <c r="AL630" s="92"/>
      <c r="AM630" s="92"/>
      <c r="AN630" s="92"/>
      <c r="AO630" s="92"/>
      <c r="AP630" s="92"/>
      <c r="AQ630" s="92"/>
      <c r="AR630" s="92"/>
      <c r="AS630" s="92"/>
      <c r="AT630" s="92"/>
      <c r="AU630" s="92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</row>
    <row r="631" spans="1:64" ht="15.75" customHeight="1" x14ac:dyDescent="0.2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0"/>
      <c r="U631" s="90"/>
      <c r="V631" s="90"/>
      <c r="W631" s="90"/>
      <c r="X631" s="90"/>
      <c r="Y631" s="90"/>
      <c r="Z631" s="90"/>
      <c r="AA631" s="90"/>
      <c r="AB631" s="91"/>
      <c r="AC631" s="91"/>
      <c r="AD631" s="91"/>
      <c r="AE631" s="91"/>
      <c r="AF631" s="92"/>
      <c r="AG631" s="92"/>
      <c r="AH631" s="92"/>
      <c r="AI631" s="92"/>
      <c r="AJ631" s="92"/>
      <c r="AK631" s="92"/>
      <c r="AL631" s="92"/>
      <c r="AM631" s="92"/>
      <c r="AN631" s="92"/>
      <c r="AO631" s="92"/>
      <c r="AP631" s="92"/>
      <c r="AQ631" s="92"/>
      <c r="AR631" s="92"/>
      <c r="AS631" s="92"/>
      <c r="AT631" s="92"/>
      <c r="AU631" s="92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</row>
    <row r="632" spans="1:64" ht="15.75" customHeight="1" x14ac:dyDescent="0.2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0"/>
      <c r="U632" s="90"/>
      <c r="V632" s="90"/>
      <c r="W632" s="90"/>
      <c r="X632" s="90"/>
      <c r="Y632" s="90"/>
      <c r="Z632" s="90"/>
      <c r="AA632" s="90"/>
      <c r="AB632" s="91"/>
      <c r="AC632" s="91"/>
      <c r="AD632" s="91"/>
      <c r="AE632" s="91"/>
      <c r="AF632" s="92"/>
      <c r="AG632" s="92"/>
      <c r="AH632" s="92"/>
      <c r="AI632" s="92"/>
      <c r="AJ632" s="92"/>
      <c r="AK632" s="92"/>
      <c r="AL632" s="92"/>
      <c r="AM632" s="92"/>
      <c r="AN632" s="92"/>
      <c r="AO632" s="92"/>
      <c r="AP632" s="92"/>
      <c r="AQ632" s="92"/>
      <c r="AR632" s="92"/>
      <c r="AS632" s="92"/>
      <c r="AT632" s="92"/>
      <c r="AU632" s="92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</row>
    <row r="633" spans="1:64" ht="15.75" customHeight="1" x14ac:dyDescent="0.2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0"/>
      <c r="U633" s="90"/>
      <c r="V633" s="90"/>
      <c r="W633" s="90"/>
      <c r="X633" s="90"/>
      <c r="Y633" s="90"/>
      <c r="Z633" s="90"/>
      <c r="AA633" s="90"/>
      <c r="AB633" s="91"/>
      <c r="AC633" s="91"/>
      <c r="AD633" s="91"/>
      <c r="AE633" s="91"/>
      <c r="AF633" s="92"/>
      <c r="AG633" s="92"/>
      <c r="AH633" s="92"/>
      <c r="AI633" s="92"/>
      <c r="AJ633" s="92"/>
      <c r="AK633" s="92"/>
      <c r="AL633" s="92"/>
      <c r="AM633" s="92"/>
      <c r="AN633" s="92"/>
      <c r="AO633" s="92"/>
      <c r="AP633" s="92"/>
      <c r="AQ633" s="92"/>
      <c r="AR633" s="92"/>
      <c r="AS633" s="92"/>
      <c r="AT633" s="92"/>
      <c r="AU633" s="92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</row>
    <row r="634" spans="1:64" ht="15.75" customHeight="1" x14ac:dyDescent="0.2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0"/>
      <c r="U634" s="90"/>
      <c r="V634" s="90"/>
      <c r="W634" s="90"/>
      <c r="X634" s="90"/>
      <c r="Y634" s="90"/>
      <c r="Z634" s="90"/>
      <c r="AA634" s="90"/>
      <c r="AB634" s="91"/>
      <c r="AC634" s="91"/>
      <c r="AD634" s="91"/>
      <c r="AE634" s="91"/>
      <c r="AF634" s="92"/>
      <c r="AG634" s="92"/>
      <c r="AH634" s="92"/>
      <c r="AI634" s="92"/>
      <c r="AJ634" s="92"/>
      <c r="AK634" s="92"/>
      <c r="AL634" s="92"/>
      <c r="AM634" s="92"/>
      <c r="AN634" s="92"/>
      <c r="AO634" s="92"/>
      <c r="AP634" s="92"/>
      <c r="AQ634" s="92"/>
      <c r="AR634" s="92"/>
      <c r="AS634" s="92"/>
      <c r="AT634" s="92"/>
      <c r="AU634" s="92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</row>
    <row r="635" spans="1:64" ht="15.75" customHeight="1" x14ac:dyDescent="0.2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0"/>
      <c r="U635" s="90"/>
      <c r="V635" s="90"/>
      <c r="W635" s="90"/>
      <c r="X635" s="90"/>
      <c r="Y635" s="90"/>
      <c r="Z635" s="90"/>
      <c r="AA635" s="90"/>
      <c r="AB635" s="91"/>
      <c r="AC635" s="91"/>
      <c r="AD635" s="91"/>
      <c r="AE635" s="91"/>
      <c r="AF635" s="92"/>
      <c r="AG635" s="92"/>
      <c r="AH635" s="92"/>
      <c r="AI635" s="92"/>
      <c r="AJ635" s="92"/>
      <c r="AK635" s="92"/>
      <c r="AL635" s="92"/>
      <c r="AM635" s="92"/>
      <c r="AN635" s="92"/>
      <c r="AO635" s="92"/>
      <c r="AP635" s="92"/>
      <c r="AQ635" s="92"/>
      <c r="AR635" s="92"/>
      <c r="AS635" s="92"/>
      <c r="AT635" s="92"/>
      <c r="AU635" s="92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</row>
    <row r="636" spans="1:64" ht="15.75" customHeight="1" x14ac:dyDescent="0.2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0"/>
      <c r="U636" s="90"/>
      <c r="V636" s="90"/>
      <c r="W636" s="90"/>
      <c r="X636" s="90"/>
      <c r="Y636" s="90"/>
      <c r="Z636" s="90"/>
      <c r="AA636" s="90"/>
      <c r="AB636" s="91"/>
      <c r="AC636" s="91"/>
      <c r="AD636" s="91"/>
      <c r="AE636" s="91"/>
      <c r="AF636" s="92"/>
      <c r="AG636" s="92"/>
      <c r="AH636" s="92"/>
      <c r="AI636" s="92"/>
      <c r="AJ636" s="92"/>
      <c r="AK636" s="92"/>
      <c r="AL636" s="92"/>
      <c r="AM636" s="92"/>
      <c r="AN636" s="92"/>
      <c r="AO636" s="92"/>
      <c r="AP636" s="92"/>
      <c r="AQ636" s="92"/>
      <c r="AR636" s="92"/>
      <c r="AS636" s="92"/>
      <c r="AT636" s="92"/>
      <c r="AU636" s="92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</row>
    <row r="637" spans="1:64" ht="15.75" customHeight="1" x14ac:dyDescent="0.2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0"/>
      <c r="U637" s="90"/>
      <c r="V637" s="90"/>
      <c r="W637" s="90"/>
      <c r="X637" s="90"/>
      <c r="Y637" s="90"/>
      <c r="Z637" s="90"/>
      <c r="AA637" s="90"/>
      <c r="AB637" s="91"/>
      <c r="AC637" s="91"/>
      <c r="AD637" s="91"/>
      <c r="AE637" s="91"/>
      <c r="AF637" s="92"/>
      <c r="AG637" s="92"/>
      <c r="AH637" s="92"/>
      <c r="AI637" s="92"/>
      <c r="AJ637" s="92"/>
      <c r="AK637" s="92"/>
      <c r="AL637" s="92"/>
      <c r="AM637" s="92"/>
      <c r="AN637" s="92"/>
      <c r="AO637" s="92"/>
      <c r="AP637" s="92"/>
      <c r="AQ637" s="92"/>
      <c r="AR637" s="92"/>
      <c r="AS637" s="92"/>
      <c r="AT637" s="92"/>
      <c r="AU637" s="92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</row>
    <row r="638" spans="1:64" ht="15.75" customHeight="1" x14ac:dyDescent="0.2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0"/>
      <c r="U638" s="90"/>
      <c r="V638" s="90"/>
      <c r="W638" s="90"/>
      <c r="X638" s="90"/>
      <c r="Y638" s="90"/>
      <c r="Z638" s="90"/>
      <c r="AA638" s="90"/>
      <c r="AB638" s="91"/>
      <c r="AC638" s="91"/>
      <c r="AD638" s="91"/>
      <c r="AE638" s="91"/>
      <c r="AF638" s="92"/>
      <c r="AG638" s="92"/>
      <c r="AH638" s="92"/>
      <c r="AI638" s="92"/>
      <c r="AJ638" s="92"/>
      <c r="AK638" s="92"/>
      <c r="AL638" s="92"/>
      <c r="AM638" s="92"/>
      <c r="AN638" s="92"/>
      <c r="AO638" s="92"/>
      <c r="AP638" s="92"/>
      <c r="AQ638" s="92"/>
      <c r="AR638" s="92"/>
      <c r="AS638" s="92"/>
      <c r="AT638" s="92"/>
      <c r="AU638" s="92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</row>
    <row r="639" spans="1:64" ht="15.75" customHeight="1" x14ac:dyDescent="0.2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0"/>
      <c r="U639" s="90"/>
      <c r="V639" s="90"/>
      <c r="W639" s="90"/>
      <c r="X639" s="90"/>
      <c r="Y639" s="90"/>
      <c r="Z639" s="90"/>
      <c r="AA639" s="90"/>
      <c r="AB639" s="91"/>
      <c r="AC639" s="91"/>
      <c r="AD639" s="91"/>
      <c r="AE639" s="91"/>
      <c r="AF639" s="92"/>
      <c r="AG639" s="92"/>
      <c r="AH639" s="92"/>
      <c r="AI639" s="92"/>
      <c r="AJ639" s="92"/>
      <c r="AK639" s="92"/>
      <c r="AL639" s="92"/>
      <c r="AM639" s="92"/>
      <c r="AN639" s="92"/>
      <c r="AO639" s="92"/>
      <c r="AP639" s="92"/>
      <c r="AQ639" s="92"/>
      <c r="AR639" s="92"/>
      <c r="AS639" s="92"/>
      <c r="AT639" s="92"/>
      <c r="AU639" s="92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</row>
    <row r="640" spans="1:64" ht="15.75" customHeight="1" x14ac:dyDescent="0.2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0"/>
      <c r="U640" s="90"/>
      <c r="V640" s="90"/>
      <c r="W640" s="90"/>
      <c r="X640" s="90"/>
      <c r="Y640" s="90"/>
      <c r="Z640" s="90"/>
      <c r="AA640" s="90"/>
      <c r="AB640" s="91"/>
      <c r="AC640" s="91"/>
      <c r="AD640" s="91"/>
      <c r="AE640" s="91"/>
      <c r="AF640" s="92"/>
      <c r="AG640" s="92"/>
      <c r="AH640" s="92"/>
      <c r="AI640" s="92"/>
      <c r="AJ640" s="92"/>
      <c r="AK640" s="92"/>
      <c r="AL640" s="92"/>
      <c r="AM640" s="92"/>
      <c r="AN640" s="92"/>
      <c r="AO640" s="92"/>
      <c r="AP640" s="92"/>
      <c r="AQ640" s="92"/>
      <c r="AR640" s="92"/>
      <c r="AS640" s="92"/>
      <c r="AT640" s="92"/>
      <c r="AU640" s="92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</row>
    <row r="641" spans="1:64" ht="15.75" customHeight="1" x14ac:dyDescent="0.2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0"/>
      <c r="U641" s="90"/>
      <c r="V641" s="90"/>
      <c r="W641" s="90"/>
      <c r="X641" s="90"/>
      <c r="Y641" s="90"/>
      <c r="Z641" s="90"/>
      <c r="AA641" s="90"/>
      <c r="AB641" s="91"/>
      <c r="AC641" s="91"/>
      <c r="AD641" s="91"/>
      <c r="AE641" s="91"/>
      <c r="AF641" s="92"/>
      <c r="AG641" s="92"/>
      <c r="AH641" s="92"/>
      <c r="AI641" s="92"/>
      <c r="AJ641" s="92"/>
      <c r="AK641" s="92"/>
      <c r="AL641" s="92"/>
      <c r="AM641" s="92"/>
      <c r="AN641" s="92"/>
      <c r="AO641" s="92"/>
      <c r="AP641" s="92"/>
      <c r="AQ641" s="92"/>
      <c r="AR641" s="92"/>
      <c r="AS641" s="92"/>
      <c r="AT641" s="92"/>
      <c r="AU641" s="92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</row>
    <row r="642" spans="1:64" ht="15.75" customHeight="1" x14ac:dyDescent="0.2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0"/>
      <c r="U642" s="90"/>
      <c r="V642" s="90"/>
      <c r="W642" s="90"/>
      <c r="X642" s="90"/>
      <c r="Y642" s="90"/>
      <c r="Z642" s="90"/>
      <c r="AA642" s="90"/>
      <c r="AB642" s="91"/>
      <c r="AC642" s="91"/>
      <c r="AD642" s="91"/>
      <c r="AE642" s="91"/>
      <c r="AF642" s="92"/>
      <c r="AG642" s="92"/>
      <c r="AH642" s="92"/>
      <c r="AI642" s="92"/>
      <c r="AJ642" s="92"/>
      <c r="AK642" s="92"/>
      <c r="AL642" s="92"/>
      <c r="AM642" s="92"/>
      <c r="AN642" s="92"/>
      <c r="AO642" s="92"/>
      <c r="AP642" s="92"/>
      <c r="AQ642" s="92"/>
      <c r="AR642" s="92"/>
      <c r="AS642" s="92"/>
      <c r="AT642" s="92"/>
      <c r="AU642" s="92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</row>
    <row r="643" spans="1:64" ht="15.75" customHeight="1" x14ac:dyDescent="0.2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0"/>
      <c r="U643" s="90"/>
      <c r="V643" s="90"/>
      <c r="W643" s="90"/>
      <c r="X643" s="90"/>
      <c r="Y643" s="90"/>
      <c r="Z643" s="90"/>
      <c r="AA643" s="90"/>
      <c r="AB643" s="91"/>
      <c r="AC643" s="91"/>
      <c r="AD643" s="91"/>
      <c r="AE643" s="91"/>
      <c r="AF643" s="92"/>
      <c r="AG643" s="92"/>
      <c r="AH643" s="92"/>
      <c r="AI643" s="92"/>
      <c r="AJ643" s="92"/>
      <c r="AK643" s="92"/>
      <c r="AL643" s="92"/>
      <c r="AM643" s="92"/>
      <c r="AN643" s="92"/>
      <c r="AO643" s="92"/>
      <c r="AP643" s="92"/>
      <c r="AQ643" s="92"/>
      <c r="AR643" s="92"/>
      <c r="AS643" s="92"/>
      <c r="AT643" s="92"/>
      <c r="AU643" s="92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</row>
    <row r="644" spans="1:64" ht="15.75" customHeight="1" x14ac:dyDescent="0.2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0"/>
      <c r="U644" s="90"/>
      <c r="V644" s="90"/>
      <c r="W644" s="90"/>
      <c r="X644" s="90"/>
      <c r="Y644" s="90"/>
      <c r="Z644" s="90"/>
      <c r="AA644" s="90"/>
      <c r="AB644" s="91"/>
      <c r="AC644" s="91"/>
      <c r="AD644" s="91"/>
      <c r="AE644" s="91"/>
      <c r="AF644" s="92"/>
      <c r="AG644" s="92"/>
      <c r="AH644" s="92"/>
      <c r="AI644" s="92"/>
      <c r="AJ644" s="92"/>
      <c r="AK644" s="92"/>
      <c r="AL644" s="92"/>
      <c r="AM644" s="92"/>
      <c r="AN644" s="92"/>
      <c r="AO644" s="92"/>
      <c r="AP644" s="92"/>
      <c r="AQ644" s="92"/>
      <c r="AR644" s="92"/>
      <c r="AS644" s="92"/>
      <c r="AT644" s="92"/>
      <c r="AU644" s="92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</row>
    <row r="645" spans="1:64" ht="15.75" customHeight="1" x14ac:dyDescent="0.2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0"/>
      <c r="U645" s="90"/>
      <c r="V645" s="90"/>
      <c r="W645" s="90"/>
      <c r="X645" s="90"/>
      <c r="Y645" s="90"/>
      <c r="Z645" s="90"/>
      <c r="AA645" s="90"/>
      <c r="AB645" s="91"/>
      <c r="AC645" s="91"/>
      <c r="AD645" s="91"/>
      <c r="AE645" s="91"/>
      <c r="AF645" s="92"/>
      <c r="AG645" s="92"/>
      <c r="AH645" s="92"/>
      <c r="AI645" s="92"/>
      <c r="AJ645" s="92"/>
      <c r="AK645" s="92"/>
      <c r="AL645" s="92"/>
      <c r="AM645" s="92"/>
      <c r="AN645" s="92"/>
      <c r="AO645" s="92"/>
      <c r="AP645" s="92"/>
      <c r="AQ645" s="92"/>
      <c r="AR645" s="92"/>
      <c r="AS645" s="92"/>
      <c r="AT645" s="92"/>
      <c r="AU645" s="92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</row>
    <row r="646" spans="1:64" ht="15.75" customHeight="1" x14ac:dyDescent="0.2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0"/>
      <c r="U646" s="90"/>
      <c r="V646" s="90"/>
      <c r="W646" s="90"/>
      <c r="X646" s="90"/>
      <c r="Y646" s="90"/>
      <c r="Z646" s="90"/>
      <c r="AA646" s="90"/>
      <c r="AB646" s="91"/>
      <c r="AC646" s="91"/>
      <c r="AD646" s="91"/>
      <c r="AE646" s="91"/>
      <c r="AF646" s="92"/>
      <c r="AG646" s="92"/>
      <c r="AH646" s="92"/>
      <c r="AI646" s="92"/>
      <c r="AJ646" s="92"/>
      <c r="AK646" s="92"/>
      <c r="AL646" s="92"/>
      <c r="AM646" s="92"/>
      <c r="AN646" s="92"/>
      <c r="AO646" s="92"/>
      <c r="AP646" s="92"/>
      <c r="AQ646" s="92"/>
      <c r="AR646" s="92"/>
      <c r="AS646" s="92"/>
      <c r="AT646" s="92"/>
      <c r="AU646" s="92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</row>
    <row r="647" spans="1:64" ht="15.75" customHeight="1" x14ac:dyDescent="0.2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0"/>
      <c r="U647" s="90"/>
      <c r="V647" s="90"/>
      <c r="W647" s="90"/>
      <c r="X647" s="90"/>
      <c r="Y647" s="90"/>
      <c r="Z647" s="90"/>
      <c r="AA647" s="90"/>
      <c r="AB647" s="91"/>
      <c r="AC647" s="91"/>
      <c r="AD647" s="91"/>
      <c r="AE647" s="91"/>
      <c r="AF647" s="92"/>
      <c r="AG647" s="92"/>
      <c r="AH647" s="92"/>
      <c r="AI647" s="92"/>
      <c r="AJ647" s="92"/>
      <c r="AK647" s="92"/>
      <c r="AL647" s="92"/>
      <c r="AM647" s="92"/>
      <c r="AN647" s="92"/>
      <c r="AO647" s="92"/>
      <c r="AP647" s="92"/>
      <c r="AQ647" s="92"/>
      <c r="AR647" s="92"/>
      <c r="AS647" s="92"/>
      <c r="AT647" s="92"/>
      <c r="AU647" s="92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</row>
    <row r="648" spans="1:64" ht="15.75" customHeight="1" x14ac:dyDescent="0.2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0"/>
      <c r="U648" s="90"/>
      <c r="V648" s="90"/>
      <c r="W648" s="90"/>
      <c r="X648" s="90"/>
      <c r="Y648" s="90"/>
      <c r="Z648" s="90"/>
      <c r="AA648" s="90"/>
      <c r="AB648" s="91"/>
      <c r="AC648" s="91"/>
      <c r="AD648" s="91"/>
      <c r="AE648" s="91"/>
      <c r="AF648" s="92"/>
      <c r="AG648" s="92"/>
      <c r="AH648" s="92"/>
      <c r="AI648" s="92"/>
      <c r="AJ648" s="92"/>
      <c r="AK648" s="92"/>
      <c r="AL648" s="92"/>
      <c r="AM648" s="92"/>
      <c r="AN648" s="92"/>
      <c r="AO648" s="92"/>
      <c r="AP648" s="92"/>
      <c r="AQ648" s="92"/>
      <c r="AR648" s="92"/>
      <c r="AS648" s="92"/>
      <c r="AT648" s="92"/>
      <c r="AU648" s="92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</row>
    <row r="649" spans="1:64" ht="15.75" customHeight="1" x14ac:dyDescent="0.2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0"/>
      <c r="U649" s="90"/>
      <c r="V649" s="90"/>
      <c r="W649" s="90"/>
      <c r="X649" s="90"/>
      <c r="Y649" s="90"/>
      <c r="Z649" s="90"/>
      <c r="AA649" s="90"/>
      <c r="AB649" s="91"/>
      <c r="AC649" s="91"/>
      <c r="AD649" s="91"/>
      <c r="AE649" s="91"/>
      <c r="AF649" s="92"/>
      <c r="AG649" s="92"/>
      <c r="AH649" s="92"/>
      <c r="AI649" s="92"/>
      <c r="AJ649" s="92"/>
      <c r="AK649" s="92"/>
      <c r="AL649" s="92"/>
      <c r="AM649" s="92"/>
      <c r="AN649" s="92"/>
      <c r="AO649" s="92"/>
      <c r="AP649" s="92"/>
      <c r="AQ649" s="92"/>
      <c r="AR649" s="92"/>
      <c r="AS649" s="92"/>
      <c r="AT649" s="92"/>
      <c r="AU649" s="92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</row>
    <row r="650" spans="1:64" ht="15.75" customHeight="1" x14ac:dyDescent="0.2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0"/>
      <c r="U650" s="90"/>
      <c r="V650" s="90"/>
      <c r="W650" s="90"/>
      <c r="X650" s="90"/>
      <c r="Y650" s="90"/>
      <c r="Z650" s="90"/>
      <c r="AA650" s="90"/>
      <c r="AB650" s="91"/>
      <c r="AC650" s="91"/>
      <c r="AD650" s="91"/>
      <c r="AE650" s="91"/>
      <c r="AF650" s="92"/>
      <c r="AG650" s="92"/>
      <c r="AH650" s="92"/>
      <c r="AI650" s="92"/>
      <c r="AJ650" s="92"/>
      <c r="AK650" s="92"/>
      <c r="AL650" s="92"/>
      <c r="AM650" s="92"/>
      <c r="AN650" s="92"/>
      <c r="AO650" s="92"/>
      <c r="AP650" s="92"/>
      <c r="AQ650" s="92"/>
      <c r="AR650" s="92"/>
      <c r="AS650" s="92"/>
      <c r="AT650" s="92"/>
      <c r="AU650" s="92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</row>
    <row r="651" spans="1:64" ht="15.75" customHeight="1" x14ac:dyDescent="0.2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0"/>
      <c r="U651" s="90"/>
      <c r="V651" s="90"/>
      <c r="W651" s="90"/>
      <c r="X651" s="90"/>
      <c r="Y651" s="90"/>
      <c r="Z651" s="90"/>
      <c r="AA651" s="90"/>
      <c r="AB651" s="91"/>
      <c r="AC651" s="91"/>
      <c r="AD651" s="91"/>
      <c r="AE651" s="91"/>
      <c r="AF651" s="92"/>
      <c r="AG651" s="92"/>
      <c r="AH651" s="92"/>
      <c r="AI651" s="92"/>
      <c r="AJ651" s="92"/>
      <c r="AK651" s="92"/>
      <c r="AL651" s="92"/>
      <c r="AM651" s="92"/>
      <c r="AN651" s="92"/>
      <c r="AO651" s="92"/>
      <c r="AP651" s="92"/>
      <c r="AQ651" s="92"/>
      <c r="AR651" s="92"/>
      <c r="AS651" s="92"/>
      <c r="AT651" s="92"/>
      <c r="AU651" s="92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</row>
    <row r="652" spans="1:64" ht="15.75" customHeight="1" x14ac:dyDescent="0.2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0"/>
      <c r="U652" s="90"/>
      <c r="V652" s="90"/>
      <c r="W652" s="90"/>
      <c r="X652" s="90"/>
      <c r="Y652" s="90"/>
      <c r="Z652" s="90"/>
      <c r="AA652" s="90"/>
      <c r="AB652" s="91"/>
      <c r="AC652" s="91"/>
      <c r="AD652" s="91"/>
      <c r="AE652" s="91"/>
      <c r="AF652" s="92"/>
      <c r="AG652" s="92"/>
      <c r="AH652" s="92"/>
      <c r="AI652" s="92"/>
      <c r="AJ652" s="92"/>
      <c r="AK652" s="92"/>
      <c r="AL652" s="92"/>
      <c r="AM652" s="92"/>
      <c r="AN652" s="92"/>
      <c r="AO652" s="92"/>
      <c r="AP652" s="92"/>
      <c r="AQ652" s="92"/>
      <c r="AR652" s="92"/>
      <c r="AS652" s="92"/>
      <c r="AT652" s="92"/>
      <c r="AU652" s="92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</row>
    <row r="653" spans="1:64" ht="15.75" customHeight="1" x14ac:dyDescent="0.2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0"/>
      <c r="U653" s="90"/>
      <c r="V653" s="90"/>
      <c r="W653" s="90"/>
      <c r="X653" s="90"/>
      <c r="Y653" s="90"/>
      <c r="Z653" s="90"/>
      <c r="AA653" s="90"/>
      <c r="AB653" s="91"/>
      <c r="AC653" s="91"/>
      <c r="AD653" s="91"/>
      <c r="AE653" s="91"/>
      <c r="AF653" s="92"/>
      <c r="AG653" s="92"/>
      <c r="AH653" s="92"/>
      <c r="AI653" s="92"/>
      <c r="AJ653" s="92"/>
      <c r="AK653" s="92"/>
      <c r="AL653" s="92"/>
      <c r="AM653" s="92"/>
      <c r="AN653" s="92"/>
      <c r="AO653" s="92"/>
      <c r="AP653" s="92"/>
      <c r="AQ653" s="92"/>
      <c r="AR653" s="92"/>
      <c r="AS653" s="92"/>
      <c r="AT653" s="92"/>
      <c r="AU653" s="92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</row>
    <row r="654" spans="1:64" ht="15.75" customHeight="1" x14ac:dyDescent="0.2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0"/>
      <c r="U654" s="90"/>
      <c r="V654" s="90"/>
      <c r="W654" s="90"/>
      <c r="X654" s="90"/>
      <c r="Y654" s="90"/>
      <c r="Z654" s="90"/>
      <c r="AA654" s="90"/>
      <c r="AB654" s="91"/>
      <c r="AC654" s="91"/>
      <c r="AD654" s="91"/>
      <c r="AE654" s="91"/>
      <c r="AF654" s="92"/>
      <c r="AG654" s="92"/>
      <c r="AH654" s="92"/>
      <c r="AI654" s="92"/>
      <c r="AJ654" s="92"/>
      <c r="AK654" s="92"/>
      <c r="AL654" s="92"/>
      <c r="AM654" s="92"/>
      <c r="AN654" s="92"/>
      <c r="AO654" s="92"/>
      <c r="AP654" s="92"/>
      <c r="AQ654" s="92"/>
      <c r="AR654" s="92"/>
      <c r="AS654" s="92"/>
      <c r="AT654" s="92"/>
      <c r="AU654" s="92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</row>
    <row r="655" spans="1:64" ht="15.75" customHeight="1" x14ac:dyDescent="0.2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0"/>
      <c r="U655" s="90"/>
      <c r="V655" s="90"/>
      <c r="W655" s="90"/>
      <c r="X655" s="90"/>
      <c r="Y655" s="90"/>
      <c r="Z655" s="90"/>
      <c r="AA655" s="90"/>
      <c r="AB655" s="91"/>
      <c r="AC655" s="91"/>
      <c r="AD655" s="91"/>
      <c r="AE655" s="91"/>
      <c r="AF655" s="92"/>
      <c r="AG655" s="92"/>
      <c r="AH655" s="92"/>
      <c r="AI655" s="92"/>
      <c r="AJ655" s="92"/>
      <c r="AK655" s="92"/>
      <c r="AL655" s="92"/>
      <c r="AM655" s="92"/>
      <c r="AN655" s="92"/>
      <c r="AO655" s="92"/>
      <c r="AP655" s="92"/>
      <c r="AQ655" s="92"/>
      <c r="AR655" s="92"/>
      <c r="AS655" s="92"/>
      <c r="AT655" s="92"/>
      <c r="AU655" s="92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</row>
    <row r="656" spans="1:64" ht="15.75" customHeight="1" x14ac:dyDescent="0.2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0"/>
      <c r="U656" s="90"/>
      <c r="V656" s="90"/>
      <c r="W656" s="90"/>
      <c r="X656" s="90"/>
      <c r="Y656" s="90"/>
      <c r="Z656" s="90"/>
      <c r="AA656" s="90"/>
      <c r="AB656" s="91"/>
      <c r="AC656" s="91"/>
      <c r="AD656" s="91"/>
      <c r="AE656" s="91"/>
      <c r="AF656" s="92"/>
      <c r="AG656" s="92"/>
      <c r="AH656" s="92"/>
      <c r="AI656" s="92"/>
      <c r="AJ656" s="92"/>
      <c r="AK656" s="92"/>
      <c r="AL656" s="92"/>
      <c r="AM656" s="92"/>
      <c r="AN656" s="92"/>
      <c r="AO656" s="92"/>
      <c r="AP656" s="92"/>
      <c r="AQ656" s="92"/>
      <c r="AR656" s="92"/>
      <c r="AS656" s="92"/>
      <c r="AT656" s="92"/>
      <c r="AU656" s="92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</row>
    <row r="657" spans="1:64" ht="15.75" customHeight="1" x14ac:dyDescent="0.2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0"/>
      <c r="U657" s="90"/>
      <c r="V657" s="90"/>
      <c r="W657" s="90"/>
      <c r="X657" s="90"/>
      <c r="Y657" s="90"/>
      <c r="Z657" s="90"/>
      <c r="AA657" s="90"/>
      <c r="AB657" s="91"/>
      <c r="AC657" s="91"/>
      <c r="AD657" s="91"/>
      <c r="AE657" s="91"/>
      <c r="AF657" s="92"/>
      <c r="AG657" s="92"/>
      <c r="AH657" s="92"/>
      <c r="AI657" s="92"/>
      <c r="AJ657" s="92"/>
      <c r="AK657" s="92"/>
      <c r="AL657" s="92"/>
      <c r="AM657" s="92"/>
      <c r="AN657" s="92"/>
      <c r="AO657" s="92"/>
      <c r="AP657" s="92"/>
      <c r="AQ657" s="92"/>
      <c r="AR657" s="92"/>
      <c r="AS657" s="92"/>
      <c r="AT657" s="92"/>
      <c r="AU657" s="92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</row>
    <row r="658" spans="1:64" ht="15.75" customHeight="1" x14ac:dyDescent="0.2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0"/>
      <c r="U658" s="90"/>
      <c r="V658" s="90"/>
      <c r="W658" s="90"/>
      <c r="X658" s="90"/>
      <c r="Y658" s="90"/>
      <c r="Z658" s="90"/>
      <c r="AA658" s="90"/>
      <c r="AB658" s="91"/>
      <c r="AC658" s="91"/>
      <c r="AD658" s="91"/>
      <c r="AE658" s="91"/>
      <c r="AF658" s="92"/>
      <c r="AG658" s="92"/>
      <c r="AH658" s="92"/>
      <c r="AI658" s="92"/>
      <c r="AJ658" s="92"/>
      <c r="AK658" s="92"/>
      <c r="AL658" s="92"/>
      <c r="AM658" s="92"/>
      <c r="AN658" s="92"/>
      <c r="AO658" s="92"/>
      <c r="AP658" s="92"/>
      <c r="AQ658" s="92"/>
      <c r="AR658" s="92"/>
      <c r="AS658" s="92"/>
      <c r="AT658" s="92"/>
      <c r="AU658" s="92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</row>
    <row r="659" spans="1:64" ht="15.75" customHeight="1" x14ac:dyDescent="0.2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0"/>
      <c r="U659" s="90"/>
      <c r="V659" s="90"/>
      <c r="W659" s="90"/>
      <c r="X659" s="90"/>
      <c r="Y659" s="90"/>
      <c r="Z659" s="90"/>
      <c r="AA659" s="90"/>
      <c r="AB659" s="91"/>
      <c r="AC659" s="91"/>
      <c r="AD659" s="91"/>
      <c r="AE659" s="91"/>
      <c r="AF659" s="92"/>
      <c r="AG659" s="92"/>
      <c r="AH659" s="92"/>
      <c r="AI659" s="92"/>
      <c r="AJ659" s="92"/>
      <c r="AK659" s="92"/>
      <c r="AL659" s="92"/>
      <c r="AM659" s="92"/>
      <c r="AN659" s="92"/>
      <c r="AO659" s="92"/>
      <c r="AP659" s="92"/>
      <c r="AQ659" s="92"/>
      <c r="AR659" s="92"/>
      <c r="AS659" s="92"/>
      <c r="AT659" s="92"/>
      <c r="AU659" s="92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</row>
    <row r="660" spans="1:64" ht="15.75" customHeight="1" x14ac:dyDescent="0.2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0"/>
      <c r="U660" s="90"/>
      <c r="V660" s="90"/>
      <c r="W660" s="90"/>
      <c r="X660" s="90"/>
      <c r="Y660" s="90"/>
      <c r="Z660" s="90"/>
      <c r="AA660" s="90"/>
      <c r="AB660" s="91"/>
      <c r="AC660" s="91"/>
      <c r="AD660" s="91"/>
      <c r="AE660" s="91"/>
      <c r="AF660" s="92"/>
      <c r="AG660" s="92"/>
      <c r="AH660" s="92"/>
      <c r="AI660" s="92"/>
      <c r="AJ660" s="92"/>
      <c r="AK660" s="92"/>
      <c r="AL660" s="92"/>
      <c r="AM660" s="92"/>
      <c r="AN660" s="92"/>
      <c r="AO660" s="92"/>
      <c r="AP660" s="92"/>
      <c r="AQ660" s="92"/>
      <c r="AR660" s="92"/>
      <c r="AS660" s="92"/>
      <c r="AT660" s="92"/>
      <c r="AU660" s="92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</row>
    <row r="661" spans="1:64" ht="15.75" customHeight="1" x14ac:dyDescent="0.2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0"/>
      <c r="U661" s="90"/>
      <c r="V661" s="90"/>
      <c r="W661" s="90"/>
      <c r="X661" s="90"/>
      <c r="Y661" s="90"/>
      <c r="Z661" s="90"/>
      <c r="AA661" s="90"/>
      <c r="AB661" s="91"/>
      <c r="AC661" s="91"/>
      <c r="AD661" s="91"/>
      <c r="AE661" s="91"/>
      <c r="AF661" s="92"/>
      <c r="AG661" s="92"/>
      <c r="AH661" s="92"/>
      <c r="AI661" s="92"/>
      <c r="AJ661" s="92"/>
      <c r="AK661" s="92"/>
      <c r="AL661" s="92"/>
      <c r="AM661" s="92"/>
      <c r="AN661" s="92"/>
      <c r="AO661" s="92"/>
      <c r="AP661" s="92"/>
      <c r="AQ661" s="92"/>
      <c r="AR661" s="92"/>
      <c r="AS661" s="92"/>
      <c r="AT661" s="92"/>
      <c r="AU661" s="92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</row>
    <row r="662" spans="1:64" ht="15.75" customHeight="1" x14ac:dyDescent="0.2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0"/>
      <c r="U662" s="90"/>
      <c r="V662" s="90"/>
      <c r="W662" s="90"/>
      <c r="X662" s="90"/>
      <c r="Y662" s="90"/>
      <c r="Z662" s="90"/>
      <c r="AA662" s="90"/>
      <c r="AB662" s="91"/>
      <c r="AC662" s="91"/>
      <c r="AD662" s="91"/>
      <c r="AE662" s="91"/>
      <c r="AF662" s="92"/>
      <c r="AG662" s="92"/>
      <c r="AH662" s="92"/>
      <c r="AI662" s="92"/>
      <c r="AJ662" s="92"/>
      <c r="AK662" s="92"/>
      <c r="AL662" s="92"/>
      <c r="AM662" s="92"/>
      <c r="AN662" s="92"/>
      <c r="AO662" s="92"/>
      <c r="AP662" s="92"/>
      <c r="AQ662" s="92"/>
      <c r="AR662" s="92"/>
      <c r="AS662" s="92"/>
      <c r="AT662" s="92"/>
      <c r="AU662" s="92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</row>
    <row r="663" spans="1:64" ht="15.75" customHeight="1" x14ac:dyDescent="0.2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0"/>
      <c r="U663" s="90"/>
      <c r="V663" s="90"/>
      <c r="W663" s="90"/>
      <c r="X663" s="90"/>
      <c r="Y663" s="90"/>
      <c r="Z663" s="90"/>
      <c r="AA663" s="90"/>
      <c r="AB663" s="91"/>
      <c r="AC663" s="91"/>
      <c r="AD663" s="91"/>
      <c r="AE663" s="91"/>
      <c r="AF663" s="92"/>
      <c r="AG663" s="92"/>
      <c r="AH663" s="92"/>
      <c r="AI663" s="92"/>
      <c r="AJ663" s="92"/>
      <c r="AK663" s="92"/>
      <c r="AL663" s="92"/>
      <c r="AM663" s="92"/>
      <c r="AN663" s="92"/>
      <c r="AO663" s="92"/>
      <c r="AP663" s="92"/>
      <c r="AQ663" s="92"/>
      <c r="AR663" s="92"/>
      <c r="AS663" s="92"/>
      <c r="AT663" s="92"/>
      <c r="AU663" s="92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</row>
    <row r="664" spans="1:64" ht="15.75" customHeight="1" x14ac:dyDescent="0.2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0"/>
      <c r="U664" s="90"/>
      <c r="V664" s="90"/>
      <c r="W664" s="90"/>
      <c r="X664" s="90"/>
      <c r="Y664" s="90"/>
      <c r="Z664" s="90"/>
      <c r="AA664" s="90"/>
      <c r="AB664" s="91"/>
      <c r="AC664" s="91"/>
      <c r="AD664" s="91"/>
      <c r="AE664" s="91"/>
      <c r="AF664" s="92"/>
      <c r="AG664" s="92"/>
      <c r="AH664" s="92"/>
      <c r="AI664" s="92"/>
      <c r="AJ664" s="92"/>
      <c r="AK664" s="92"/>
      <c r="AL664" s="92"/>
      <c r="AM664" s="92"/>
      <c r="AN664" s="92"/>
      <c r="AO664" s="92"/>
      <c r="AP664" s="92"/>
      <c r="AQ664" s="92"/>
      <c r="AR664" s="92"/>
      <c r="AS664" s="92"/>
      <c r="AT664" s="92"/>
      <c r="AU664" s="92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</row>
    <row r="665" spans="1:64" ht="15.75" customHeight="1" x14ac:dyDescent="0.2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0"/>
      <c r="U665" s="90"/>
      <c r="V665" s="90"/>
      <c r="W665" s="90"/>
      <c r="X665" s="90"/>
      <c r="Y665" s="90"/>
      <c r="Z665" s="90"/>
      <c r="AA665" s="90"/>
      <c r="AB665" s="91"/>
      <c r="AC665" s="91"/>
      <c r="AD665" s="91"/>
      <c r="AE665" s="91"/>
      <c r="AF665" s="92"/>
      <c r="AG665" s="92"/>
      <c r="AH665" s="92"/>
      <c r="AI665" s="92"/>
      <c r="AJ665" s="92"/>
      <c r="AK665" s="92"/>
      <c r="AL665" s="92"/>
      <c r="AM665" s="92"/>
      <c r="AN665" s="92"/>
      <c r="AO665" s="92"/>
      <c r="AP665" s="92"/>
      <c r="AQ665" s="92"/>
      <c r="AR665" s="92"/>
      <c r="AS665" s="92"/>
      <c r="AT665" s="92"/>
      <c r="AU665" s="92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</row>
    <row r="666" spans="1:64" ht="15.75" customHeight="1" x14ac:dyDescent="0.2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0"/>
      <c r="U666" s="90"/>
      <c r="V666" s="90"/>
      <c r="W666" s="90"/>
      <c r="X666" s="90"/>
      <c r="Y666" s="90"/>
      <c r="Z666" s="90"/>
      <c r="AA666" s="90"/>
      <c r="AB666" s="91"/>
      <c r="AC666" s="91"/>
      <c r="AD666" s="91"/>
      <c r="AE666" s="91"/>
      <c r="AF666" s="92"/>
      <c r="AG666" s="92"/>
      <c r="AH666" s="92"/>
      <c r="AI666" s="92"/>
      <c r="AJ666" s="92"/>
      <c r="AK666" s="92"/>
      <c r="AL666" s="92"/>
      <c r="AM666" s="92"/>
      <c r="AN666" s="92"/>
      <c r="AO666" s="92"/>
      <c r="AP666" s="92"/>
      <c r="AQ666" s="92"/>
      <c r="AR666" s="92"/>
      <c r="AS666" s="92"/>
      <c r="AT666" s="92"/>
      <c r="AU666" s="92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</row>
    <row r="667" spans="1:64" ht="15.75" customHeight="1" x14ac:dyDescent="0.2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0"/>
      <c r="U667" s="90"/>
      <c r="V667" s="90"/>
      <c r="W667" s="90"/>
      <c r="X667" s="90"/>
      <c r="Y667" s="90"/>
      <c r="Z667" s="90"/>
      <c r="AA667" s="90"/>
      <c r="AB667" s="91"/>
      <c r="AC667" s="91"/>
      <c r="AD667" s="91"/>
      <c r="AE667" s="91"/>
      <c r="AF667" s="92"/>
      <c r="AG667" s="92"/>
      <c r="AH667" s="92"/>
      <c r="AI667" s="92"/>
      <c r="AJ667" s="92"/>
      <c r="AK667" s="92"/>
      <c r="AL667" s="92"/>
      <c r="AM667" s="92"/>
      <c r="AN667" s="92"/>
      <c r="AO667" s="92"/>
      <c r="AP667" s="92"/>
      <c r="AQ667" s="92"/>
      <c r="AR667" s="92"/>
      <c r="AS667" s="92"/>
      <c r="AT667" s="92"/>
      <c r="AU667" s="92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</row>
    <row r="668" spans="1:64" ht="15.75" customHeight="1" x14ac:dyDescent="0.2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0"/>
      <c r="U668" s="90"/>
      <c r="V668" s="90"/>
      <c r="W668" s="90"/>
      <c r="X668" s="90"/>
      <c r="Y668" s="90"/>
      <c r="Z668" s="90"/>
      <c r="AA668" s="90"/>
      <c r="AB668" s="91"/>
      <c r="AC668" s="91"/>
      <c r="AD668" s="91"/>
      <c r="AE668" s="91"/>
      <c r="AF668" s="92"/>
      <c r="AG668" s="92"/>
      <c r="AH668" s="92"/>
      <c r="AI668" s="92"/>
      <c r="AJ668" s="92"/>
      <c r="AK668" s="92"/>
      <c r="AL668" s="92"/>
      <c r="AM668" s="92"/>
      <c r="AN668" s="92"/>
      <c r="AO668" s="92"/>
      <c r="AP668" s="92"/>
      <c r="AQ668" s="92"/>
      <c r="AR668" s="92"/>
      <c r="AS668" s="92"/>
      <c r="AT668" s="92"/>
      <c r="AU668" s="92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</row>
    <row r="669" spans="1:64" ht="15.75" customHeight="1" x14ac:dyDescent="0.2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0"/>
      <c r="U669" s="90"/>
      <c r="V669" s="90"/>
      <c r="W669" s="90"/>
      <c r="X669" s="90"/>
      <c r="Y669" s="90"/>
      <c r="Z669" s="90"/>
      <c r="AA669" s="90"/>
      <c r="AB669" s="91"/>
      <c r="AC669" s="91"/>
      <c r="AD669" s="91"/>
      <c r="AE669" s="91"/>
      <c r="AF669" s="92"/>
      <c r="AG669" s="92"/>
      <c r="AH669" s="92"/>
      <c r="AI669" s="92"/>
      <c r="AJ669" s="92"/>
      <c r="AK669" s="92"/>
      <c r="AL669" s="92"/>
      <c r="AM669" s="92"/>
      <c r="AN669" s="92"/>
      <c r="AO669" s="92"/>
      <c r="AP669" s="92"/>
      <c r="AQ669" s="92"/>
      <c r="AR669" s="92"/>
      <c r="AS669" s="92"/>
      <c r="AT669" s="92"/>
      <c r="AU669" s="92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</row>
    <row r="670" spans="1:64" ht="15.75" customHeight="1" x14ac:dyDescent="0.2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0"/>
      <c r="U670" s="90"/>
      <c r="V670" s="90"/>
      <c r="W670" s="90"/>
      <c r="X670" s="90"/>
      <c r="Y670" s="90"/>
      <c r="Z670" s="90"/>
      <c r="AA670" s="90"/>
      <c r="AB670" s="91"/>
      <c r="AC670" s="91"/>
      <c r="AD670" s="91"/>
      <c r="AE670" s="91"/>
      <c r="AF670" s="92"/>
      <c r="AG670" s="92"/>
      <c r="AH670" s="92"/>
      <c r="AI670" s="92"/>
      <c r="AJ670" s="92"/>
      <c r="AK670" s="92"/>
      <c r="AL670" s="92"/>
      <c r="AM670" s="92"/>
      <c r="AN670" s="92"/>
      <c r="AO670" s="92"/>
      <c r="AP670" s="92"/>
      <c r="AQ670" s="92"/>
      <c r="AR670" s="92"/>
      <c r="AS670" s="92"/>
      <c r="AT670" s="92"/>
      <c r="AU670" s="92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</row>
    <row r="671" spans="1:64" ht="15.75" customHeight="1" x14ac:dyDescent="0.2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0"/>
      <c r="U671" s="90"/>
      <c r="V671" s="90"/>
      <c r="W671" s="90"/>
      <c r="X671" s="90"/>
      <c r="Y671" s="90"/>
      <c r="Z671" s="90"/>
      <c r="AA671" s="90"/>
      <c r="AB671" s="91"/>
      <c r="AC671" s="91"/>
      <c r="AD671" s="91"/>
      <c r="AE671" s="91"/>
      <c r="AF671" s="92"/>
      <c r="AG671" s="92"/>
      <c r="AH671" s="92"/>
      <c r="AI671" s="92"/>
      <c r="AJ671" s="92"/>
      <c r="AK671" s="92"/>
      <c r="AL671" s="92"/>
      <c r="AM671" s="92"/>
      <c r="AN671" s="92"/>
      <c r="AO671" s="92"/>
      <c r="AP671" s="92"/>
      <c r="AQ671" s="92"/>
      <c r="AR671" s="92"/>
      <c r="AS671" s="92"/>
      <c r="AT671" s="92"/>
      <c r="AU671" s="92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</row>
    <row r="672" spans="1:64" ht="15.75" customHeight="1" x14ac:dyDescent="0.2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0"/>
      <c r="U672" s="90"/>
      <c r="V672" s="90"/>
      <c r="W672" s="90"/>
      <c r="X672" s="90"/>
      <c r="Y672" s="90"/>
      <c r="Z672" s="90"/>
      <c r="AA672" s="90"/>
      <c r="AB672" s="91"/>
      <c r="AC672" s="91"/>
      <c r="AD672" s="91"/>
      <c r="AE672" s="91"/>
      <c r="AF672" s="92"/>
      <c r="AG672" s="92"/>
      <c r="AH672" s="92"/>
      <c r="AI672" s="92"/>
      <c r="AJ672" s="92"/>
      <c r="AK672" s="92"/>
      <c r="AL672" s="92"/>
      <c r="AM672" s="92"/>
      <c r="AN672" s="92"/>
      <c r="AO672" s="92"/>
      <c r="AP672" s="92"/>
      <c r="AQ672" s="92"/>
      <c r="AR672" s="92"/>
      <c r="AS672" s="92"/>
      <c r="AT672" s="92"/>
      <c r="AU672" s="92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</row>
    <row r="673" spans="1:64" ht="15.75" customHeight="1" x14ac:dyDescent="0.2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0"/>
      <c r="U673" s="90"/>
      <c r="V673" s="90"/>
      <c r="W673" s="90"/>
      <c r="X673" s="90"/>
      <c r="Y673" s="90"/>
      <c r="Z673" s="90"/>
      <c r="AA673" s="90"/>
      <c r="AB673" s="91"/>
      <c r="AC673" s="91"/>
      <c r="AD673" s="91"/>
      <c r="AE673" s="91"/>
      <c r="AF673" s="92"/>
      <c r="AG673" s="92"/>
      <c r="AH673" s="92"/>
      <c r="AI673" s="92"/>
      <c r="AJ673" s="92"/>
      <c r="AK673" s="92"/>
      <c r="AL673" s="92"/>
      <c r="AM673" s="92"/>
      <c r="AN673" s="92"/>
      <c r="AO673" s="92"/>
      <c r="AP673" s="92"/>
      <c r="AQ673" s="92"/>
      <c r="AR673" s="92"/>
      <c r="AS673" s="92"/>
      <c r="AT673" s="92"/>
      <c r="AU673" s="92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</row>
    <row r="674" spans="1:64" ht="15.75" customHeight="1" x14ac:dyDescent="0.2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0"/>
      <c r="U674" s="90"/>
      <c r="V674" s="90"/>
      <c r="W674" s="90"/>
      <c r="X674" s="90"/>
      <c r="Y674" s="90"/>
      <c r="Z674" s="90"/>
      <c r="AA674" s="90"/>
      <c r="AB674" s="91"/>
      <c r="AC674" s="91"/>
      <c r="AD674" s="91"/>
      <c r="AE674" s="91"/>
      <c r="AF674" s="92"/>
      <c r="AG674" s="92"/>
      <c r="AH674" s="92"/>
      <c r="AI674" s="92"/>
      <c r="AJ674" s="92"/>
      <c r="AK674" s="92"/>
      <c r="AL674" s="92"/>
      <c r="AM674" s="92"/>
      <c r="AN674" s="92"/>
      <c r="AO674" s="92"/>
      <c r="AP674" s="92"/>
      <c r="AQ674" s="92"/>
      <c r="AR674" s="92"/>
      <c r="AS674" s="92"/>
      <c r="AT674" s="92"/>
      <c r="AU674" s="92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</row>
    <row r="675" spans="1:64" ht="15.75" customHeight="1" x14ac:dyDescent="0.2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0"/>
      <c r="U675" s="90"/>
      <c r="V675" s="90"/>
      <c r="W675" s="90"/>
      <c r="X675" s="90"/>
      <c r="Y675" s="90"/>
      <c r="Z675" s="90"/>
      <c r="AA675" s="90"/>
      <c r="AB675" s="91"/>
      <c r="AC675" s="91"/>
      <c r="AD675" s="91"/>
      <c r="AE675" s="91"/>
      <c r="AF675" s="92"/>
      <c r="AG675" s="92"/>
      <c r="AH675" s="92"/>
      <c r="AI675" s="92"/>
      <c r="AJ675" s="92"/>
      <c r="AK675" s="92"/>
      <c r="AL675" s="92"/>
      <c r="AM675" s="92"/>
      <c r="AN675" s="92"/>
      <c r="AO675" s="92"/>
      <c r="AP675" s="92"/>
      <c r="AQ675" s="92"/>
      <c r="AR675" s="92"/>
      <c r="AS675" s="92"/>
      <c r="AT675" s="92"/>
      <c r="AU675" s="92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</row>
    <row r="676" spans="1:64" ht="15.75" customHeight="1" x14ac:dyDescent="0.2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0"/>
      <c r="U676" s="90"/>
      <c r="V676" s="90"/>
      <c r="W676" s="90"/>
      <c r="X676" s="90"/>
      <c r="Y676" s="90"/>
      <c r="Z676" s="90"/>
      <c r="AA676" s="90"/>
      <c r="AB676" s="91"/>
      <c r="AC676" s="91"/>
      <c r="AD676" s="91"/>
      <c r="AE676" s="91"/>
      <c r="AF676" s="92"/>
      <c r="AG676" s="92"/>
      <c r="AH676" s="92"/>
      <c r="AI676" s="92"/>
      <c r="AJ676" s="92"/>
      <c r="AK676" s="92"/>
      <c r="AL676" s="92"/>
      <c r="AM676" s="92"/>
      <c r="AN676" s="92"/>
      <c r="AO676" s="92"/>
      <c r="AP676" s="92"/>
      <c r="AQ676" s="92"/>
      <c r="AR676" s="92"/>
      <c r="AS676" s="92"/>
      <c r="AT676" s="92"/>
      <c r="AU676" s="92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</row>
    <row r="677" spans="1:64" ht="15.75" customHeight="1" x14ac:dyDescent="0.2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0"/>
      <c r="U677" s="90"/>
      <c r="V677" s="90"/>
      <c r="W677" s="90"/>
      <c r="X677" s="90"/>
      <c r="Y677" s="90"/>
      <c r="Z677" s="90"/>
      <c r="AA677" s="90"/>
      <c r="AB677" s="91"/>
      <c r="AC677" s="91"/>
      <c r="AD677" s="91"/>
      <c r="AE677" s="91"/>
      <c r="AF677" s="92"/>
      <c r="AG677" s="92"/>
      <c r="AH677" s="92"/>
      <c r="AI677" s="92"/>
      <c r="AJ677" s="92"/>
      <c r="AK677" s="92"/>
      <c r="AL677" s="92"/>
      <c r="AM677" s="92"/>
      <c r="AN677" s="92"/>
      <c r="AO677" s="92"/>
      <c r="AP677" s="92"/>
      <c r="AQ677" s="92"/>
      <c r="AR677" s="92"/>
      <c r="AS677" s="92"/>
      <c r="AT677" s="92"/>
      <c r="AU677" s="92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</row>
    <row r="678" spans="1:64" ht="15.75" customHeight="1" x14ac:dyDescent="0.2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0"/>
      <c r="U678" s="90"/>
      <c r="V678" s="90"/>
      <c r="W678" s="90"/>
      <c r="X678" s="90"/>
      <c r="Y678" s="90"/>
      <c r="Z678" s="90"/>
      <c r="AA678" s="90"/>
      <c r="AB678" s="91"/>
      <c r="AC678" s="91"/>
      <c r="AD678" s="91"/>
      <c r="AE678" s="91"/>
      <c r="AF678" s="92"/>
      <c r="AG678" s="92"/>
      <c r="AH678" s="92"/>
      <c r="AI678" s="92"/>
      <c r="AJ678" s="92"/>
      <c r="AK678" s="92"/>
      <c r="AL678" s="92"/>
      <c r="AM678" s="92"/>
      <c r="AN678" s="92"/>
      <c r="AO678" s="92"/>
      <c r="AP678" s="92"/>
      <c r="AQ678" s="92"/>
      <c r="AR678" s="92"/>
      <c r="AS678" s="92"/>
      <c r="AT678" s="92"/>
      <c r="AU678" s="92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</row>
    <row r="679" spans="1:64" ht="15.75" customHeight="1" x14ac:dyDescent="0.2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0"/>
      <c r="U679" s="90"/>
      <c r="V679" s="90"/>
      <c r="W679" s="90"/>
      <c r="X679" s="90"/>
      <c r="Y679" s="90"/>
      <c r="Z679" s="90"/>
      <c r="AA679" s="90"/>
      <c r="AB679" s="91"/>
      <c r="AC679" s="91"/>
      <c r="AD679" s="91"/>
      <c r="AE679" s="91"/>
      <c r="AF679" s="92"/>
      <c r="AG679" s="92"/>
      <c r="AH679" s="92"/>
      <c r="AI679" s="92"/>
      <c r="AJ679" s="92"/>
      <c r="AK679" s="92"/>
      <c r="AL679" s="92"/>
      <c r="AM679" s="92"/>
      <c r="AN679" s="92"/>
      <c r="AO679" s="92"/>
      <c r="AP679" s="92"/>
      <c r="AQ679" s="92"/>
      <c r="AR679" s="92"/>
      <c r="AS679" s="92"/>
      <c r="AT679" s="92"/>
      <c r="AU679" s="92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</row>
    <row r="680" spans="1:64" ht="15.75" customHeight="1" x14ac:dyDescent="0.2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0"/>
      <c r="U680" s="90"/>
      <c r="V680" s="90"/>
      <c r="W680" s="90"/>
      <c r="X680" s="90"/>
      <c r="Y680" s="90"/>
      <c r="Z680" s="90"/>
      <c r="AA680" s="90"/>
      <c r="AB680" s="91"/>
      <c r="AC680" s="91"/>
      <c r="AD680" s="91"/>
      <c r="AE680" s="91"/>
      <c r="AF680" s="92"/>
      <c r="AG680" s="92"/>
      <c r="AH680" s="92"/>
      <c r="AI680" s="92"/>
      <c r="AJ680" s="92"/>
      <c r="AK680" s="92"/>
      <c r="AL680" s="92"/>
      <c r="AM680" s="92"/>
      <c r="AN680" s="92"/>
      <c r="AO680" s="92"/>
      <c r="AP680" s="92"/>
      <c r="AQ680" s="92"/>
      <c r="AR680" s="92"/>
      <c r="AS680" s="92"/>
      <c r="AT680" s="92"/>
      <c r="AU680" s="92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</row>
    <row r="681" spans="1:64" ht="15.75" customHeight="1" x14ac:dyDescent="0.2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0"/>
      <c r="U681" s="90"/>
      <c r="V681" s="90"/>
      <c r="W681" s="90"/>
      <c r="X681" s="90"/>
      <c r="Y681" s="90"/>
      <c r="Z681" s="90"/>
      <c r="AA681" s="90"/>
      <c r="AB681" s="91"/>
      <c r="AC681" s="91"/>
      <c r="AD681" s="91"/>
      <c r="AE681" s="91"/>
      <c r="AF681" s="92"/>
      <c r="AG681" s="92"/>
      <c r="AH681" s="92"/>
      <c r="AI681" s="92"/>
      <c r="AJ681" s="92"/>
      <c r="AK681" s="92"/>
      <c r="AL681" s="92"/>
      <c r="AM681" s="92"/>
      <c r="AN681" s="92"/>
      <c r="AO681" s="92"/>
      <c r="AP681" s="92"/>
      <c r="AQ681" s="92"/>
      <c r="AR681" s="92"/>
      <c r="AS681" s="92"/>
      <c r="AT681" s="92"/>
      <c r="AU681" s="92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</row>
    <row r="682" spans="1:64" ht="15.75" customHeight="1" x14ac:dyDescent="0.2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0"/>
      <c r="U682" s="90"/>
      <c r="V682" s="90"/>
      <c r="W682" s="90"/>
      <c r="X682" s="90"/>
      <c r="Y682" s="90"/>
      <c r="Z682" s="90"/>
      <c r="AA682" s="90"/>
      <c r="AB682" s="91"/>
      <c r="AC682" s="91"/>
      <c r="AD682" s="91"/>
      <c r="AE682" s="91"/>
      <c r="AF682" s="92"/>
      <c r="AG682" s="92"/>
      <c r="AH682" s="92"/>
      <c r="AI682" s="92"/>
      <c r="AJ682" s="92"/>
      <c r="AK682" s="92"/>
      <c r="AL682" s="92"/>
      <c r="AM682" s="92"/>
      <c r="AN682" s="92"/>
      <c r="AO682" s="92"/>
      <c r="AP682" s="92"/>
      <c r="AQ682" s="92"/>
      <c r="AR682" s="92"/>
      <c r="AS682" s="92"/>
      <c r="AT682" s="92"/>
      <c r="AU682" s="92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</row>
    <row r="683" spans="1:64" ht="15.75" customHeight="1" x14ac:dyDescent="0.2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0"/>
      <c r="U683" s="90"/>
      <c r="V683" s="90"/>
      <c r="W683" s="90"/>
      <c r="X683" s="90"/>
      <c r="Y683" s="90"/>
      <c r="Z683" s="90"/>
      <c r="AA683" s="90"/>
      <c r="AB683" s="91"/>
      <c r="AC683" s="91"/>
      <c r="AD683" s="91"/>
      <c r="AE683" s="91"/>
      <c r="AF683" s="92"/>
      <c r="AG683" s="92"/>
      <c r="AH683" s="92"/>
      <c r="AI683" s="92"/>
      <c r="AJ683" s="92"/>
      <c r="AK683" s="92"/>
      <c r="AL683" s="92"/>
      <c r="AM683" s="92"/>
      <c r="AN683" s="92"/>
      <c r="AO683" s="92"/>
      <c r="AP683" s="92"/>
      <c r="AQ683" s="92"/>
      <c r="AR683" s="92"/>
      <c r="AS683" s="92"/>
      <c r="AT683" s="92"/>
      <c r="AU683" s="92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</row>
    <row r="684" spans="1:64" ht="15.75" customHeight="1" x14ac:dyDescent="0.2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0"/>
      <c r="U684" s="90"/>
      <c r="V684" s="90"/>
      <c r="W684" s="90"/>
      <c r="X684" s="90"/>
      <c r="Y684" s="90"/>
      <c r="Z684" s="90"/>
      <c r="AA684" s="90"/>
      <c r="AB684" s="91"/>
      <c r="AC684" s="91"/>
      <c r="AD684" s="91"/>
      <c r="AE684" s="91"/>
      <c r="AF684" s="92"/>
      <c r="AG684" s="92"/>
      <c r="AH684" s="92"/>
      <c r="AI684" s="92"/>
      <c r="AJ684" s="92"/>
      <c r="AK684" s="92"/>
      <c r="AL684" s="92"/>
      <c r="AM684" s="92"/>
      <c r="AN684" s="92"/>
      <c r="AO684" s="92"/>
      <c r="AP684" s="92"/>
      <c r="AQ684" s="92"/>
      <c r="AR684" s="92"/>
      <c r="AS684" s="92"/>
      <c r="AT684" s="92"/>
      <c r="AU684" s="92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</row>
    <row r="685" spans="1:64" ht="15.75" customHeight="1" x14ac:dyDescent="0.2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0"/>
      <c r="U685" s="90"/>
      <c r="V685" s="90"/>
      <c r="W685" s="90"/>
      <c r="X685" s="90"/>
      <c r="Y685" s="90"/>
      <c r="Z685" s="90"/>
      <c r="AA685" s="90"/>
      <c r="AB685" s="91"/>
      <c r="AC685" s="91"/>
      <c r="AD685" s="91"/>
      <c r="AE685" s="91"/>
      <c r="AF685" s="92"/>
      <c r="AG685" s="92"/>
      <c r="AH685" s="92"/>
      <c r="AI685" s="92"/>
      <c r="AJ685" s="92"/>
      <c r="AK685" s="92"/>
      <c r="AL685" s="92"/>
      <c r="AM685" s="92"/>
      <c r="AN685" s="92"/>
      <c r="AO685" s="92"/>
      <c r="AP685" s="92"/>
      <c r="AQ685" s="92"/>
      <c r="AR685" s="92"/>
      <c r="AS685" s="92"/>
      <c r="AT685" s="92"/>
      <c r="AU685" s="92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</row>
    <row r="686" spans="1:64" ht="15.75" customHeight="1" x14ac:dyDescent="0.2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0"/>
      <c r="U686" s="90"/>
      <c r="V686" s="90"/>
      <c r="W686" s="90"/>
      <c r="X686" s="90"/>
      <c r="Y686" s="90"/>
      <c r="Z686" s="90"/>
      <c r="AA686" s="90"/>
      <c r="AB686" s="91"/>
      <c r="AC686" s="91"/>
      <c r="AD686" s="91"/>
      <c r="AE686" s="91"/>
      <c r="AF686" s="92"/>
      <c r="AG686" s="92"/>
      <c r="AH686" s="92"/>
      <c r="AI686" s="92"/>
      <c r="AJ686" s="92"/>
      <c r="AK686" s="92"/>
      <c r="AL686" s="92"/>
      <c r="AM686" s="92"/>
      <c r="AN686" s="92"/>
      <c r="AO686" s="92"/>
      <c r="AP686" s="92"/>
      <c r="AQ686" s="92"/>
      <c r="AR686" s="92"/>
      <c r="AS686" s="92"/>
      <c r="AT686" s="92"/>
      <c r="AU686" s="92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</row>
    <row r="687" spans="1:64" ht="15.75" customHeight="1" x14ac:dyDescent="0.2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0"/>
      <c r="U687" s="90"/>
      <c r="V687" s="90"/>
      <c r="W687" s="90"/>
      <c r="X687" s="90"/>
      <c r="Y687" s="90"/>
      <c r="Z687" s="90"/>
      <c r="AA687" s="90"/>
      <c r="AB687" s="91"/>
      <c r="AC687" s="91"/>
      <c r="AD687" s="91"/>
      <c r="AE687" s="91"/>
      <c r="AF687" s="92"/>
      <c r="AG687" s="92"/>
      <c r="AH687" s="92"/>
      <c r="AI687" s="92"/>
      <c r="AJ687" s="92"/>
      <c r="AK687" s="92"/>
      <c r="AL687" s="92"/>
      <c r="AM687" s="92"/>
      <c r="AN687" s="92"/>
      <c r="AO687" s="92"/>
      <c r="AP687" s="92"/>
      <c r="AQ687" s="92"/>
      <c r="AR687" s="92"/>
      <c r="AS687" s="92"/>
      <c r="AT687" s="92"/>
      <c r="AU687" s="92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</row>
    <row r="688" spans="1:64" ht="15.75" customHeight="1" x14ac:dyDescent="0.2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0"/>
      <c r="U688" s="90"/>
      <c r="V688" s="90"/>
      <c r="W688" s="90"/>
      <c r="X688" s="90"/>
      <c r="Y688" s="90"/>
      <c r="Z688" s="90"/>
      <c r="AA688" s="90"/>
      <c r="AB688" s="91"/>
      <c r="AC688" s="91"/>
      <c r="AD688" s="91"/>
      <c r="AE688" s="91"/>
      <c r="AF688" s="92"/>
      <c r="AG688" s="92"/>
      <c r="AH688" s="92"/>
      <c r="AI688" s="92"/>
      <c r="AJ688" s="92"/>
      <c r="AK688" s="92"/>
      <c r="AL688" s="92"/>
      <c r="AM688" s="92"/>
      <c r="AN688" s="92"/>
      <c r="AO688" s="92"/>
      <c r="AP688" s="92"/>
      <c r="AQ688" s="92"/>
      <c r="AR688" s="92"/>
      <c r="AS688" s="92"/>
      <c r="AT688" s="92"/>
      <c r="AU688" s="92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</row>
    <row r="689" spans="1:64" ht="15.75" customHeight="1" x14ac:dyDescent="0.2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0"/>
      <c r="U689" s="90"/>
      <c r="V689" s="90"/>
      <c r="W689" s="90"/>
      <c r="X689" s="90"/>
      <c r="Y689" s="90"/>
      <c r="Z689" s="90"/>
      <c r="AA689" s="90"/>
      <c r="AB689" s="91"/>
      <c r="AC689" s="91"/>
      <c r="AD689" s="91"/>
      <c r="AE689" s="91"/>
      <c r="AF689" s="92"/>
      <c r="AG689" s="92"/>
      <c r="AH689" s="92"/>
      <c r="AI689" s="92"/>
      <c r="AJ689" s="92"/>
      <c r="AK689" s="92"/>
      <c r="AL689" s="92"/>
      <c r="AM689" s="92"/>
      <c r="AN689" s="92"/>
      <c r="AO689" s="92"/>
      <c r="AP689" s="92"/>
      <c r="AQ689" s="92"/>
      <c r="AR689" s="92"/>
      <c r="AS689" s="92"/>
      <c r="AT689" s="92"/>
      <c r="AU689" s="92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</row>
    <row r="690" spans="1:64" ht="15.75" customHeight="1" x14ac:dyDescent="0.2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0"/>
      <c r="U690" s="90"/>
      <c r="V690" s="90"/>
      <c r="W690" s="90"/>
      <c r="X690" s="90"/>
      <c r="Y690" s="90"/>
      <c r="Z690" s="90"/>
      <c r="AA690" s="90"/>
      <c r="AB690" s="91"/>
      <c r="AC690" s="91"/>
      <c r="AD690" s="91"/>
      <c r="AE690" s="91"/>
      <c r="AF690" s="92"/>
      <c r="AG690" s="92"/>
      <c r="AH690" s="92"/>
      <c r="AI690" s="92"/>
      <c r="AJ690" s="92"/>
      <c r="AK690" s="92"/>
      <c r="AL690" s="92"/>
      <c r="AM690" s="92"/>
      <c r="AN690" s="92"/>
      <c r="AO690" s="92"/>
      <c r="AP690" s="92"/>
      <c r="AQ690" s="92"/>
      <c r="AR690" s="92"/>
      <c r="AS690" s="92"/>
      <c r="AT690" s="92"/>
      <c r="AU690" s="92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</row>
    <row r="691" spans="1:64" ht="15.75" customHeight="1" x14ac:dyDescent="0.2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0"/>
      <c r="U691" s="90"/>
      <c r="V691" s="90"/>
      <c r="W691" s="90"/>
      <c r="X691" s="90"/>
      <c r="Y691" s="90"/>
      <c r="Z691" s="90"/>
      <c r="AA691" s="90"/>
      <c r="AB691" s="91"/>
      <c r="AC691" s="91"/>
      <c r="AD691" s="91"/>
      <c r="AE691" s="91"/>
      <c r="AF691" s="92"/>
      <c r="AG691" s="92"/>
      <c r="AH691" s="92"/>
      <c r="AI691" s="92"/>
      <c r="AJ691" s="92"/>
      <c r="AK691" s="92"/>
      <c r="AL691" s="92"/>
      <c r="AM691" s="92"/>
      <c r="AN691" s="92"/>
      <c r="AO691" s="92"/>
      <c r="AP691" s="92"/>
      <c r="AQ691" s="92"/>
      <c r="AR691" s="92"/>
      <c r="AS691" s="92"/>
      <c r="AT691" s="92"/>
      <c r="AU691" s="92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</row>
    <row r="692" spans="1:64" ht="15.75" customHeight="1" x14ac:dyDescent="0.2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0"/>
      <c r="U692" s="90"/>
      <c r="V692" s="90"/>
      <c r="W692" s="90"/>
      <c r="X692" s="90"/>
      <c r="Y692" s="90"/>
      <c r="Z692" s="90"/>
      <c r="AA692" s="90"/>
      <c r="AB692" s="91"/>
      <c r="AC692" s="91"/>
      <c r="AD692" s="91"/>
      <c r="AE692" s="91"/>
      <c r="AF692" s="92"/>
      <c r="AG692" s="92"/>
      <c r="AH692" s="92"/>
      <c r="AI692" s="92"/>
      <c r="AJ692" s="92"/>
      <c r="AK692" s="92"/>
      <c r="AL692" s="92"/>
      <c r="AM692" s="92"/>
      <c r="AN692" s="92"/>
      <c r="AO692" s="92"/>
      <c r="AP692" s="92"/>
      <c r="AQ692" s="92"/>
      <c r="AR692" s="92"/>
      <c r="AS692" s="92"/>
      <c r="AT692" s="92"/>
      <c r="AU692" s="92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</row>
    <row r="693" spans="1:64" ht="15.75" customHeight="1" x14ac:dyDescent="0.2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0"/>
      <c r="U693" s="90"/>
      <c r="V693" s="90"/>
      <c r="W693" s="90"/>
      <c r="X693" s="90"/>
      <c r="Y693" s="90"/>
      <c r="Z693" s="90"/>
      <c r="AA693" s="90"/>
      <c r="AB693" s="91"/>
      <c r="AC693" s="91"/>
      <c r="AD693" s="91"/>
      <c r="AE693" s="91"/>
      <c r="AF693" s="92"/>
      <c r="AG693" s="92"/>
      <c r="AH693" s="92"/>
      <c r="AI693" s="92"/>
      <c r="AJ693" s="92"/>
      <c r="AK693" s="92"/>
      <c r="AL693" s="92"/>
      <c r="AM693" s="92"/>
      <c r="AN693" s="92"/>
      <c r="AO693" s="92"/>
      <c r="AP693" s="92"/>
      <c r="AQ693" s="92"/>
      <c r="AR693" s="92"/>
      <c r="AS693" s="92"/>
      <c r="AT693" s="92"/>
      <c r="AU693" s="92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</row>
    <row r="694" spans="1:64" ht="15.75" customHeight="1" x14ac:dyDescent="0.2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0"/>
      <c r="U694" s="90"/>
      <c r="V694" s="90"/>
      <c r="W694" s="90"/>
      <c r="X694" s="90"/>
      <c r="Y694" s="90"/>
      <c r="Z694" s="90"/>
      <c r="AA694" s="90"/>
      <c r="AB694" s="91"/>
      <c r="AC694" s="91"/>
      <c r="AD694" s="91"/>
      <c r="AE694" s="91"/>
      <c r="AF694" s="92"/>
      <c r="AG694" s="92"/>
      <c r="AH694" s="92"/>
      <c r="AI694" s="92"/>
      <c r="AJ694" s="92"/>
      <c r="AK694" s="92"/>
      <c r="AL694" s="92"/>
      <c r="AM694" s="92"/>
      <c r="AN694" s="92"/>
      <c r="AO694" s="92"/>
      <c r="AP694" s="92"/>
      <c r="AQ694" s="92"/>
      <c r="AR694" s="92"/>
      <c r="AS694" s="92"/>
      <c r="AT694" s="92"/>
      <c r="AU694" s="92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</row>
    <row r="695" spans="1:64" ht="15.75" customHeight="1" x14ac:dyDescent="0.2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0"/>
      <c r="U695" s="90"/>
      <c r="V695" s="90"/>
      <c r="W695" s="90"/>
      <c r="X695" s="90"/>
      <c r="Y695" s="90"/>
      <c r="Z695" s="90"/>
      <c r="AA695" s="90"/>
      <c r="AB695" s="91"/>
      <c r="AC695" s="91"/>
      <c r="AD695" s="91"/>
      <c r="AE695" s="91"/>
      <c r="AF695" s="92"/>
      <c r="AG695" s="92"/>
      <c r="AH695" s="92"/>
      <c r="AI695" s="92"/>
      <c r="AJ695" s="92"/>
      <c r="AK695" s="92"/>
      <c r="AL695" s="92"/>
      <c r="AM695" s="92"/>
      <c r="AN695" s="92"/>
      <c r="AO695" s="92"/>
      <c r="AP695" s="92"/>
      <c r="AQ695" s="92"/>
      <c r="AR695" s="92"/>
      <c r="AS695" s="92"/>
      <c r="AT695" s="92"/>
      <c r="AU695" s="92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</row>
    <row r="696" spans="1:64" ht="15.75" customHeight="1" x14ac:dyDescent="0.2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0"/>
      <c r="U696" s="90"/>
      <c r="V696" s="90"/>
      <c r="W696" s="90"/>
      <c r="X696" s="90"/>
      <c r="Y696" s="90"/>
      <c r="Z696" s="90"/>
      <c r="AA696" s="90"/>
      <c r="AB696" s="91"/>
      <c r="AC696" s="91"/>
      <c r="AD696" s="91"/>
      <c r="AE696" s="91"/>
      <c r="AF696" s="92"/>
      <c r="AG696" s="92"/>
      <c r="AH696" s="92"/>
      <c r="AI696" s="92"/>
      <c r="AJ696" s="92"/>
      <c r="AK696" s="92"/>
      <c r="AL696" s="92"/>
      <c r="AM696" s="92"/>
      <c r="AN696" s="92"/>
      <c r="AO696" s="92"/>
      <c r="AP696" s="92"/>
      <c r="AQ696" s="92"/>
      <c r="AR696" s="92"/>
      <c r="AS696" s="92"/>
      <c r="AT696" s="92"/>
      <c r="AU696" s="92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</row>
    <row r="697" spans="1:64" ht="15.75" customHeight="1" x14ac:dyDescent="0.2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0"/>
      <c r="U697" s="90"/>
      <c r="V697" s="90"/>
      <c r="W697" s="90"/>
      <c r="X697" s="90"/>
      <c r="Y697" s="90"/>
      <c r="Z697" s="90"/>
      <c r="AA697" s="90"/>
      <c r="AB697" s="91"/>
      <c r="AC697" s="91"/>
      <c r="AD697" s="91"/>
      <c r="AE697" s="91"/>
      <c r="AF697" s="92"/>
      <c r="AG697" s="92"/>
      <c r="AH697" s="92"/>
      <c r="AI697" s="92"/>
      <c r="AJ697" s="92"/>
      <c r="AK697" s="92"/>
      <c r="AL697" s="92"/>
      <c r="AM697" s="92"/>
      <c r="AN697" s="92"/>
      <c r="AO697" s="92"/>
      <c r="AP697" s="92"/>
      <c r="AQ697" s="92"/>
      <c r="AR697" s="92"/>
      <c r="AS697" s="92"/>
      <c r="AT697" s="92"/>
      <c r="AU697" s="92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</row>
    <row r="698" spans="1:64" ht="15.75" customHeight="1" x14ac:dyDescent="0.2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0"/>
      <c r="U698" s="90"/>
      <c r="V698" s="90"/>
      <c r="W698" s="90"/>
      <c r="X698" s="90"/>
      <c r="Y698" s="90"/>
      <c r="Z698" s="90"/>
      <c r="AA698" s="90"/>
      <c r="AB698" s="91"/>
      <c r="AC698" s="91"/>
      <c r="AD698" s="91"/>
      <c r="AE698" s="91"/>
      <c r="AF698" s="92"/>
      <c r="AG698" s="92"/>
      <c r="AH698" s="92"/>
      <c r="AI698" s="92"/>
      <c r="AJ698" s="92"/>
      <c r="AK698" s="92"/>
      <c r="AL698" s="92"/>
      <c r="AM698" s="92"/>
      <c r="AN698" s="92"/>
      <c r="AO698" s="92"/>
      <c r="AP698" s="92"/>
      <c r="AQ698" s="92"/>
      <c r="AR698" s="92"/>
      <c r="AS698" s="92"/>
      <c r="AT698" s="92"/>
      <c r="AU698" s="92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</row>
    <row r="699" spans="1:64" ht="15.75" customHeight="1" x14ac:dyDescent="0.2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0"/>
      <c r="U699" s="90"/>
      <c r="V699" s="90"/>
      <c r="W699" s="90"/>
      <c r="X699" s="90"/>
      <c r="Y699" s="90"/>
      <c r="Z699" s="90"/>
      <c r="AA699" s="90"/>
      <c r="AB699" s="91"/>
      <c r="AC699" s="91"/>
      <c r="AD699" s="91"/>
      <c r="AE699" s="91"/>
      <c r="AF699" s="92"/>
      <c r="AG699" s="92"/>
      <c r="AH699" s="92"/>
      <c r="AI699" s="92"/>
      <c r="AJ699" s="92"/>
      <c r="AK699" s="92"/>
      <c r="AL699" s="92"/>
      <c r="AM699" s="92"/>
      <c r="AN699" s="92"/>
      <c r="AO699" s="92"/>
      <c r="AP699" s="92"/>
      <c r="AQ699" s="92"/>
      <c r="AR699" s="92"/>
      <c r="AS699" s="92"/>
      <c r="AT699" s="92"/>
      <c r="AU699" s="92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</row>
    <row r="700" spans="1:64" ht="15.75" customHeight="1" x14ac:dyDescent="0.2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0"/>
      <c r="U700" s="90"/>
      <c r="V700" s="90"/>
      <c r="W700" s="90"/>
      <c r="X700" s="90"/>
      <c r="Y700" s="90"/>
      <c r="Z700" s="90"/>
      <c r="AA700" s="90"/>
      <c r="AB700" s="91"/>
      <c r="AC700" s="91"/>
      <c r="AD700" s="91"/>
      <c r="AE700" s="91"/>
      <c r="AF700" s="92"/>
      <c r="AG700" s="92"/>
      <c r="AH700" s="92"/>
      <c r="AI700" s="92"/>
      <c r="AJ700" s="92"/>
      <c r="AK700" s="92"/>
      <c r="AL700" s="92"/>
      <c r="AM700" s="92"/>
      <c r="AN700" s="92"/>
      <c r="AO700" s="92"/>
      <c r="AP700" s="92"/>
      <c r="AQ700" s="92"/>
      <c r="AR700" s="92"/>
      <c r="AS700" s="92"/>
      <c r="AT700" s="92"/>
      <c r="AU700" s="92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</row>
    <row r="701" spans="1:64" ht="15.75" customHeight="1" x14ac:dyDescent="0.2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0"/>
      <c r="U701" s="90"/>
      <c r="V701" s="90"/>
      <c r="W701" s="90"/>
      <c r="X701" s="90"/>
      <c r="Y701" s="90"/>
      <c r="Z701" s="90"/>
      <c r="AA701" s="90"/>
      <c r="AB701" s="91"/>
      <c r="AC701" s="91"/>
      <c r="AD701" s="91"/>
      <c r="AE701" s="91"/>
      <c r="AF701" s="92"/>
      <c r="AG701" s="92"/>
      <c r="AH701" s="92"/>
      <c r="AI701" s="92"/>
      <c r="AJ701" s="92"/>
      <c r="AK701" s="92"/>
      <c r="AL701" s="92"/>
      <c r="AM701" s="92"/>
      <c r="AN701" s="92"/>
      <c r="AO701" s="92"/>
      <c r="AP701" s="92"/>
      <c r="AQ701" s="92"/>
      <c r="AR701" s="92"/>
      <c r="AS701" s="92"/>
      <c r="AT701" s="92"/>
      <c r="AU701" s="92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</row>
    <row r="702" spans="1:64" ht="15.75" customHeight="1" x14ac:dyDescent="0.2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0"/>
      <c r="U702" s="90"/>
      <c r="V702" s="90"/>
      <c r="W702" s="90"/>
      <c r="X702" s="90"/>
      <c r="Y702" s="90"/>
      <c r="Z702" s="90"/>
      <c r="AA702" s="90"/>
      <c r="AB702" s="91"/>
      <c r="AC702" s="91"/>
      <c r="AD702" s="91"/>
      <c r="AE702" s="91"/>
      <c r="AF702" s="92"/>
      <c r="AG702" s="92"/>
      <c r="AH702" s="92"/>
      <c r="AI702" s="92"/>
      <c r="AJ702" s="92"/>
      <c r="AK702" s="92"/>
      <c r="AL702" s="92"/>
      <c r="AM702" s="92"/>
      <c r="AN702" s="92"/>
      <c r="AO702" s="92"/>
      <c r="AP702" s="92"/>
      <c r="AQ702" s="92"/>
      <c r="AR702" s="92"/>
      <c r="AS702" s="92"/>
      <c r="AT702" s="92"/>
      <c r="AU702" s="92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</row>
    <row r="703" spans="1:64" ht="15.75" customHeight="1" x14ac:dyDescent="0.2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0"/>
      <c r="U703" s="90"/>
      <c r="V703" s="90"/>
      <c r="W703" s="90"/>
      <c r="X703" s="90"/>
      <c r="Y703" s="90"/>
      <c r="Z703" s="90"/>
      <c r="AA703" s="90"/>
      <c r="AB703" s="91"/>
      <c r="AC703" s="91"/>
      <c r="AD703" s="91"/>
      <c r="AE703" s="91"/>
      <c r="AF703" s="92"/>
      <c r="AG703" s="92"/>
      <c r="AH703" s="92"/>
      <c r="AI703" s="92"/>
      <c r="AJ703" s="92"/>
      <c r="AK703" s="92"/>
      <c r="AL703" s="92"/>
      <c r="AM703" s="92"/>
      <c r="AN703" s="92"/>
      <c r="AO703" s="92"/>
      <c r="AP703" s="92"/>
      <c r="AQ703" s="92"/>
      <c r="AR703" s="92"/>
      <c r="AS703" s="92"/>
      <c r="AT703" s="92"/>
      <c r="AU703" s="92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</row>
    <row r="704" spans="1:64" ht="15.75" customHeight="1" x14ac:dyDescent="0.2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0"/>
      <c r="U704" s="90"/>
      <c r="V704" s="90"/>
      <c r="W704" s="90"/>
      <c r="X704" s="90"/>
      <c r="Y704" s="90"/>
      <c r="Z704" s="90"/>
      <c r="AA704" s="90"/>
      <c r="AB704" s="91"/>
      <c r="AC704" s="91"/>
      <c r="AD704" s="91"/>
      <c r="AE704" s="91"/>
      <c r="AF704" s="92"/>
      <c r="AG704" s="92"/>
      <c r="AH704" s="92"/>
      <c r="AI704" s="92"/>
      <c r="AJ704" s="92"/>
      <c r="AK704" s="92"/>
      <c r="AL704" s="92"/>
      <c r="AM704" s="92"/>
      <c r="AN704" s="92"/>
      <c r="AO704" s="92"/>
      <c r="AP704" s="92"/>
      <c r="AQ704" s="92"/>
      <c r="AR704" s="92"/>
      <c r="AS704" s="92"/>
      <c r="AT704" s="92"/>
      <c r="AU704" s="92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</row>
    <row r="705" spans="1:64" ht="15.75" customHeight="1" x14ac:dyDescent="0.2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0"/>
      <c r="U705" s="90"/>
      <c r="V705" s="90"/>
      <c r="W705" s="90"/>
      <c r="X705" s="90"/>
      <c r="Y705" s="90"/>
      <c r="Z705" s="90"/>
      <c r="AA705" s="90"/>
      <c r="AB705" s="91"/>
      <c r="AC705" s="91"/>
      <c r="AD705" s="91"/>
      <c r="AE705" s="91"/>
      <c r="AF705" s="92"/>
      <c r="AG705" s="92"/>
      <c r="AH705" s="92"/>
      <c r="AI705" s="92"/>
      <c r="AJ705" s="92"/>
      <c r="AK705" s="92"/>
      <c r="AL705" s="92"/>
      <c r="AM705" s="92"/>
      <c r="AN705" s="92"/>
      <c r="AO705" s="92"/>
      <c r="AP705" s="92"/>
      <c r="AQ705" s="92"/>
      <c r="AR705" s="92"/>
      <c r="AS705" s="92"/>
      <c r="AT705" s="92"/>
      <c r="AU705" s="92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</row>
    <row r="706" spans="1:64" ht="15.75" customHeight="1" x14ac:dyDescent="0.2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0"/>
      <c r="U706" s="90"/>
      <c r="V706" s="90"/>
      <c r="W706" s="90"/>
      <c r="X706" s="90"/>
      <c r="Y706" s="90"/>
      <c r="Z706" s="90"/>
      <c r="AA706" s="90"/>
      <c r="AB706" s="91"/>
      <c r="AC706" s="91"/>
      <c r="AD706" s="91"/>
      <c r="AE706" s="91"/>
      <c r="AF706" s="92"/>
      <c r="AG706" s="92"/>
      <c r="AH706" s="92"/>
      <c r="AI706" s="92"/>
      <c r="AJ706" s="92"/>
      <c r="AK706" s="92"/>
      <c r="AL706" s="92"/>
      <c r="AM706" s="92"/>
      <c r="AN706" s="92"/>
      <c r="AO706" s="92"/>
      <c r="AP706" s="92"/>
      <c r="AQ706" s="92"/>
      <c r="AR706" s="92"/>
      <c r="AS706" s="92"/>
      <c r="AT706" s="92"/>
      <c r="AU706" s="92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</row>
    <row r="707" spans="1:64" ht="15.75" customHeight="1" x14ac:dyDescent="0.2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0"/>
      <c r="U707" s="90"/>
      <c r="V707" s="90"/>
      <c r="W707" s="90"/>
      <c r="X707" s="90"/>
      <c r="Y707" s="90"/>
      <c r="Z707" s="90"/>
      <c r="AA707" s="90"/>
      <c r="AB707" s="91"/>
      <c r="AC707" s="91"/>
      <c r="AD707" s="91"/>
      <c r="AE707" s="91"/>
      <c r="AF707" s="92"/>
      <c r="AG707" s="92"/>
      <c r="AH707" s="92"/>
      <c r="AI707" s="92"/>
      <c r="AJ707" s="92"/>
      <c r="AK707" s="92"/>
      <c r="AL707" s="92"/>
      <c r="AM707" s="92"/>
      <c r="AN707" s="92"/>
      <c r="AO707" s="92"/>
      <c r="AP707" s="92"/>
      <c r="AQ707" s="92"/>
      <c r="AR707" s="92"/>
      <c r="AS707" s="92"/>
      <c r="AT707" s="92"/>
      <c r="AU707" s="92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</row>
    <row r="708" spans="1:64" ht="15.75" customHeight="1" x14ac:dyDescent="0.2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0"/>
      <c r="U708" s="90"/>
      <c r="V708" s="90"/>
      <c r="W708" s="90"/>
      <c r="X708" s="90"/>
      <c r="Y708" s="90"/>
      <c r="Z708" s="90"/>
      <c r="AA708" s="90"/>
      <c r="AB708" s="91"/>
      <c r="AC708" s="91"/>
      <c r="AD708" s="91"/>
      <c r="AE708" s="91"/>
      <c r="AF708" s="92"/>
      <c r="AG708" s="92"/>
      <c r="AH708" s="92"/>
      <c r="AI708" s="92"/>
      <c r="AJ708" s="92"/>
      <c r="AK708" s="92"/>
      <c r="AL708" s="92"/>
      <c r="AM708" s="92"/>
      <c r="AN708" s="92"/>
      <c r="AO708" s="92"/>
      <c r="AP708" s="92"/>
      <c r="AQ708" s="92"/>
      <c r="AR708" s="92"/>
      <c r="AS708" s="92"/>
      <c r="AT708" s="92"/>
      <c r="AU708" s="92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</row>
    <row r="709" spans="1:64" ht="15.75" customHeight="1" x14ac:dyDescent="0.2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0"/>
      <c r="U709" s="90"/>
      <c r="V709" s="90"/>
      <c r="W709" s="90"/>
      <c r="X709" s="90"/>
      <c r="Y709" s="90"/>
      <c r="Z709" s="90"/>
      <c r="AA709" s="90"/>
      <c r="AB709" s="91"/>
      <c r="AC709" s="91"/>
      <c r="AD709" s="91"/>
      <c r="AE709" s="91"/>
      <c r="AF709" s="92"/>
      <c r="AG709" s="92"/>
      <c r="AH709" s="92"/>
      <c r="AI709" s="92"/>
      <c r="AJ709" s="92"/>
      <c r="AK709" s="92"/>
      <c r="AL709" s="92"/>
      <c r="AM709" s="92"/>
      <c r="AN709" s="92"/>
      <c r="AO709" s="92"/>
      <c r="AP709" s="92"/>
      <c r="AQ709" s="92"/>
      <c r="AR709" s="92"/>
      <c r="AS709" s="92"/>
      <c r="AT709" s="92"/>
      <c r="AU709" s="92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</row>
    <row r="710" spans="1:64" ht="15.75" customHeight="1" x14ac:dyDescent="0.2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0"/>
      <c r="U710" s="90"/>
      <c r="V710" s="90"/>
      <c r="W710" s="90"/>
      <c r="X710" s="90"/>
      <c r="Y710" s="90"/>
      <c r="Z710" s="90"/>
      <c r="AA710" s="90"/>
      <c r="AB710" s="91"/>
      <c r="AC710" s="91"/>
      <c r="AD710" s="91"/>
      <c r="AE710" s="91"/>
      <c r="AF710" s="92"/>
      <c r="AG710" s="92"/>
      <c r="AH710" s="92"/>
      <c r="AI710" s="92"/>
      <c r="AJ710" s="92"/>
      <c r="AK710" s="92"/>
      <c r="AL710" s="92"/>
      <c r="AM710" s="92"/>
      <c r="AN710" s="92"/>
      <c r="AO710" s="92"/>
      <c r="AP710" s="92"/>
      <c r="AQ710" s="92"/>
      <c r="AR710" s="92"/>
      <c r="AS710" s="92"/>
      <c r="AT710" s="92"/>
      <c r="AU710" s="92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</row>
    <row r="711" spans="1:64" ht="15.75" customHeight="1" x14ac:dyDescent="0.2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0"/>
      <c r="U711" s="90"/>
      <c r="V711" s="90"/>
      <c r="W711" s="90"/>
      <c r="X711" s="90"/>
      <c r="Y711" s="90"/>
      <c r="Z711" s="90"/>
      <c r="AA711" s="90"/>
      <c r="AB711" s="91"/>
      <c r="AC711" s="91"/>
      <c r="AD711" s="91"/>
      <c r="AE711" s="91"/>
      <c r="AF711" s="92"/>
      <c r="AG711" s="92"/>
      <c r="AH711" s="92"/>
      <c r="AI711" s="92"/>
      <c r="AJ711" s="92"/>
      <c r="AK711" s="92"/>
      <c r="AL711" s="92"/>
      <c r="AM711" s="92"/>
      <c r="AN711" s="92"/>
      <c r="AO711" s="92"/>
      <c r="AP711" s="92"/>
      <c r="AQ711" s="92"/>
      <c r="AR711" s="92"/>
      <c r="AS711" s="92"/>
      <c r="AT711" s="92"/>
      <c r="AU711" s="92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</row>
    <row r="712" spans="1:64" ht="15.75" customHeight="1" x14ac:dyDescent="0.2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0"/>
      <c r="U712" s="90"/>
      <c r="V712" s="90"/>
      <c r="W712" s="90"/>
      <c r="X712" s="90"/>
      <c r="Y712" s="90"/>
      <c r="Z712" s="90"/>
      <c r="AA712" s="90"/>
      <c r="AB712" s="91"/>
      <c r="AC712" s="91"/>
      <c r="AD712" s="91"/>
      <c r="AE712" s="91"/>
      <c r="AF712" s="92"/>
      <c r="AG712" s="92"/>
      <c r="AH712" s="92"/>
      <c r="AI712" s="92"/>
      <c r="AJ712" s="92"/>
      <c r="AK712" s="92"/>
      <c r="AL712" s="92"/>
      <c r="AM712" s="92"/>
      <c r="AN712" s="92"/>
      <c r="AO712" s="92"/>
      <c r="AP712" s="92"/>
      <c r="AQ712" s="92"/>
      <c r="AR712" s="92"/>
      <c r="AS712" s="92"/>
      <c r="AT712" s="92"/>
      <c r="AU712" s="92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</row>
    <row r="713" spans="1:64" ht="15.75" customHeight="1" x14ac:dyDescent="0.2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0"/>
      <c r="U713" s="90"/>
      <c r="V713" s="90"/>
      <c r="W713" s="90"/>
      <c r="X713" s="90"/>
      <c r="Y713" s="90"/>
      <c r="Z713" s="90"/>
      <c r="AA713" s="90"/>
      <c r="AB713" s="91"/>
      <c r="AC713" s="91"/>
      <c r="AD713" s="91"/>
      <c r="AE713" s="91"/>
      <c r="AF713" s="92"/>
      <c r="AG713" s="92"/>
      <c r="AH713" s="92"/>
      <c r="AI713" s="92"/>
      <c r="AJ713" s="92"/>
      <c r="AK713" s="92"/>
      <c r="AL713" s="92"/>
      <c r="AM713" s="92"/>
      <c r="AN713" s="92"/>
      <c r="AO713" s="92"/>
      <c r="AP713" s="92"/>
      <c r="AQ713" s="92"/>
      <c r="AR713" s="92"/>
      <c r="AS713" s="92"/>
      <c r="AT713" s="92"/>
      <c r="AU713" s="92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</row>
    <row r="714" spans="1:64" ht="15.75" customHeight="1" x14ac:dyDescent="0.2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0"/>
      <c r="U714" s="90"/>
      <c r="V714" s="90"/>
      <c r="W714" s="90"/>
      <c r="X714" s="90"/>
      <c r="Y714" s="90"/>
      <c r="Z714" s="90"/>
      <c r="AA714" s="90"/>
      <c r="AB714" s="91"/>
      <c r="AC714" s="91"/>
      <c r="AD714" s="91"/>
      <c r="AE714" s="91"/>
      <c r="AF714" s="92"/>
      <c r="AG714" s="92"/>
      <c r="AH714" s="92"/>
      <c r="AI714" s="92"/>
      <c r="AJ714" s="92"/>
      <c r="AK714" s="92"/>
      <c r="AL714" s="92"/>
      <c r="AM714" s="92"/>
      <c r="AN714" s="92"/>
      <c r="AO714" s="92"/>
      <c r="AP714" s="92"/>
      <c r="AQ714" s="92"/>
      <c r="AR714" s="92"/>
      <c r="AS714" s="92"/>
      <c r="AT714" s="92"/>
      <c r="AU714" s="92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</row>
    <row r="715" spans="1:64" ht="15.75" customHeight="1" x14ac:dyDescent="0.2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0"/>
      <c r="U715" s="90"/>
      <c r="V715" s="90"/>
      <c r="W715" s="90"/>
      <c r="X715" s="90"/>
      <c r="Y715" s="90"/>
      <c r="Z715" s="90"/>
      <c r="AA715" s="90"/>
      <c r="AB715" s="91"/>
      <c r="AC715" s="91"/>
      <c r="AD715" s="91"/>
      <c r="AE715" s="91"/>
      <c r="AF715" s="92"/>
      <c r="AG715" s="92"/>
      <c r="AH715" s="92"/>
      <c r="AI715" s="92"/>
      <c r="AJ715" s="92"/>
      <c r="AK715" s="92"/>
      <c r="AL715" s="92"/>
      <c r="AM715" s="92"/>
      <c r="AN715" s="92"/>
      <c r="AO715" s="92"/>
      <c r="AP715" s="92"/>
      <c r="AQ715" s="92"/>
      <c r="AR715" s="92"/>
      <c r="AS715" s="92"/>
      <c r="AT715" s="92"/>
      <c r="AU715" s="92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</row>
    <row r="716" spans="1:64" ht="15.75" customHeight="1" x14ac:dyDescent="0.2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0"/>
      <c r="U716" s="90"/>
      <c r="V716" s="90"/>
      <c r="W716" s="90"/>
      <c r="X716" s="90"/>
      <c r="Y716" s="90"/>
      <c r="Z716" s="90"/>
      <c r="AA716" s="90"/>
      <c r="AB716" s="91"/>
      <c r="AC716" s="91"/>
      <c r="AD716" s="91"/>
      <c r="AE716" s="91"/>
      <c r="AF716" s="92"/>
      <c r="AG716" s="92"/>
      <c r="AH716" s="92"/>
      <c r="AI716" s="92"/>
      <c r="AJ716" s="92"/>
      <c r="AK716" s="92"/>
      <c r="AL716" s="92"/>
      <c r="AM716" s="92"/>
      <c r="AN716" s="92"/>
      <c r="AO716" s="92"/>
      <c r="AP716" s="92"/>
      <c r="AQ716" s="92"/>
      <c r="AR716" s="92"/>
      <c r="AS716" s="92"/>
      <c r="AT716" s="92"/>
      <c r="AU716" s="92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</row>
    <row r="717" spans="1:64" ht="15.75" customHeight="1" x14ac:dyDescent="0.2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0"/>
      <c r="U717" s="90"/>
      <c r="V717" s="90"/>
      <c r="W717" s="90"/>
      <c r="X717" s="90"/>
      <c r="Y717" s="90"/>
      <c r="Z717" s="90"/>
      <c r="AA717" s="90"/>
      <c r="AB717" s="91"/>
      <c r="AC717" s="91"/>
      <c r="AD717" s="91"/>
      <c r="AE717" s="91"/>
      <c r="AF717" s="92"/>
      <c r="AG717" s="92"/>
      <c r="AH717" s="92"/>
      <c r="AI717" s="92"/>
      <c r="AJ717" s="92"/>
      <c r="AK717" s="92"/>
      <c r="AL717" s="92"/>
      <c r="AM717" s="92"/>
      <c r="AN717" s="92"/>
      <c r="AO717" s="92"/>
      <c r="AP717" s="92"/>
      <c r="AQ717" s="92"/>
      <c r="AR717" s="92"/>
      <c r="AS717" s="92"/>
      <c r="AT717" s="92"/>
      <c r="AU717" s="92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</row>
    <row r="718" spans="1:64" ht="15.75" customHeight="1" x14ac:dyDescent="0.2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0"/>
      <c r="U718" s="90"/>
      <c r="V718" s="90"/>
      <c r="W718" s="90"/>
      <c r="X718" s="90"/>
      <c r="Y718" s="90"/>
      <c r="Z718" s="90"/>
      <c r="AA718" s="90"/>
      <c r="AB718" s="91"/>
      <c r="AC718" s="91"/>
      <c r="AD718" s="91"/>
      <c r="AE718" s="91"/>
      <c r="AF718" s="92"/>
      <c r="AG718" s="92"/>
      <c r="AH718" s="92"/>
      <c r="AI718" s="92"/>
      <c r="AJ718" s="92"/>
      <c r="AK718" s="92"/>
      <c r="AL718" s="92"/>
      <c r="AM718" s="92"/>
      <c r="AN718" s="92"/>
      <c r="AO718" s="92"/>
      <c r="AP718" s="92"/>
      <c r="AQ718" s="92"/>
      <c r="AR718" s="92"/>
      <c r="AS718" s="92"/>
      <c r="AT718" s="92"/>
      <c r="AU718" s="92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</row>
    <row r="719" spans="1:64" ht="15.75" customHeight="1" x14ac:dyDescent="0.2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0"/>
      <c r="U719" s="90"/>
      <c r="V719" s="90"/>
      <c r="W719" s="90"/>
      <c r="X719" s="90"/>
      <c r="Y719" s="90"/>
      <c r="Z719" s="90"/>
      <c r="AA719" s="90"/>
      <c r="AB719" s="91"/>
      <c r="AC719" s="91"/>
      <c r="AD719" s="91"/>
      <c r="AE719" s="91"/>
      <c r="AF719" s="92"/>
      <c r="AG719" s="92"/>
      <c r="AH719" s="92"/>
      <c r="AI719" s="92"/>
      <c r="AJ719" s="92"/>
      <c r="AK719" s="92"/>
      <c r="AL719" s="92"/>
      <c r="AM719" s="92"/>
      <c r="AN719" s="92"/>
      <c r="AO719" s="92"/>
      <c r="AP719" s="92"/>
      <c r="AQ719" s="92"/>
      <c r="AR719" s="92"/>
      <c r="AS719" s="92"/>
      <c r="AT719" s="92"/>
      <c r="AU719" s="92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</row>
    <row r="720" spans="1:64" ht="15.75" customHeight="1" x14ac:dyDescent="0.2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0"/>
      <c r="U720" s="90"/>
      <c r="V720" s="90"/>
      <c r="W720" s="90"/>
      <c r="X720" s="90"/>
      <c r="Y720" s="90"/>
      <c r="Z720" s="90"/>
      <c r="AA720" s="90"/>
      <c r="AB720" s="91"/>
      <c r="AC720" s="91"/>
      <c r="AD720" s="91"/>
      <c r="AE720" s="91"/>
      <c r="AF720" s="92"/>
      <c r="AG720" s="92"/>
      <c r="AH720" s="92"/>
      <c r="AI720" s="92"/>
      <c r="AJ720" s="92"/>
      <c r="AK720" s="92"/>
      <c r="AL720" s="92"/>
      <c r="AM720" s="92"/>
      <c r="AN720" s="92"/>
      <c r="AO720" s="92"/>
      <c r="AP720" s="92"/>
      <c r="AQ720" s="92"/>
      <c r="AR720" s="92"/>
      <c r="AS720" s="92"/>
      <c r="AT720" s="92"/>
      <c r="AU720" s="92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</row>
    <row r="721" spans="1:64" ht="15.75" customHeight="1" x14ac:dyDescent="0.2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0"/>
      <c r="U721" s="90"/>
      <c r="V721" s="90"/>
      <c r="W721" s="90"/>
      <c r="X721" s="90"/>
      <c r="Y721" s="90"/>
      <c r="Z721" s="90"/>
      <c r="AA721" s="90"/>
      <c r="AB721" s="91"/>
      <c r="AC721" s="91"/>
      <c r="AD721" s="91"/>
      <c r="AE721" s="91"/>
      <c r="AF721" s="92"/>
      <c r="AG721" s="92"/>
      <c r="AH721" s="92"/>
      <c r="AI721" s="92"/>
      <c r="AJ721" s="92"/>
      <c r="AK721" s="92"/>
      <c r="AL721" s="92"/>
      <c r="AM721" s="92"/>
      <c r="AN721" s="92"/>
      <c r="AO721" s="92"/>
      <c r="AP721" s="92"/>
      <c r="AQ721" s="92"/>
      <c r="AR721" s="92"/>
      <c r="AS721" s="92"/>
      <c r="AT721" s="92"/>
      <c r="AU721" s="92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</row>
    <row r="722" spans="1:64" ht="15.75" customHeight="1" x14ac:dyDescent="0.2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0"/>
      <c r="U722" s="90"/>
      <c r="V722" s="90"/>
      <c r="W722" s="90"/>
      <c r="X722" s="90"/>
      <c r="Y722" s="90"/>
      <c r="Z722" s="90"/>
      <c r="AA722" s="90"/>
      <c r="AB722" s="91"/>
      <c r="AC722" s="91"/>
      <c r="AD722" s="91"/>
      <c r="AE722" s="91"/>
      <c r="AF722" s="92"/>
      <c r="AG722" s="92"/>
      <c r="AH722" s="92"/>
      <c r="AI722" s="92"/>
      <c r="AJ722" s="92"/>
      <c r="AK722" s="92"/>
      <c r="AL722" s="92"/>
      <c r="AM722" s="92"/>
      <c r="AN722" s="92"/>
      <c r="AO722" s="92"/>
      <c r="AP722" s="92"/>
      <c r="AQ722" s="92"/>
      <c r="AR722" s="92"/>
      <c r="AS722" s="92"/>
      <c r="AT722" s="92"/>
      <c r="AU722" s="92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</row>
    <row r="723" spans="1:64" ht="15.75" customHeight="1" x14ac:dyDescent="0.2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0"/>
      <c r="U723" s="90"/>
      <c r="V723" s="90"/>
      <c r="W723" s="90"/>
      <c r="X723" s="90"/>
      <c r="Y723" s="90"/>
      <c r="Z723" s="90"/>
      <c r="AA723" s="90"/>
      <c r="AB723" s="91"/>
      <c r="AC723" s="91"/>
      <c r="AD723" s="91"/>
      <c r="AE723" s="91"/>
      <c r="AF723" s="92"/>
      <c r="AG723" s="92"/>
      <c r="AH723" s="92"/>
      <c r="AI723" s="92"/>
      <c r="AJ723" s="92"/>
      <c r="AK723" s="92"/>
      <c r="AL723" s="92"/>
      <c r="AM723" s="92"/>
      <c r="AN723" s="92"/>
      <c r="AO723" s="92"/>
      <c r="AP723" s="92"/>
      <c r="AQ723" s="92"/>
      <c r="AR723" s="92"/>
      <c r="AS723" s="92"/>
      <c r="AT723" s="92"/>
      <c r="AU723" s="92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</row>
    <row r="724" spans="1:64" ht="15.75" customHeight="1" x14ac:dyDescent="0.2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0"/>
      <c r="U724" s="90"/>
      <c r="V724" s="90"/>
      <c r="W724" s="90"/>
      <c r="X724" s="90"/>
      <c r="Y724" s="90"/>
      <c r="Z724" s="90"/>
      <c r="AA724" s="90"/>
      <c r="AB724" s="91"/>
      <c r="AC724" s="91"/>
      <c r="AD724" s="91"/>
      <c r="AE724" s="91"/>
      <c r="AF724" s="92"/>
      <c r="AG724" s="92"/>
      <c r="AH724" s="92"/>
      <c r="AI724" s="92"/>
      <c r="AJ724" s="92"/>
      <c r="AK724" s="92"/>
      <c r="AL724" s="92"/>
      <c r="AM724" s="92"/>
      <c r="AN724" s="92"/>
      <c r="AO724" s="92"/>
      <c r="AP724" s="92"/>
      <c r="AQ724" s="92"/>
      <c r="AR724" s="92"/>
      <c r="AS724" s="92"/>
      <c r="AT724" s="92"/>
      <c r="AU724" s="92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</row>
    <row r="725" spans="1:64" ht="15.75" customHeight="1" x14ac:dyDescent="0.2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0"/>
      <c r="U725" s="90"/>
      <c r="V725" s="90"/>
      <c r="W725" s="90"/>
      <c r="X725" s="90"/>
      <c r="Y725" s="90"/>
      <c r="Z725" s="90"/>
      <c r="AA725" s="90"/>
      <c r="AB725" s="91"/>
      <c r="AC725" s="91"/>
      <c r="AD725" s="91"/>
      <c r="AE725" s="91"/>
      <c r="AF725" s="92"/>
      <c r="AG725" s="92"/>
      <c r="AH725" s="92"/>
      <c r="AI725" s="92"/>
      <c r="AJ725" s="92"/>
      <c r="AK725" s="92"/>
      <c r="AL725" s="92"/>
      <c r="AM725" s="92"/>
      <c r="AN725" s="92"/>
      <c r="AO725" s="92"/>
      <c r="AP725" s="92"/>
      <c r="AQ725" s="92"/>
      <c r="AR725" s="92"/>
      <c r="AS725" s="92"/>
      <c r="AT725" s="92"/>
      <c r="AU725" s="92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</row>
    <row r="726" spans="1:64" ht="15.75" customHeight="1" x14ac:dyDescent="0.2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0"/>
      <c r="U726" s="90"/>
      <c r="V726" s="90"/>
      <c r="W726" s="90"/>
      <c r="X726" s="90"/>
      <c r="Y726" s="90"/>
      <c r="Z726" s="90"/>
      <c r="AA726" s="90"/>
      <c r="AB726" s="91"/>
      <c r="AC726" s="91"/>
      <c r="AD726" s="91"/>
      <c r="AE726" s="91"/>
      <c r="AF726" s="92"/>
      <c r="AG726" s="92"/>
      <c r="AH726" s="92"/>
      <c r="AI726" s="92"/>
      <c r="AJ726" s="92"/>
      <c r="AK726" s="92"/>
      <c r="AL726" s="92"/>
      <c r="AM726" s="92"/>
      <c r="AN726" s="92"/>
      <c r="AO726" s="92"/>
      <c r="AP726" s="92"/>
      <c r="AQ726" s="92"/>
      <c r="AR726" s="92"/>
      <c r="AS726" s="92"/>
      <c r="AT726" s="92"/>
      <c r="AU726" s="92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</row>
    <row r="727" spans="1:64" ht="15.75" customHeight="1" x14ac:dyDescent="0.2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0"/>
      <c r="U727" s="90"/>
      <c r="V727" s="90"/>
      <c r="W727" s="90"/>
      <c r="X727" s="90"/>
      <c r="Y727" s="90"/>
      <c r="Z727" s="90"/>
      <c r="AA727" s="90"/>
      <c r="AB727" s="91"/>
      <c r="AC727" s="91"/>
      <c r="AD727" s="91"/>
      <c r="AE727" s="91"/>
      <c r="AF727" s="92"/>
      <c r="AG727" s="92"/>
      <c r="AH727" s="92"/>
      <c r="AI727" s="92"/>
      <c r="AJ727" s="92"/>
      <c r="AK727" s="92"/>
      <c r="AL727" s="92"/>
      <c r="AM727" s="92"/>
      <c r="AN727" s="92"/>
      <c r="AO727" s="92"/>
      <c r="AP727" s="92"/>
      <c r="AQ727" s="92"/>
      <c r="AR727" s="92"/>
      <c r="AS727" s="92"/>
      <c r="AT727" s="92"/>
      <c r="AU727" s="92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</row>
    <row r="728" spans="1:64" ht="15.75" customHeight="1" x14ac:dyDescent="0.2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0"/>
      <c r="U728" s="90"/>
      <c r="V728" s="90"/>
      <c r="W728" s="90"/>
      <c r="X728" s="90"/>
      <c r="Y728" s="90"/>
      <c r="Z728" s="90"/>
      <c r="AA728" s="90"/>
      <c r="AB728" s="91"/>
      <c r="AC728" s="91"/>
      <c r="AD728" s="91"/>
      <c r="AE728" s="91"/>
      <c r="AF728" s="92"/>
      <c r="AG728" s="92"/>
      <c r="AH728" s="92"/>
      <c r="AI728" s="92"/>
      <c r="AJ728" s="92"/>
      <c r="AK728" s="92"/>
      <c r="AL728" s="92"/>
      <c r="AM728" s="92"/>
      <c r="AN728" s="92"/>
      <c r="AO728" s="92"/>
      <c r="AP728" s="92"/>
      <c r="AQ728" s="92"/>
      <c r="AR728" s="92"/>
      <c r="AS728" s="92"/>
      <c r="AT728" s="92"/>
      <c r="AU728" s="92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</row>
    <row r="729" spans="1:64" ht="15.75" customHeight="1" x14ac:dyDescent="0.2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0"/>
      <c r="U729" s="90"/>
      <c r="V729" s="90"/>
      <c r="W729" s="90"/>
      <c r="X729" s="90"/>
      <c r="Y729" s="90"/>
      <c r="Z729" s="90"/>
      <c r="AA729" s="90"/>
      <c r="AB729" s="91"/>
      <c r="AC729" s="91"/>
      <c r="AD729" s="91"/>
      <c r="AE729" s="91"/>
      <c r="AF729" s="92"/>
      <c r="AG729" s="92"/>
      <c r="AH729" s="92"/>
      <c r="AI729" s="92"/>
      <c r="AJ729" s="92"/>
      <c r="AK729" s="92"/>
      <c r="AL729" s="92"/>
      <c r="AM729" s="92"/>
      <c r="AN729" s="92"/>
      <c r="AO729" s="92"/>
      <c r="AP729" s="92"/>
      <c r="AQ729" s="92"/>
      <c r="AR729" s="92"/>
      <c r="AS729" s="92"/>
      <c r="AT729" s="92"/>
      <c r="AU729" s="92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</row>
    <row r="730" spans="1:64" ht="15.75" customHeight="1" x14ac:dyDescent="0.2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0"/>
      <c r="U730" s="90"/>
      <c r="V730" s="90"/>
      <c r="W730" s="90"/>
      <c r="X730" s="90"/>
      <c r="Y730" s="90"/>
      <c r="Z730" s="90"/>
      <c r="AA730" s="90"/>
      <c r="AB730" s="91"/>
      <c r="AC730" s="91"/>
      <c r="AD730" s="91"/>
      <c r="AE730" s="91"/>
      <c r="AF730" s="92"/>
      <c r="AG730" s="92"/>
      <c r="AH730" s="92"/>
      <c r="AI730" s="92"/>
      <c r="AJ730" s="92"/>
      <c r="AK730" s="92"/>
      <c r="AL730" s="92"/>
      <c r="AM730" s="92"/>
      <c r="AN730" s="92"/>
      <c r="AO730" s="92"/>
      <c r="AP730" s="92"/>
      <c r="AQ730" s="92"/>
      <c r="AR730" s="92"/>
      <c r="AS730" s="92"/>
      <c r="AT730" s="92"/>
      <c r="AU730" s="92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</row>
    <row r="731" spans="1:64" ht="15.75" customHeight="1" x14ac:dyDescent="0.2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0"/>
      <c r="U731" s="90"/>
      <c r="V731" s="90"/>
      <c r="W731" s="90"/>
      <c r="X731" s="90"/>
      <c r="Y731" s="90"/>
      <c r="Z731" s="90"/>
      <c r="AA731" s="90"/>
      <c r="AB731" s="91"/>
      <c r="AC731" s="91"/>
      <c r="AD731" s="91"/>
      <c r="AE731" s="91"/>
      <c r="AF731" s="92"/>
      <c r="AG731" s="92"/>
      <c r="AH731" s="92"/>
      <c r="AI731" s="92"/>
      <c r="AJ731" s="92"/>
      <c r="AK731" s="92"/>
      <c r="AL731" s="92"/>
      <c r="AM731" s="92"/>
      <c r="AN731" s="92"/>
      <c r="AO731" s="92"/>
      <c r="AP731" s="92"/>
      <c r="AQ731" s="92"/>
      <c r="AR731" s="92"/>
      <c r="AS731" s="92"/>
      <c r="AT731" s="92"/>
      <c r="AU731" s="92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</row>
    <row r="732" spans="1:64" ht="15.75" customHeight="1" x14ac:dyDescent="0.2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0"/>
      <c r="U732" s="90"/>
      <c r="V732" s="90"/>
      <c r="W732" s="90"/>
      <c r="X732" s="90"/>
      <c r="Y732" s="90"/>
      <c r="Z732" s="90"/>
      <c r="AA732" s="90"/>
      <c r="AB732" s="91"/>
      <c r="AC732" s="91"/>
      <c r="AD732" s="91"/>
      <c r="AE732" s="91"/>
      <c r="AF732" s="92"/>
      <c r="AG732" s="92"/>
      <c r="AH732" s="92"/>
      <c r="AI732" s="92"/>
      <c r="AJ732" s="92"/>
      <c r="AK732" s="92"/>
      <c r="AL732" s="92"/>
      <c r="AM732" s="92"/>
      <c r="AN732" s="92"/>
      <c r="AO732" s="92"/>
      <c r="AP732" s="92"/>
      <c r="AQ732" s="92"/>
      <c r="AR732" s="92"/>
      <c r="AS732" s="92"/>
      <c r="AT732" s="92"/>
      <c r="AU732" s="92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</row>
    <row r="733" spans="1:64" ht="15.75" customHeight="1" x14ac:dyDescent="0.2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0"/>
      <c r="U733" s="90"/>
      <c r="V733" s="90"/>
      <c r="W733" s="90"/>
      <c r="X733" s="90"/>
      <c r="Y733" s="90"/>
      <c r="Z733" s="90"/>
      <c r="AA733" s="90"/>
      <c r="AB733" s="91"/>
      <c r="AC733" s="91"/>
      <c r="AD733" s="91"/>
      <c r="AE733" s="91"/>
      <c r="AF733" s="92"/>
      <c r="AG733" s="92"/>
      <c r="AH733" s="92"/>
      <c r="AI733" s="92"/>
      <c r="AJ733" s="92"/>
      <c r="AK733" s="92"/>
      <c r="AL733" s="92"/>
      <c r="AM733" s="92"/>
      <c r="AN733" s="92"/>
      <c r="AO733" s="92"/>
      <c r="AP733" s="92"/>
      <c r="AQ733" s="92"/>
      <c r="AR733" s="92"/>
      <c r="AS733" s="92"/>
      <c r="AT733" s="92"/>
      <c r="AU733" s="92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</row>
    <row r="734" spans="1:64" ht="15.75" customHeight="1" x14ac:dyDescent="0.2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0"/>
      <c r="U734" s="90"/>
      <c r="V734" s="90"/>
      <c r="W734" s="90"/>
      <c r="X734" s="90"/>
      <c r="Y734" s="90"/>
      <c r="Z734" s="90"/>
      <c r="AA734" s="90"/>
      <c r="AB734" s="91"/>
      <c r="AC734" s="91"/>
      <c r="AD734" s="91"/>
      <c r="AE734" s="91"/>
      <c r="AF734" s="92"/>
      <c r="AG734" s="92"/>
      <c r="AH734" s="92"/>
      <c r="AI734" s="92"/>
      <c r="AJ734" s="92"/>
      <c r="AK734" s="92"/>
      <c r="AL734" s="92"/>
      <c r="AM734" s="92"/>
      <c r="AN734" s="92"/>
      <c r="AO734" s="92"/>
      <c r="AP734" s="92"/>
      <c r="AQ734" s="92"/>
      <c r="AR734" s="92"/>
      <c r="AS734" s="92"/>
      <c r="AT734" s="92"/>
      <c r="AU734" s="92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</row>
    <row r="735" spans="1:64" ht="15.75" customHeight="1" x14ac:dyDescent="0.2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0"/>
      <c r="U735" s="90"/>
      <c r="V735" s="90"/>
      <c r="W735" s="90"/>
      <c r="X735" s="90"/>
      <c r="Y735" s="90"/>
      <c r="Z735" s="90"/>
      <c r="AA735" s="90"/>
      <c r="AB735" s="91"/>
      <c r="AC735" s="91"/>
      <c r="AD735" s="91"/>
      <c r="AE735" s="91"/>
      <c r="AF735" s="92"/>
      <c r="AG735" s="92"/>
      <c r="AH735" s="92"/>
      <c r="AI735" s="92"/>
      <c r="AJ735" s="92"/>
      <c r="AK735" s="92"/>
      <c r="AL735" s="92"/>
      <c r="AM735" s="92"/>
      <c r="AN735" s="92"/>
      <c r="AO735" s="92"/>
      <c r="AP735" s="92"/>
      <c r="AQ735" s="92"/>
      <c r="AR735" s="92"/>
      <c r="AS735" s="92"/>
      <c r="AT735" s="92"/>
      <c r="AU735" s="92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</row>
    <row r="736" spans="1:64" ht="15.75" customHeight="1" x14ac:dyDescent="0.2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0"/>
      <c r="U736" s="90"/>
      <c r="V736" s="90"/>
      <c r="W736" s="90"/>
      <c r="X736" s="90"/>
      <c r="Y736" s="90"/>
      <c r="Z736" s="90"/>
      <c r="AA736" s="90"/>
      <c r="AB736" s="91"/>
      <c r="AC736" s="91"/>
      <c r="AD736" s="91"/>
      <c r="AE736" s="91"/>
      <c r="AF736" s="92"/>
      <c r="AG736" s="92"/>
      <c r="AH736" s="92"/>
      <c r="AI736" s="92"/>
      <c r="AJ736" s="92"/>
      <c r="AK736" s="92"/>
      <c r="AL736" s="92"/>
      <c r="AM736" s="92"/>
      <c r="AN736" s="92"/>
      <c r="AO736" s="92"/>
      <c r="AP736" s="92"/>
      <c r="AQ736" s="92"/>
      <c r="AR736" s="92"/>
      <c r="AS736" s="92"/>
      <c r="AT736" s="92"/>
      <c r="AU736" s="92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</row>
    <row r="737" spans="1:64" ht="15.75" customHeight="1" x14ac:dyDescent="0.2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0"/>
      <c r="U737" s="90"/>
      <c r="V737" s="90"/>
      <c r="W737" s="90"/>
      <c r="X737" s="90"/>
      <c r="Y737" s="90"/>
      <c r="Z737" s="90"/>
      <c r="AA737" s="90"/>
      <c r="AB737" s="91"/>
      <c r="AC737" s="91"/>
      <c r="AD737" s="91"/>
      <c r="AE737" s="91"/>
      <c r="AF737" s="92"/>
      <c r="AG737" s="92"/>
      <c r="AH737" s="92"/>
      <c r="AI737" s="92"/>
      <c r="AJ737" s="92"/>
      <c r="AK737" s="92"/>
      <c r="AL737" s="92"/>
      <c r="AM737" s="92"/>
      <c r="AN737" s="92"/>
      <c r="AO737" s="92"/>
      <c r="AP737" s="92"/>
      <c r="AQ737" s="92"/>
      <c r="AR737" s="92"/>
      <c r="AS737" s="92"/>
      <c r="AT737" s="92"/>
      <c r="AU737" s="92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</row>
    <row r="738" spans="1:64" ht="15.75" customHeight="1" x14ac:dyDescent="0.2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0"/>
      <c r="U738" s="90"/>
      <c r="V738" s="90"/>
      <c r="W738" s="90"/>
      <c r="X738" s="90"/>
      <c r="Y738" s="90"/>
      <c r="Z738" s="90"/>
      <c r="AA738" s="90"/>
      <c r="AB738" s="91"/>
      <c r="AC738" s="91"/>
      <c r="AD738" s="91"/>
      <c r="AE738" s="91"/>
      <c r="AF738" s="92"/>
      <c r="AG738" s="92"/>
      <c r="AH738" s="92"/>
      <c r="AI738" s="92"/>
      <c r="AJ738" s="92"/>
      <c r="AK738" s="92"/>
      <c r="AL738" s="92"/>
      <c r="AM738" s="92"/>
      <c r="AN738" s="92"/>
      <c r="AO738" s="92"/>
      <c r="AP738" s="92"/>
      <c r="AQ738" s="92"/>
      <c r="AR738" s="92"/>
      <c r="AS738" s="92"/>
      <c r="AT738" s="92"/>
      <c r="AU738" s="92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</row>
    <row r="739" spans="1:64" ht="15.75" customHeight="1" x14ac:dyDescent="0.2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0"/>
      <c r="U739" s="90"/>
      <c r="V739" s="90"/>
      <c r="W739" s="90"/>
      <c r="X739" s="90"/>
      <c r="Y739" s="90"/>
      <c r="Z739" s="90"/>
      <c r="AA739" s="90"/>
      <c r="AB739" s="91"/>
      <c r="AC739" s="91"/>
      <c r="AD739" s="91"/>
      <c r="AE739" s="91"/>
      <c r="AF739" s="92"/>
      <c r="AG739" s="92"/>
      <c r="AH739" s="92"/>
      <c r="AI739" s="92"/>
      <c r="AJ739" s="92"/>
      <c r="AK739" s="92"/>
      <c r="AL739" s="92"/>
      <c r="AM739" s="92"/>
      <c r="AN739" s="92"/>
      <c r="AO739" s="92"/>
      <c r="AP739" s="92"/>
      <c r="AQ739" s="92"/>
      <c r="AR739" s="92"/>
      <c r="AS739" s="92"/>
      <c r="AT739" s="92"/>
      <c r="AU739" s="92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</row>
    <row r="740" spans="1:64" ht="15.75" customHeight="1" x14ac:dyDescent="0.2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0"/>
      <c r="U740" s="90"/>
      <c r="V740" s="90"/>
      <c r="W740" s="90"/>
      <c r="X740" s="90"/>
      <c r="Y740" s="90"/>
      <c r="Z740" s="90"/>
      <c r="AA740" s="90"/>
      <c r="AB740" s="91"/>
      <c r="AC740" s="91"/>
      <c r="AD740" s="91"/>
      <c r="AE740" s="91"/>
      <c r="AF740" s="92"/>
      <c r="AG740" s="92"/>
      <c r="AH740" s="92"/>
      <c r="AI740" s="92"/>
      <c r="AJ740" s="92"/>
      <c r="AK740" s="92"/>
      <c r="AL740" s="92"/>
      <c r="AM740" s="92"/>
      <c r="AN740" s="92"/>
      <c r="AO740" s="92"/>
      <c r="AP740" s="92"/>
      <c r="AQ740" s="92"/>
      <c r="AR740" s="92"/>
      <c r="AS740" s="92"/>
      <c r="AT740" s="92"/>
      <c r="AU740" s="92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</row>
    <row r="741" spans="1:64" ht="15.75" customHeight="1" x14ac:dyDescent="0.2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0"/>
      <c r="U741" s="90"/>
      <c r="V741" s="90"/>
      <c r="W741" s="90"/>
      <c r="X741" s="90"/>
      <c r="Y741" s="90"/>
      <c r="Z741" s="90"/>
      <c r="AA741" s="90"/>
      <c r="AB741" s="91"/>
      <c r="AC741" s="91"/>
      <c r="AD741" s="91"/>
      <c r="AE741" s="91"/>
      <c r="AF741" s="92"/>
      <c r="AG741" s="92"/>
      <c r="AH741" s="92"/>
      <c r="AI741" s="92"/>
      <c r="AJ741" s="92"/>
      <c r="AK741" s="92"/>
      <c r="AL741" s="92"/>
      <c r="AM741" s="92"/>
      <c r="AN741" s="92"/>
      <c r="AO741" s="92"/>
      <c r="AP741" s="92"/>
      <c r="AQ741" s="92"/>
      <c r="AR741" s="92"/>
      <c r="AS741" s="92"/>
      <c r="AT741" s="92"/>
      <c r="AU741" s="92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</row>
    <row r="742" spans="1:64" ht="15.75" customHeight="1" x14ac:dyDescent="0.2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0"/>
      <c r="U742" s="90"/>
      <c r="V742" s="90"/>
      <c r="W742" s="90"/>
      <c r="X742" s="90"/>
      <c r="Y742" s="90"/>
      <c r="Z742" s="90"/>
      <c r="AA742" s="90"/>
      <c r="AB742" s="91"/>
      <c r="AC742" s="91"/>
      <c r="AD742" s="91"/>
      <c r="AE742" s="91"/>
      <c r="AF742" s="92"/>
      <c r="AG742" s="92"/>
      <c r="AH742" s="92"/>
      <c r="AI742" s="92"/>
      <c r="AJ742" s="92"/>
      <c r="AK742" s="92"/>
      <c r="AL742" s="92"/>
      <c r="AM742" s="92"/>
      <c r="AN742" s="92"/>
      <c r="AO742" s="92"/>
      <c r="AP742" s="92"/>
      <c r="AQ742" s="92"/>
      <c r="AR742" s="92"/>
      <c r="AS742" s="92"/>
      <c r="AT742" s="92"/>
      <c r="AU742" s="92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</row>
    <row r="743" spans="1:64" ht="15.75" customHeight="1" x14ac:dyDescent="0.2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0"/>
      <c r="U743" s="90"/>
      <c r="V743" s="90"/>
      <c r="W743" s="90"/>
      <c r="X743" s="90"/>
      <c r="Y743" s="90"/>
      <c r="Z743" s="90"/>
      <c r="AA743" s="90"/>
      <c r="AB743" s="91"/>
      <c r="AC743" s="91"/>
      <c r="AD743" s="91"/>
      <c r="AE743" s="91"/>
      <c r="AF743" s="92"/>
      <c r="AG743" s="92"/>
      <c r="AH743" s="92"/>
      <c r="AI743" s="92"/>
      <c r="AJ743" s="92"/>
      <c r="AK743" s="92"/>
      <c r="AL743" s="92"/>
      <c r="AM743" s="92"/>
      <c r="AN743" s="92"/>
      <c r="AO743" s="92"/>
      <c r="AP743" s="92"/>
      <c r="AQ743" s="92"/>
      <c r="AR743" s="92"/>
      <c r="AS743" s="92"/>
      <c r="AT743" s="92"/>
      <c r="AU743" s="92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</row>
    <row r="744" spans="1:64" ht="15.75" customHeight="1" x14ac:dyDescent="0.2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0"/>
      <c r="U744" s="90"/>
      <c r="V744" s="90"/>
      <c r="W744" s="90"/>
      <c r="X744" s="90"/>
      <c r="Y744" s="90"/>
      <c r="Z744" s="90"/>
      <c r="AA744" s="90"/>
      <c r="AB744" s="91"/>
      <c r="AC744" s="91"/>
      <c r="AD744" s="91"/>
      <c r="AE744" s="91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92"/>
      <c r="AQ744" s="92"/>
      <c r="AR744" s="92"/>
      <c r="AS744" s="92"/>
      <c r="AT744" s="92"/>
      <c r="AU744" s="92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</row>
    <row r="745" spans="1:64" ht="15.75" customHeight="1" x14ac:dyDescent="0.2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0"/>
      <c r="U745" s="90"/>
      <c r="V745" s="90"/>
      <c r="W745" s="90"/>
      <c r="X745" s="90"/>
      <c r="Y745" s="90"/>
      <c r="Z745" s="90"/>
      <c r="AA745" s="90"/>
      <c r="AB745" s="91"/>
      <c r="AC745" s="91"/>
      <c r="AD745" s="91"/>
      <c r="AE745" s="91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92"/>
      <c r="AQ745" s="92"/>
      <c r="AR745" s="92"/>
      <c r="AS745" s="92"/>
      <c r="AT745" s="92"/>
      <c r="AU745" s="92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</row>
    <row r="746" spans="1:64" ht="15.75" customHeight="1" x14ac:dyDescent="0.2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0"/>
      <c r="U746" s="90"/>
      <c r="V746" s="90"/>
      <c r="W746" s="90"/>
      <c r="X746" s="90"/>
      <c r="Y746" s="90"/>
      <c r="Z746" s="90"/>
      <c r="AA746" s="90"/>
      <c r="AB746" s="91"/>
      <c r="AC746" s="91"/>
      <c r="AD746" s="91"/>
      <c r="AE746" s="91"/>
      <c r="AF746" s="92"/>
      <c r="AG746" s="92"/>
      <c r="AH746" s="92"/>
      <c r="AI746" s="92"/>
      <c r="AJ746" s="92"/>
      <c r="AK746" s="92"/>
      <c r="AL746" s="92"/>
      <c r="AM746" s="92"/>
      <c r="AN746" s="92"/>
      <c r="AO746" s="92"/>
      <c r="AP746" s="92"/>
      <c r="AQ746" s="92"/>
      <c r="AR746" s="92"/>
      <c r="AS746" s="92"/>
      <c r="AT746" s="92"/>
      <c r="AU746" s="92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</row>
    <row r="747" spans="1:64" ht="15.75" customHeight="1" x14ac:dyDescent="0.2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0"/>
      <c r="U747" s="90"/>
      <c r="V747" s="90"/>
      <c r="W747" s="90"/>
      <c r="X747" s="90"/>
      <c r="Y747" s="90"/>
      <c r="Z747" s="90"/>
      <c r="AA747" s="90"/>
      <c r="AB747" s="91"/>
      <c r="AC747" s="91"/>
      <c r="AD747" s="91"/>
      <c r="AE747" s="91"/>
      <c r="AF747" s="92"/>
      <c r="AG747" s="92"/>
      <c r="AH747" s="92"/>
      <c r="AI747" s="92"/>
      <c r="AJ747" s="92"/>
      <c r="AK747" s="92"/>
      <c r="AL747" s="92"/>
      <c r="AM747" s="92"/>
      <c r="AN747" s="92"/>
      <c r="AO747" s="92"/>
      <c r="AP747" s="92"/>
      <c r="AQ747" s="92"/>
      <c r="AR747" s="92"/>
      <c r="AS747" s="92"/>
      <c r="AT747" s="92"/>
      <c r="AU747" s="92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</row>
    <row r="748" spans="1:64" ht="15.75" customHeight="1" x14ac:dyDescent="0.2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0"/>
      <c r="U748" s="90"/>
      <c r="V748" s="90"/>
      <c r="W748" s="90"/>
      <c r="X748" s="90"/>
      <c r="Y748" s="90"/>
      <c r="Z748" s="90"/>
      <c r="AA748" s="90"/>
      <c r="AB748" s="91"/>
      <c r="AC748" s="91"/>
      <c r="AD748" s="91"/>
      <c r="AE748" s="91"/>
      <c r="AF748" s="92"/>
      <c r="AG748" s="92"/>
      <c r="AH748" s="92"/>
      <c r="AI748" s="92"/>
      <c r="AJ748" s="92"/>
      <c r="AK748" s="92"/>
      <c r="AL748" s="92"/>
      <c r="AM748" s="92"/>
      <c r="AN748" s="92"/>
      <c r="AO748" s="92"/>
      <c r="AP748" s="92"/>
      <c r="AQ748" s="92"/>
      <c r="AR748" s="92"/>
      <c r="AS748" s="92"/>
      <c r="AT748" s="92"/>
      <c r="AU748" s="92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</row>
    <row r="749" spans="1:64" ht="15.75" customHeight="1" x14ac:dyDescent="0.2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0"/>
      <c r="U749" s="90"/>
      <c r="V749" s="90"/>
      <c r="W749" s="90"/>
      <c r="X749" s="90"/>
      <c r="Y749" s="90"/>
      <c r="Z749" s="90"/>
      <c r="AA749" s="90"/>
      <c r="AB749" s="91"/>
      <c r="AC749" s="91"/>
      <c r="AD749" s="91"/>
      <c r="AE749" s="91"/>
      <c r="AF749" s="92"/>
      <c r="AG749" s="92"/>
      <c r="AH749" s="92"/>
      <c r="AI749" s="92"/>
      <c r="AJ749" s="92"/>
      <c r="AK749" s="92"/>
      <c r="AL749" s="92"/>
      <c r="AM749" s="92"/>
      <c r="AN749" s="92"/>
      <c r="AO749" s="92"/>
      <c r="AP749" s="92"/>
      <c r="AQ749" s="92"/>
      <c r="AR749" s="92"/>
      <c r="AS749" s="92"/>
      <c r="AT749" s="92"/>
      <c r="AU749" s="92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</row>
    <row r="750" spans="1:64" ht="15.75" customHeight="1" x14ac:dyDescent="0.2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0"/>
      <c r="U750" s="90"/>
      <c r="V750" s="90"/>
      <c r="W750" s="90"/>
      <c r="X750" s="90"/>
      <c r="Y750" s="90"/>
      <c r="Z750" s="90"/>
      <c r="AA750" s="90"/>
      <c r="AB750" s="91"/>
      <c r="AC750" s="91"/>
      <c r="AD750" s="91"/>
      <c r="AE750" s="91"/>
      <c r="AF750" s="92"/>
      <c r="AG750" s="92"/>
      <c r="AH750" s="92"/>
      <c r="AI750" s="92"/>
      <c r="AJ750" s="92"/>
      <c r="AK750" s="92"/>
      <c r="AL750" s="92"/>
      <c r="AM750" s="92"/>
      <c r="AN750" s="92"/>
      <c r="AO750" s="92"/>
      <c r="AP750" s="92"/>
      <c r="AQ750" s="92"/>
      <c r="AR750" s="92"/>
      <c r="AS750" s="92"/>
      <c r="AT750" s="92"/>
      <c r="AU750" s="92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</row>
    <row r="751" spans="1:64" ht="15.75" customHeight="1" x14ac:dyDescent="0.2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0"/>
      <c r="U751" s="90"/>
      <c r="V751" s="90"/>
      <c r="W751" s="90"/>
      <c r="X751" s="90"/>
      <c r="Y751" s="90"/>
      <c r="Z751" s="90"/>
      <c r="AA751" s="90"/>
      <c r="AB751" s="91"/>
      <c r="AC751" s="91"/>
      <c r="AD751" s="91"/>
      <c r="AE751" s="91"/>
      <c r="AF751" s="92"/>
      <c r="AG751" s="92"/>
      <c r="AH751" s="92"/>
      <c r="AI751" s="92"/>
      <c r="AJ751" s="92"/>
      <c r="AK751" s="92"/>
      <c r="AL751" s="92"/>
      <c r="AM751" s="92"/>
      <c r="AN751" s="92"/>
      <c r="AO751" s="92"/>
      <c r="AP751" s="92"/>
      <c r="AQ751" s="92"/>
      <c r="AR751" s="92"/>
      <c r="AS751" s="92"/>
      <c r="AT751" s="92"/>
      <c r="AU751" s="92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</row>
    <row r="752" spans="1:64" ht="15.75" customHeight="1" x14ac:dyDescent="0.2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0"/>
      <c r="U752" s="90"/>
      <c r="V752" s="90"/>
      <c r="W752" s="90"/>
      <c r="X752" s="90"/>
      <c r="Y752" s="90"/>
      <c r="Z752" s="90"/>
      <c r="AA752" s="90"/>
      <c r="AB752" s="91"/>
      <c r="AC752" s="91"/>
      <c r="AD752" s="91"/>
      <c r="AE752" s="91"/>
      <c r="AF752" s="92"/>
      <c r="AG752" s="92"/>
      <c r="AH752" s="92"/>
      <c r="AI752" s="92"/>
      <c r="AJ752" s="92"/>
      <c r="AK752" s="92"/>
      <c r="AL752" s="92"/>
      <c r="AM752" s="92"/>
      <c r="AN752" s="92"/>
      <c r="AO752" s="92"/>
      <c r="AP752" s="92"/>
      <c r="AQ752" s="92"/>
      <c r="AR752" s="92"/>
      <c r="AS752" s="92"/>
      <c r="AT752" s="92"/>
      <c r="AU752" s="92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</row>
    <row r="753" spans="1:64" ht="15.75" customHeight="1" x14ac:dyDescent="0.2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0"/>
      <c r="U753" s="90"/>
      <c r="V753" s="90"/>
      <c r="W753" s="90"/>
      <c r="X753" s="90"/>
      <c r="Y753" s="90"/>
      <c r="Z753" s="90"/>
      <c r="AA753" s="90"/>
      <c r="AB753" s="91"/>
      <c r="AC753" s="91"/>
      <c r="AD753" s="91"/>
      <c r="AE753" s="91"/>
      <c r="AF753" s="92"/>
      <c r="AG753" s="92"/>
      <c r="AH753" s="92"/>
      <c r="AI753" s="92"/>
      <c r="AJ753" s="92"/>
      <c r="AK753" s="92"/>
      <c r="AL753" s="92"/>
      <c r="AM753" s="92"/>
      <c r="AN753" s="92"/>
      <c r="AO753" s="92"/>
      <c r="AP753" s="92"/>
      <c r="AQ753" s="92"/>
      <c r="AR753" s="92"/>
      <c r="AS753" s="92"/>
      <c r="AT753" s="92"/>
      <c r="AU753" s="92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</row>
    <row r="754" spans="1:64" ht="15.75" customHeight="1" x14ac:dyDescent="0.2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0"/>
      <c r="U754" s="90"/>
      <c r="V754" s="90"/>
      <c r="W754" s="90"/>
      <c r="X754" s="90"/>
      <c r="Y754" s="90"/>
      <c r="Z754" s="90"/>
      <c r="AA754" s="90"/>
      <c r="AB754" s="91"/>
      <c r="AC754" s="91"/>
      <c r="AD754" s="91"/>
      <c r="AE754" s="91"/>
      <c r="AF754" s="92"/>
      <c r="AG754" s="92"/>
      <c r="AH754" s="92"/>
      <c r="AI754" s="92"/>
      <c r="AJ754" s="92"/>
      <c r="AK754" s="92"/>
      <c r="AL754" s="92"/>
      <c r="AM754" s="92"/>
      <c r="AN754" s="92"/>
      <c r="AO754" s="92"/>
      <c r="AP754" s="92"/>
      <c r="AQ754" s="92"/>
      <c r="AR754" s="92"/>
      <c r="AS754" s="92"/>
      <c r="AT754" s="92"/>
      <c r="AU754" s="92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</row>
    <row r="755" spans="1:64" ht="15.75" customHeight="1" x14ac:dyDescent="0.2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0"/>
      <c r="U755" s="90"/>
      <c r="V755" s="90"/>
      <c r="W755" s="90"/>
      <c r="X755" s="90"/>
      <c r="Y755" s="90"/>
      <c r="Z755" s="90"/>
      <c r="AA755" s="90"/>
      <c r="AB755" s="91"/>
      <c r="AC755" s="91"/>
      <c r="AD755" s="91"/>
      <c r="AE755" s="91"/>
      <c r="AF755" s="92"/>
      <c r="AG755" s="92"/>
      <c r="AH755" s="92"/>
      <c r="AI755" s="92"/>
      <c r="AJ755" s="92"/>
      <c r="AK755" s="92"/>
      <c r="AL755" s="92"/>
      <c r="AM755" s="92"/>
      <c r="AN755" s="92"/>
      <c r="AO755" s="92"/>
      <c r="AP755" s="92"/>
      <c r="AQ755" s="92"/>
      <c r="AR755" s="92"/>
      <c r="AS755" s="92"/>
      <c r="AT755" s="92"/>
      <c r="AU755" s="92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</row>
    <row r="756" spans="1:64" ht="15.75" customHeight="1" x14ac:dyDescent="0.2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0"/>
      <c r="U756" s="90"/>
      <c r="V756" s="90"/>
      <c r="W756" s="90"/>
      <c r="X756" s="90"/>
      <c r="Y756" s="90"/>
      <c r="Z756" s="90"/>
      <c r="AA756" s="90"/>
      <c r="AB756" s="91"/>
      <c r="AC756" s="91"/>
      <c r="AD756" s="91"/>
      <c r="AE756" s="91"/>
      <c r="AF756" s="92"/>
      <c r="AG756" s="92"/>
      <c r="AH756" s="92"/>
      <c r="AI756" s="92"/>
      <c r="AJ756" s="92"/>
      <c r="AK756" s="92"/>
      <c r="AL756" s="92"/>
      <c r="AM756" s="92"/>
      <c r="AN756" s="92"/>
      <c r="AO756" s="92"/>
      <c r="AP756" s="92"/>
      <c r="AQ756" s="92"/>
      <c r="AR756" s="92"/>
      <c r="AS756" s="92"/>
      <c r="AT756" s="92"/>
      <c r="AU756" s="92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</row>
    <row r="757" spans="1:64" ht="15.75" customHeight="1" x14ac:dyDescent="0.2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0"/>
      <c r="U757" s="90"/>
      <c r="V757" s="90"/>
      <c r="W757" s="90"/>
      <c r="X757" s="90"/>
      <c r="Y757" s="90"/>
      <c r="Z757" s="90"/>
      <c r="AA757" s="90"/>
      <c r="AB757" s="91"/>
      <c r="AC757" s="91"/>
      <c r="AD757" s="91"/>
      <c r="AE757" s="91"/>
      <c r="AF757" s="92"/>
      <c r="AG757" s="92"/>
      <c r="AH757" s="92"/>
      <c r="AI757" s="92"/>
      <c r="AJ757" s="92"/>
      <c r="AK757" s="92"/>
      <c r="AL757" s="92"/>
      <c r="AM757" s="92"/>
      <c r="AN757" s="92"/>
      <c r="AO757" s="92"/>
      <c r="AP757" s="92"/>
      <c r="AQ757" s="92"/>
      <c r="AR757" s="92"/>
      <c r="AS757" s="92"/>
      <c r="AT757" s="92"/>
      <c r="AU757" s="92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</row>
    <row r="758" spans="1:64" ht="15.75" customHeight="1" x14ac:dyDescent="0.2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0"/>
      <c r="U758" s="90"/>
      <c r="V758" s="90"/>
      <c r="W758" s="90"/>
      <c r="X758" s="90"/>
      <c r="Y758" s="90"/>
      <c r="Z758" s="90"/>
      <c r="AA758" s="90"/>
      <c r="AB758" s="91"/>
      <c r="AC758" s="91"/>
      <c r="AD758" s="91"/>
      <c r="AE758" s="91"/>
      <c r="AF758" s="92"/>
      <c r="AG758" s="92"/>
      <c r="AH758" s="92"/>
      <c r="AI758" s="92"/>
      <c r="AJ758" s="92"/>
      <c r="AK758" s="92"/>
      <c r="AL758" s="92"/>
      <c r="AM758" s="92"/>
      <c r="AN758" s="92"/>
      <c r="AO758" s="92"/>
      <c r="AP758" s="92"/>
      <c r="AQ758" s="92"/>
      <c r="AR758" s="92"/>
      <c r="AS758" s="92"/>
      <c r="AT758" s="92"/>
      <c r="AU758" s="92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</row>
    <row r="759" spans="1:64" ht="15.75" customHeight="1" x14ac:dyDescent="0.2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0"/>
      <c r="U759" s="90"/>
      <c r="V759" s="90"/>
      <c r="W759" s="90"/>
      <c r="X759" s="90"/>
      <c r="Y759" s="90"/>
      <c r="Z759" s="90"/>
      <c r="AA759" s="90"/>
      <c r="AB759" s="91"/>
      <c r="AC759" s="91"/>
      <c r="AD759" s="91"/>
      <c r="AE759" s="91"/>
      <c r="AF759" s="92"/>
      <c r="AG759" s="92"/>
      <c r="AH759" s="92"/>
      <c r="AI759" s="92"/>
      <c r="AJ759" s="92"/>
      <c r="AK759" s="92"/>
      <c r="AL759" s="92"/>
      <c r="AM759" s="92"/>
      <c r="AN759" s="92"/>
      <c r="AO759" s="92"/>
      <c r="AP759" s="92"/>
      <c r="AQ759" s="92"/>
      <c r="AR759" s="92"/>
      <c r="AS759" s="92"/>
      <c r="AT759" s="92"/>
      <c r="AU759" s="92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</row>
    <row r="760" spans="1:64" ht="15.75" customHeight="1" x14ac:dyDescent="0.2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0"/>
      <c r="U760" s="90"/>
      <c r="V760" s="90"/>
      <c r="W760" s="90"/>
      <c r="X760" s="90"/>
      <c r="Y760" s="90"/>
      <c r="Z760" s="90"/>
      <c r="AA760" s="90"/>
      <c r="AB760" s="91"/>
      <c r="AC760" s="91"/>
      <c r="AD760" s="91"/>
      <c r="AE760" s="91"/>
      <c r="AF760" s="92"/>
      <c r="AG760" s="92"/>
      <c r="AH760" s="92"/>
      <c r="AI760" s="92"/>
      <c r="AJ760" s="92"/>
      <c r="AK760" s="92"/>
      <c r="AL760" s="92"/>
      <c r="AM760" s="92"/>
      <c r="AN760" s="92"/>
      <c r="AO760" s="92"/>
      <c r="AP760" s="92"/>
      <c r="AQ760" s="92"/>
      <c r="AR760" s="92"/>
      <c r="AS760" s="92"/>
      <c r="AT760" s="92"/>
      <c r="AU760" s="92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</row>
    <row r="761" spans="1:64" ht="15.75" customHeight="1" x14ac:dyDescent="0.2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0"/>
      <c r="U761" s="90"/>
      <c r="V761" s="90"/>
      <c r="W761" s="90"/>
      <c r="X761" s="90"/>
      <c r="Y761" s="90"/>
      <c r="Z761" s="90"/>
      <c r="AA761" s="90"/>
      <c r="AB761" s="91"/>
      <c r="AC761" s="91"/>
      <c r="AD761" s="91"/>
      <c r="AE761" s="91"/>
      <c r="AF761" s="92"/>
      <c r="AG761" s="92"/>
      <c r="AH761" s="92"/>
      <c r="AI761" s="92"/>
      <c r="AJ761" s="92"/>
      <c r="AK761" s="92"/>
      <c r="AL761" s="92"/>
      <c r="AM761" s="92"/>
      <c r="AN761" s="92"/>
      <c r="AO761" s="92"/>
      <c r="AP761" s="92"/>
      <c r="AQ761" s="92"/>
      <c r="AR761" s="92"/>
      <c r="AS761" s="92"/>
      <c r="AT761" s="92"/>
      <c r="AU761" s="92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</row>
    <row r="762" spans="1:64" ht="15.75" customHeight="1" x14ac:dyDescent="0.2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0"/>
      <c r="U762" s="90"/>
      <c r="V762" s="90"/>
      <c r="W762" s="90"/>
      <c r="X762" s="90"/>
      <c r="Y762" s="90"/>
      <c r="Z762" s="90"/>
      <c r="AA762" s="90"/>
      <c r="AB762" s="91"/>
      <c r="AC762" s="91"/>
      <c r="AD762" s="91"/>
      <c r="AE762" s="91"/>
      <c r="AF762" s="92"/>
      <c r="AG762" s="92"/>
      <c r="AH762" s="92"/>
      <c r="AI762" s="92"/>
      <c r="AJ762" s="92"/>
      <c r="AK762" s="92"/>
      <c r="AL762" s="92"/>
      <c r="AM762" s="92"/>
      <c r="AN762" s="92"/>
      <c r="AO762" s="92"/>
      <c r="AP762" s="92"/>
      <c r="AQ762" s="92"/>
      <c r="AR762" s="92"/>
      <c r="AS762" s="92"/>
      <c r="AT762" s="92"/>
      <c r="AU762" s="92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</row>
    <row r="763" spans="1:64" ht="15.75" customHeight="1" x14ac:dyDescent="0.2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0"/>
      <c r="U763" s="90"/>
      <c r="V763" s="90"/>
      <c r="W763" s="90"/>
      <c r="X763" s="90"/>
      <c r="Y763" s="90"/>
      <c r="Z763" s="90"/>
      <c r="AA763" s="90"/>
      <c r="AB763" s="91"/>
      <c r="AC763" s="91"/>
      <c r="AD763" s="91"/>
      <c r="AE763" s="91"/>
      <c r="AF763" s="92"/>
      <c r="AG763" s="92"/>
      <c r="AH763" s="92"/>
      <c r="AI763" s="92"/>
      <c r="AJ763" s="92"/>
      <c r="AK763" s="92"/>
      <c r="AL763" s="92"/>
      <c r="AM763" s="92"/>
      <c r="AN763" s="92"/>
      <c r="AO763" s="92"/>
      <c r="AP763" s="92"/>
      <c r="AQ763" s="92"/>
      <c r="AR763" s="92"/>
      <c r="AS763" s="92"/>
      <c r="AT763" s="92"/>
      <c r="AU763" s="92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</row>
    <row r="764" spans="1:64" ht="15.75" customHeight="1" x14ac:dyDescent="0.2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0"/>
      <c r="U764" s="90"/>
      <c r="V764" s="90"/>
      <c r="W764" s="90"/>
      <c r="X764" s="90"/>
      <c r="Y764" s="90"/>
      <c r="Z764" s="90"/>
      <c r="AA764" s="90"/>
      <c r="AB764" s="91"/>
      <c r="AC764" s="91"/>
      <c r="AD764" s="91"/>
      <c r="AE764" s="91"/>
      <c r="AF764" s="92"/>
      <c r="AG764" s="92"/>
      <c r="AH764" s="92"/>
      <c r="AI764" s="92"/>
      <c r="AJ764" s="92"/>
      <c r="AK764" s="92"/>
      <c r="AL764" s="92"/>
      <c r="AM764" s="92"/>
      <c r="AN764" s="92"/>
      <c r="AO764" s="92"/>
      <c r="AP764" s="92"/>
      <c r="AQ764" s="92"/>
      <c r="AR764" s="92"/>
      <c r="AS764" s="92"/>
      <c r="AT764" s="92"/>
      <c r="AU764" s="92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</row>
    <row r="765" spans="1:64" ht="15.75" customHeight="1" x14ac:dyDescent="0.2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0"/>
      <c r="U765" s="90"/>
      <c r="V765" s="90"/>
      <c r="W765" s="90"/>
      <c r="X765" s="90"/>
      <c r="Y765" s="90"/>
      <c r="Z765" s="90"/>
      <c r="AA765" s="90"/>
      <c r="AB765" s="91"/>
      <c r="AC765" s="91"/>
      <c r="AD765" s="91"/>
      <c r="AE765" s="91"/>
      <c r="AF765" s="92"/>
      <c r="AG765" s="92"/>
      <c r="AH765" s="92"/>
      <c r="AI765" s="92"/>
      <c r="AJ765" s="92"/>
      <c r="AK765" s="92"/>
      <c r="AL765" s="92"/>
      <c r="AM765" s="92"/>
      <c r="AN765" s="92"/>
      <c r="AO765" s="92"/>
      <c r="AP765" s="92"/>
      <c r="AQ765" s="92"/>
      <c r="AR765" s="92"/>
      <c r="AS765" s="92"/>
      <c r="AT765" s="92"/>
      <c r="AU765" s="92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</row>
    <row r="766" spans="1:64" ht="15.75" customHeight="1" x14ac:dyDescent="0.2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0"/>
      <c r="U766" s="90"/>
      <c r="V766" s="90"/>
      <c r="W766" s="90"/>
      <c r="X766" s="90"/>
      <c r="Y766" s="90"/>
      <c r="Z766" s="90"/>
      <c r="AA766" s="90"/>
      <c r="AB766" s="91"/>
      <c r="AC766" s="91"/>
      <c r="AD766" s="91"/>
      <c r="AE766" s="91"/>
      <c r="AF766" s="92"/>
      <c r="AG766" s="92"/>
      <c r="AH766" s="92"/>
      <c r="AI766" s="92"/>
      <c r="AJ766" s="92"/>
      <c r="AK766" s="92"/>
      <c r="AL766" s="92"/>
      <c r="AM766" s="92"/>
      <c r="AN766" s="92"/>
      <c r="AO766" s="92"/>
      <c r="AP766" s="92"/>
      <c r="AQ766" s="92"/>
      <c r="AR766" s="92"/>
      <c r="AS766" s="92"/>
      <c r="AT766" s="92"/>
      <c r="AU766" s="92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</row>
    <row r="767" spans="1:64" ht="15.75" customHeight="1" x14ac:dyDescent="0.2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0"/>
      <c r="U767" s="90"/>
      <c r="V767" s="90"/>
      <c r="W767" s="90"/>
      <c r="X767" s="90"/>
      <c r="Y767" s="90"/>
      <c r="Z767" s="90"/>
      <c r="AA767" s="90"/>
      <c r="AB767" s="91"/>
      <c r="AC767" s="91"/>
      <c r="AD767" s="91"/>
      <c r="AE767" s="91"/>
      <c r="AF767" s="92"/>
      <c r="AG767" s="92"/>
      <c r="AH767" s="92"/>
      <c r="AI767" s="92"/>
      <c r="AJ767" s="92"/>
      <c r="AK767" s="92"/>
      <c r="AL767" s="92"/>
      <c r="AM767" s="92"/>
      <c r="AN767" s="92"/>
      <c r="AO767" s="92"/>
      <c r="AP767" s="92"/>
      <c r="AQ767" s="92"/>
      <c r="AR767" s="92"/>
      <c r="AS767" s="92"/>
      <c r="AT767" s="92"/>
      <c r="AU767" s="92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</row>
    <row r="768" spans="1:64" ht="15.75" customHeight="1" x14ac:dyDescent="0.2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0"/>
      <c r="U768" s="90"/>
      <c r="V768" s="90"/>
      <c r="W768" s="90"/>
      <c r="X768" s="90"/>
      <c r="Y768" s="90"/>
      <c r="Z768" s="90"/>
      <c r="AA768" s="90"/>
      <c r="AB768" s="91"/>
      <c r="AC768" s="91"/>
      <c r="AD768" s="91"/>
      <c r="AE768" s="91"/>
      <c r="AF768" s="92"/>
      <c r="AG768" s="92"/>
      <c r="AH768" s="92"/>
      <c r="AI768" s="92"/>
      <c r="AJ768" s="92"/>
      <c r="AK768" s="92"/>
      <c r="AL768" s="92"/>
      <c r="AM768" s="92"/>
      <c r="AN768" s="92"/>
      <c r="AO768" s="92"/>
      <c r="AP768" s="92"/>
      <c r="AQ768" s="92"/>
      <c r="AR768" s="92"/>
      <c r="AS768" s="92"/>
      <c r="AT768" s="92"/>
      <c r="AU768" s="92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</row>
    <row r="769" spans="1:64" ht="15.75" customHeight="1" x14ac:dyDescent="0.2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0"/>
      <c r="U769" s="90"/>
      <c r="V769" s="90"/>
      <c r="W769" s="90"/>
      <c r="X769" s="90"/>
      <c r="Y769" s="90"/>
      <c r="Z769" s="90"/>
      <c r="AA769" s="90"/>
      <c r="AB769" s="91"/>
      <c r="AC769" s="91"/>
      <c r="AD769" s="91"/>
      <c r="AE769" s="91"/>
      <c r="AF769" s="92"/>
      <c r="AG769" s="92"/>
      <c r="AH769" s="92"/>
      <c r="AI769" s="92"/>
      <c r="AJ769" s="92"/>
      <c r="AK769" s="92"/>
      <c r="AL769" s="92"/>
      <c r="AM769" s="92"/>
      <c r="AN769" s="92"/>
      <c r="AO769" s="92"/>
      <c r="AP769" s="92"/>
      <c r="AQ769" s="92"/>
      <c r="AR769" s="92"/>
      <c r="AS769" s="92"/>
      <c r="AT769" s="92"/>
      <c r="AU769" s="92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</row>
    <row r="770" spans="1:64" ht="15.75" customHeight="1" x14ac:dyDescent="0.2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0"/>
      <c r="U770" s="90"/>
      <c r="V770" s="90"/>
      <c r="W770" s="90"/>
      <c r="X770" s="90"/>
      <c r="Y770" s="90"/>
      <c r="Z770" s="90"/>
      <c r="AA770" s="90"/>
      <c r="AB770" s="91"/>
      <c r="AC770" s="91"/>
      <c r="AD770" s="91"/>
      <c r="AE770" s="91"/>
      <c r="AF770" s="92"/>
      <c r="AG770" s="92"/>
      <c r="AH770" s="92"/>
      <c r="AI770" s="92"/>
      <c r="AJ770" s="92"/>
      <c r="AK770" s="92"/>
      <c r="AL770" s="92"/>
      <c r="AM770" s="92"/>
      <c r="AN770" s="92"/>
      <c r="AO770" s="92"/>
      <c r="AP770" s="92"/>
      <c r="AQ770" s="92"/>
      <c r="AR770" s="92"/>
      <c r="AS770" s="92"/>
      <c r="AT770" s="92"/>
      <c r="AU770" s="92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</row>
    <row r="771" spans="1:64" ht="15.75" customHeight="1" x14ac:dyDescent="0.2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0"/>
      <c r="U771" s="90"/>
      <c r="V771" s="90"/>
      <c r="W771" s="90"/>
      <c r="X771" s="90"/>
      <c r="Y771" s="90"/>
      <c r="Z771" s="90"/>
      <c r="AA771" s="90"/>
      <c r="AB771" s="91"/>
      <c r="AC771" s="91"/>
      <c r="AD771" s="91"/>
      <c r="AE771" s="91"/>
      <c r="AF771" s="92"/>
      <c r="AG771" s="92"/>
      <c r="AH771" s="92"/>
      <c r="AI771" s="92"/>
      <c r="AJ771" s="92"/>
      <c r="AK771" s="92"/>
      <c r="AL771" s="92"/>
      <c r="AM771" s="92"/>
      <c r="AN771" s="92"/>
      <c r="AO771" s="92"/>
      <c r="AP771" s="92"/>
      <c r="AQ771" s="92"/>
      <c r="AR771" s="92"/>
      <c r="AS771" s="92"/>
      <c r="AT771" s="92"/>
      <c r="AU771" s="92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</row>
    <row r="772" spans="1:64" ht="15.75" customHeight="1" x14ac:dyDescent="0.2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0"/>
      <c r="U772" s="90"/>
      <c r="V772" s="90"/>
      <c r="W772" s="90"/>
      <c r="X772" s="90"/>
      <c r="Y772" s="90"/>
      <c r="Z772" s="90"/>
      <c r="AA772" s="90"/>
      <c r="AB772" s="91"/>
      <c r="AC772" s="91"/>
      <c r="AD772" s="91"/>
      <c r="AE772" s="91"/>
      <c r="AF772" s="92"/>
      <c r="AG772" s="92"/>
      <c r="AH772" s="92"/>
      <c r="AI772" s="92"/>
      <c r="AJ772" s="92"/>
      <c r="AK772" s="92"/>
      <c r="AL772" s="92"/>
      <c r="AM772" s="92"/>
      <c r="AN772" s="92"/>
      <c r="AO772" s="92"/>
      <c r="AP772" s="92"/>
      <c r="AQ772" s="92"/>
      <c r="AR772" s="92"/>
      <c r="AS772" s="92"/>
      <c r="AT772" s="92"/>
      <c r="AU772" s="92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</row>
    <row r="773" spans="1:64" ht="15.75" customHeight="1" x14ac:dyDescent="0.2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0"/>
      <c r="U773" s="90"/>
      <c r="V773" s="90"/>
      <c r="W773" s="90"/>
      <c r="X773" s="90"/>
      <c r="Y773" s="90"/>
      <c r="Z773" s="90"/>
      <c r="AA773" s="90"/>
      <c r="AB773" s="91"/>
      <c r="AC773" s="91"/>
      <c r="AD773" s="91"/>
      <c r="AE773" s="91"/>
      <c r="AF773" s="92"/>
      <c r="AG773" s="92"/>
      <c r="AH773" s="92"/>
      <c r="AI773" s="92"/>
      <c r="AJ773" s="92"/>
      <c r="AK773" s="92"/>
      <c r="AL773" s="92"/>
      <c r="AM773" s="92"/>
      <c r="AN773" s="92"/>
      <c r="AO773" s="92"/>
      <c r="AP773" s="92"/>
      <c r="AQ773" s="92"/>
      <c r="AR773" s="92"/>
      <c r="AS773" s="92"/>
      <c r="AT773" s="92"/>
      <c r="AU773" s="92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</row>
    <row r="774" spans="1:64" ht="15.75" customHeight="1" x14ac:dyDescent="0.2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0"/>
      <c r="U774" s="90"/>
      <c r="V774" s="90"/>
      <c r="W774" s="90"/>
      <c r="X774" s="90"/>
      <c r="Y774" s="90"/>
      <c r="Z774" s="90"/>
      <c r="AA774" s="90"/>
      <c r="AB774" s="91"/>
      <c r="AC774" s="91"/>
      <c r="AD774" s="91"/>
      <c r="AE774" s="91"/>
      <c r="AF774" s="92"/>
      <c r="AG774" s="92"/>
      <c r="AH774" s="92"/>
      <c r="AI774" s="92"/>
      <c r="AJ774" s="92"/>
      <c r="AK774" s="92"/>
      <c r="AL774" s="92"/>
      <c r="AM774" s="92"/>
      <c r="AN774" s="92"/>
      <c r="AO774" s="92"/>
      <c r="AP774" s="92"/>
      <c r="AQ774" s="92"/>
      <c r="AR774" s="92"/>
      <c r="AS774" s="92"/>
      <c r="AT774" s="92"/>
      <c r="AU774" s="92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</row>
    <row r="775" spans="1:64" ht="15.75" customHeight="1" x14ac:dyDescent="0.2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0"/>
      <c r="U775" s="90"/>
      <c r="V775" s="90"/>
      <c r="W775" s="90"/>
      <c r="X775" s="90"/>
      <c r="Y775" s="90"/>
      <c r="Z775" s="90"/>
      <c r="AA775" s="90"/>
      <c r="AB775" s="91"/>
      <c r="AC775" s="91"/>
      <c r="AD775" s="91"/>
      <c r="AE775" s="91"/>
      <c r="AF775" s="92"/>
      <c r="AG775" s="92"/>
      <c r="AH775" s="92"/>
      <c r="AI775" s="92"/>
      <c r="AJ775" s="92"/>
      <c r="AK775" s="92"/>
      <c r="AL775" s="92"/>
      <c r="AM775" s="92"/>
      <c r="AN775" s="92"/>
      <c r="AO775" s="92"/>
      <c r="AP775" s="92"/>
      <c r="AQ775" s="92"/>
      <c r="AR775" s="92"/>
      <c r="AS775" s="92"/>
      <c r="AT775" s="92"/>
      <c r="AU775" s="92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</row>
    <row r="776" spans="1:64" ht="15.75" customHeight="1" x14ac:dyDescent="0.2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0"/>
      <c r="U776" s="90"/>
      <c r="V776" s="90"/>
      <c r="W776" s="90"/>
      <c r="X776" s="90"/>
      <c r="Y776" s="90"/>
      <c r="Z776" s="90"/>
      <c r="AA776" s="90"/>
      <c r="AB776" s="91"/>
      <c r="AC776" s="91"/>
      <c r="AD776" s="91"/>
      <c r="AE776" s="91"/>
      <c r="AF776" s="92"/>
      <c r="AG776" s="92"/>
      <c r="AH776" s="92"/>
      <c r="AI776" s="92"/>
      <c r="AJ776" s="92"/>
      <c r="AK776" s="92"/>
      <c r="AL776" s="92"/>
      <c r="AM776" s="92"/>
      <c r="AN776" s="92"/>
      <c r="AO776" s="92"/>
      <c r="AP776" s="92"/>
      <c r="AQ776" s="92"/>
      <c r="AR776" s="92"/>
      <c r="AS776" s="92"/>
      <c r="AT776" s="92"/>
      <c r="AU776" s="92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</row>
    <row r="777" spans="1:64" ht="15.75" customHeight="1" x14ac:dyDescent="0.2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0"/>
      <c r="U777" s="90"/>
      <c r="V777" s="90"/>
      <c r="W777" s="90"/>
      <c r="X777" s="90"/>
      <c r="Y777" s="90"/>
      <c r="Z777" s="90"/>
      <c r="AA777" s="90"/>
      <c r="AB777" s="91"/>
      <c r="AC777" s="91"/>
      <c r="AD777" s="91"/>
      <c r="AE777" s="91"/>
      <c r="AF777" s="92"/>
      <c r="AG777" s="92"/>
      <c r="AH777" s="92"/>
      <c r="AI777" s="92"/>
      <c r="AJ777" s="92"/>
      <c r="AK777" s="92"/>
      <c r="AL777" s="92"/>
      <c r="AM777" s="92"/>
      <c r="AN777" s="92"/>
      <c r="AO777" s="92"/>
      <c r="AP777" s="92"/>
      <c r="AQ777" s="92"/>
      <c r="AR777" s="92"/>
      <c r="AS777" s="92"/>
      <c r="AT777" s="92"/>
      <c r="AU777" s="92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</row>
    <row r="778" spans="1:64" ht="15.75" customHeight="1" x14ac:dyDescent="0.2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0"/>
      <c r="U778" s="90"/>
      <c r="V778" s="90"/>
      <c r="W778" s="90"/>
      <c r="X778" s="90"/>
      <c r="Y778" s="90"/>
      <c r="Z778" s="90"/>
      <c r="AA778" s="90"/>
      <c r="AB778" s="91"/>
      <c r="AC778" s="91"/>
      <c r="AD778" s="91"/>
      <c r="AE778" s="91"/>
      <c r="AF778" s="92"/>
      <c r="AG778" s="92"/>
      <c r="AH778" s="92"/>
      <c r="AI778" s="92"/>
      <c r="AJ778" s="92"/>
      <c r="AK778" s="92"/>
      <c r="AL778" s="92"/>
      <c r="AM778" s="92"/>
      <c r="AN778" s="92"/>
      <c r="AO778" s="92"/>
      <c r="AP778" s="92"/>
      <c r="AQ778" s="92"/>
      <c r="AR778" s="92"/>
      <c r="AS778" s="92"/>
      <c r="AT778" s="92"/>
      <c r="AU778" s="92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</row>
    <row r="779" spans="1:64" ht="15.75" customHeight="1" x14ac:dyDescent="0.2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0"/>
      <c r="U779" s="90"/>
      <c r="V779" s="90"/>
      <c r="W779" s="90"/>
      <c r="X779" s="90"/>
      <c r="Y779" s="90"/>
      <c r="Z779" s="90"/>
      <c r="AA779" s="90"/>
      <c r="AB779" s="91"/>
      <c r="AC779" s="91"/>
      <c r="AD779" s="91"/>
      <c r="AE779" s="91"/>
      <c r="AF779" s="92"/>
      <c r="AG779" s="92"/>
      <c r="AH779" s="92"/>
      <c r="AI779" s="92"/>
      <c r="AJ779" s="92"/>
      <c r="AK779" s="92"/>
      <c r="AL779" s="92"/>
      <c r="AM779" s="92"/>
      <c r="AN779" s="92"/>
      <c r="AO779" s="92"/>
      <c r="AP779" s="92"/>
      <c r="AQ779" s="92"/>
      <c r="AR779" s="92"/>
      <c r="AS779" s="92"/>
      <c r="AT779" s="92"/>
      <c r="AU779" s="92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</row>
    <row r="780" spans="1:64" ht="15.75" customHeight="1" x14ac:dyDescent="0.2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0"/>
      <c r="U780" s="90"/>
      <c r="V780" s="90"/>
      <c r="W780" s="90"/>
      <c r="X780" s="90"/>
      <c r="Y780" s="90"/>
      <c r="Z780" s="90"/>
      <c r="AA780" s="90"/>
      <c r="AB780" s="91"/>
      <c r="AC780" s="91"/>
      <c r="AD780" s="91"/>
      <c r="AE780" s="91"/>
      <c r="AF780" s="92"/>
      <c r="AG780" s="92"/>
      <c r="AH780" s="92"/>
      <c r="AI780" s="92"/>
      <c r="AJ780" s="92"/>
      <c r="AK780" s="92"/>
      <c r="AL780" s="92"/>
      <c r="AM780" s="92"/>
      <c r="AN780" s="92"/>
      <c r="AO780" s="92"/>
      <c r="AP780" s="92"/>
      <c r="AQ780" s="92"/>
      <c r="AR780" s="92"/>
      <c r="AS780" s="92"/>
      <c r="AT780" s="92"/>
      <c r="AU780" s="92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</row>
    <row r="781" spans="1:64" ht="15.75" customHeight="1" x14ac:dyDescent="0.2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0"/>
      <c r="U781" s="90"/>
      <c r="V781" s="90"/>
      <c r="W781" s="90"/>
      <c r="X781" s="90"/>
      <c r="Y781" s="90"/>
      <c r="Z781" s="90"/>
      <c r="AA781" s="90"/>
      <c r="AB781" s="91"/>
      <c r="AC781" s="91"/>
      <c r="AD781" s="91"/>
      <c r="AE781" s="91"/>
      <c r="AF781" s="92"/>
      <c r="AG781" s="92"/>
      <c r="AH781" s="92"/>
      <c r="AI781" s="92"/>
      <c r="AJ781" s="92"/>
      <c r="AK781" s="92"/>
      <c r="AL781" s="92"/>
      <c r="AM781" s="92"/>
      <c r="AN781" s="92"/>
      <c r="AO781" s="92"/>
      <c r="AP781" s="92"/>
      <c r="AQ781" s="92"/>
      <c r="AR781" s="92"/>
      <c r="AS781" s="92"/>
      <c r="AT781" s="92"/>
      <c r="AU781" s="92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</row>
    <row r="782" spans="1:64" ht="15.75" customHeight="1" x14ac:dyDescent="0.2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0"/>
      <c r="U782" s="90"/>
      <c r="V782" s="90"/>
      <c r="W782" s="90"/>
      <c r="X782" s="90"/>
      <c r="Y782" s="90"/>
      <c r="Z782" s="90"/>
      <c r="AA782" s="90"/>
      <c r="AB782" s="91"/>
      <c r="AC782" s="91"/>
      <c r="AD782" s="91"/>
      <c r="AE782" s="91"/>
      <c r="AF782" s="92"/>
      <c r="AG782" s="92"/>
      <c r="AH782" s="92"/>
      <c r="AI782" s="92"/>
      <c r="AJ782" s="92"/>
      <c r="AK782" s="92"/>
      <c r="AL782" s="92"/>
      <c r="AM782" s="92"/>
      <c r="AN782" s="92"/>
      <c r="AO782" s="92"/>
      <c r="AP782" s="92"/>
      <c r="AQ782" s="92"/>
      <c r="AR782" s="92"/>
      <c r="AS782" s="92"/>
      <c r="AT782" s="92"/>
      <c r="AU782" s="92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</row>
    <row r="783" spans="1:64" ht="15.75" customHeight="1" x14ac:dyDescent="0.2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0"/>
      <c r="U783" s="90"/>
      <c r="V783" s="90"/>
      <c r="W783" s="90"/>
      <c r="X783" s="90"/>
      <c r="Y783" s="90"/>
      <c r="Z783" s="90"/>
      <c r="AA783" s="90"/>
      <c r="AB783" s="91"/>
      <c r="AC783" s="91"/>
      <c r="AD783" s="91"/>
      <c r="AE783" s="91"/>
      <c r="AF783" s="92"/>
      <c r="AG783" s="92"/>
      <c r="AH783" s="92"/>
      <c r="AI783" s="92"/>
      <c r="AJ783" s="92"/>
      <c r="AK783" s="92"/>
      <c r="AL783" s="92"/>
      <c r="AM783" s="92"/>
      <c r="AN783" s="92"/>
      <c r="AO783" s="92"/>
      <c r="AP783" s="92"/>
      <c r="AQ783" s="92"/>
      <c r="AR783" s="92"/>
      <c r="AS783" s="92"/>
      <c r="AT783" s="92"/>
      <c r="AU783" s="92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</row>
    <row r="784" spans="1:64" ht="15.75" customHeight="1" x14ac:dyDescent="0.2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0"/>
      <c r="U784" s="90"/>
      <c r="V784" s="90"/>
      <c r="W784" s="90"/>
      <c r="X784" s="90"/>
      <c r="Y784" s="90"/>
      <c r="Z784" s="90"/>
      <c r="AA784" s="90"/>
      <c r="AB784" s="91"/>
      <c r="AC784" s="91"/>
      <c r="AD784" s="91"/>
      <c r="AE784" s="91"/>
      <c r="AF784" s="92"/>
      <c r="AG784" s="92"/>
      <c r="AH784" s="92"/>
      <c r="AI784" s="92"/>
      <c r="AJ784" s="92"/>
      <c r="AK784" s="92"/>
      <c r="AL784" s="92"/>
      <c r="AM784" s="92"/>
      <c r="AN784" s="92"/>
      <c r="AO784" s="92"/>
      <c r="AP784" s="92"/>
      <c r="AQ784" s="92"/>
      <c r="AR784" s="92"/>
      <c r="AS784" s="92"/>
      <c r="AT784" s="92"/>
      <c r="AU784" s="92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</row>
    <row r="785" spans="1:64" ht="15.75" customHeight="1" x14ac:dyDescent="0.2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0"/>
      <c r="U785" s="90"/>
      <c r="V785" s="90"/>
      <c r="W785" s="90"/>
      <c r="X785" s="90"/>
      <c r="Y785" s="90"/>
      <c r="Z785" s="90"/>
      <c r="AA785" s="90"/>
      <c r="AB785" s="91"/>
      <c r="AC785" s="91"/>
      <c r="AD785" s="91"/>
      <c r="AE785" s="91"/>
      <c r="AF785" s="92"/>
      <c r="AG785" s="92"/>
      <c r="AH785" s="92"/>
      <c r="AI785" s="92"/>
      <c r="AJ785" s="92"/>
      <c r="AK785" s="92"/>
      <c r="AL785" s="92"/>
      <c r="AM785" s="92"/>
      <c r="AN785" s="92"/>
      <c r="AO785" s="92"/>
      <c r="AP785" s="92"/>
      <c r="AQ785" s="92"/>
      <c r="AR785" s="92"/>
      <c r="AS785" s="92"/>
      <c r="AT785" s="92"/>
      <c r="AU785" s="92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</row>
    <row r="786" spans="1:64" ht="15.75" customHeight="1" x14ac:dyDescent="0.2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0"/>
      <c r="U786" s="90"/>
      <c r="V786" s="90"/>
      <c r="W786" s="90"/>
      <c r="X786" s="90"/>
      <c r="Y786" s="90"/>
      <c r="Z786" s="90"/>
      <c r="AA786" s="90"/>
      <c r="AB786" s="91"/>
      <c r="AC786" s="91"/>
      <c r="AD786" s="91"/>
      <c r="AE786" s="91"/>
      <c r="AF786" s="92"/>
      <c r="AG786" s="92"/>
      <c r="AH786" s="92"/>
      <c r="AI786" s="92"/>
      <c r="AJ786" s="92"/>
      <c r="AK786" s="92"/>
      <c r="AL786" s="92"/>
      <c r="AM786" s="92"/>
      <c r="AN786" s="92"/>
      <c r="AO786" s="92"/>
      <c r="AP786" s="92"/>
      <c r="AQ786" s="92"/>
      <c r="AR786" s="92"/>
      <c r="AS786" s="92"/>
      <c r="AT786" s="92"/>
      <c r="AU786" s="92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</row>
    <row r="787" spans="1:64" ht="15.75" customHeight="1" x14ac:dyDescent="0.2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0"/>
      <c r="U787" s="90"/>
      <c r="V787" s="90"/>
      <c r="W787" s="90"/>
      <c r="X787" s="90"/>
      <c r="Y787" s="90"/>
      <c r="Z787" s="90"/>
      <c r="AA787" s="90"/>
      <c r="AB787" s="91"/>
      <c r="AC787" s="91"/>
      <c r="AD787" s="91"/>
      <c r="AE787" s="91"/>
      <c r="AF787" s="92"/>
      <c r="AG787" s="92"/>
      <c r="AH787" s="92"/>
      <c r="AI787" s="92"/>
      <c r="AJ787" s="92"/>
      <c r="AK787" s="92"/>
      <c r="AL787" s="92"/>
      <c r="AM787" s="92"/>
      <c r="AN787" s="92"/>
      <c r="AO787" s="92"/>
      <c r="AP787" s="92"/>
      <c r="AQ787" s="92"/>
      <c r="AR787" s="92"/>
      <c r="AS787" s="92"/>
      <c r="AT787" s="92"/>
      <c r="AU787" s="92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</row>
    <row r="788" spans="1:64" ht="15.75" customHeight="1" x14ac:dyDescent="0.2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0"/>
      <c r="U788" s="90"/>
      <c r="V788" s="90"/>
      <c r="W788" s="90"/>
      <c r="X788" s="90"/>
      <c r="Y788" s="90"/>
      <c r="Z788" s="90"/>
      <c r="AA788" s="90"/>
      <c r="AB788" s="91"/>
      <c r="AC788" s="91"/>
      <c r="AD788" s="91"/>
      <c r="AE788" s="91"/>
      <c r="AF788" s="92"/>
      <c r="AG788" s="92"/>
      <c r="AH788" s="92"/>
      <c r="AI788" s="92"/>
      <c r="AJ788" s="92"/>
      <c r="AK788" s="92"/>
      <c r="AL788" s="92"/>
      <c r="AM788" s="92"/>
      <c r="AN788" s="92"/>
      <c r="AO788" s="92"/>
      <c r="AP788" s="92"/>
      <c r="AQ788" s="92"/>
      <c r="AR788" s="92"/>
      <c r="AS788" s="92"/>
      <c r="AT788" s="92"/>
      <c r="AU788" s="92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</row>
    <row r="789" spans="1:64" ht="15.75" customHeight="1" x14ac:dyDescent="0.2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0"/>
      <c r="U789" s="90"/>
      <c r="V789" s="90"/>
      <c r="W789" s="90"/>
      <c r="X789" s="90"/>
      <c r="Y789" s="90"/>
      <c r="Z789" s="90"/>
      <c r="AA789" s="90"/>
      <c r="AB789" s="91"/>
      <c r="AC789" s="91"/>
      <c r="AD789" s="91"/>
      <c r="AE789" s="91"/>
      <c r="AF789" s="92"/>
      <c r="AG789" s="92"/>
      <c r="AH789" s="92"/>
      <c r="AI789" s="92"/>
      <c r="AJ789" s="92"/>
      <c r="AK789" s="92"/>
      <c r="AL789" s="92"/>
      <c r="AM789" s="92"/>
      <c r="AN789" s="92"/>
      <c r="AO789" s="92"/>
      <c r="AP789" s="92"/>
      <c r="AQ789" s="92"/>
      <c r="AR789" s="92"/>
      <c r="AS789" s="92"/>
      <c r="AT789" s="92"/>
      <c r="AU789" s="92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</row>
    <row r="790" spans="1:64" ht="15.75" customHeight="1" x14ac:dyDescent="0.2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0"/>
      <c r="U790" s="90"/>
      <c r="V790" s="90"/>
      <c r="W790" s="90"/>
      <c r="X790" s="90"/>
      <c r="Y790" s="90"/>
      <c r="Z790" s="90"/>
      <c r="AA790" s="90"/>
      <c r="AB790" s="91"/>
      <c r="AC790" s="91"/>
      <c r="AD790" s="91"/>
      <c r="AE790" s="91"/>
      <c r="AF790" s="92"/>
      <c r="AG790" s="92"/>
      <c r="AH790" s="92"/>
      <c r="AI790" s="92"/>
      <c r="AJ790" s="92"/>
      <c r="AK790" s="92"/>
      <c r="AL790" s="92"/>
      <c r="AM790" s="92"/>
      <c r="AN790" s="92"/>
      <c r="AO790" s="92"/>
      <c r="AP790" s="92"/>
      <c r="AQ790" s="92"/>
      <c r="AR790" s="92"/>
      <c r="AS790" s="92"/>
      <c r="AT790" s="92"/>
      <c r="AU790" s="92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</row>
    <row r="791" spans="1:64" ht="15.75" customHeight="1" x14ac:dyDescent="0.2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0"/>
      <c r="U791" s="90"/>
      <c r="V791" s="90"/>
      <c r="W791" s="90"/>
      <c r="X791" s="90"/>
      <c r="Y791" s="90"/>
      <c r="Z791" s="90"/>
      <c r="AA791" s="90"/>
      <c r="AB791" s="91"/>
      <c r="AC791" s="91"/>
      <c r="AD791" s="91"/>
      <c r="AE791" s="91"/>
      <c r="AF791" s="92"/>
      <c r="AG791" s="92"/>
      <c r="AH791" s="92"/>
      <c r="AI791" s="92"/>
      <c r="AJ791" s="92"/>
      <c r="AK791" s="92"/>
      <c r="AL791" s="92"/>
      <c r="AM791" s="92"/>
      <c r="AN791" s="92"/>
      <c r="AO791" s="92"/>
      <c r="AP791" s="92"/>
      <c r="AQ791" s="92"/>
      <c r="AR791" s="92"/>
      <c r="AS791" s="92"/>
      <c r="AT791" s="92"/>
      <c r="AU791" s="92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</row>
    <row r="792" spans="1:64" ht="15.75" customHeight="1" x14ac:dyDescent="0.2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0"/>
      <c r="U792" s="90"/>
      <c r="V792" s="90"/>
      <c r="W792" s="90"/>
      <c r="X792" s="90"/>
      <c r="Y792" s="90"/>
      <c r="Z792" s="90"/>
      <c r="AA792" s="90"/>
      <c r="AB792" s="91"/>
      <c r="AC792" s="91"/>
      <c r="AD792" s="91"/>
      <c r="AE792" s="91"/>
      <c r="AF792" s="92"/>
      <c r="AG792" s="92"/>
      <c r="AH792" s="92"/>
      <c r="AI792" s="92"/>
      <c r="AJ792" s="92"/>
      <c r="AK792" s="92"/>
      <c r="AL792" s="92"/>
      <c r="AM792" s="92"/>
      <c r="AN792" s="92"/>
      <c r="AO792" s="92"/>
      <c r="AP792" s="92"/>
      <c r="AQ792" s="92"/>
      <c r="AR792" s="92"/>
      <c r="AS792" s="92"/>
      <c r="AT792" s="92"/>
      <c r="AU792" s="92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</row>
    <row r="793" spans="1:64" ht="15.75" customHeight="1" x14ac:dyDescent="0.2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0"/>
      <c r="U793" s="90"/>
      <c r="V793" s="90"/>
      <c r="W793" s="90"/>
      <c r="X793" s="90"/>
      <c r="Y793" s="90"/>
      <c r="Z793" s="90"/>
      <c r="AA793" s="90"/>
      <c r="AB793" s="91"/>
      <c r="AC793" s="91"/>
      <c r="AD793" s="91"/>
      <c r="AE793" s="91"/>
      <c r="AF793" s="92"/>
      <c r="AG793" s="92"/>
      <c r="AH793" s="92"/>
      <c r="AI793" s="92"/>
      <c r="AJ793" s="92"/>
      <c r="AK793" s="92"/>
      <c r="AL793" s="92"/>
      <c r="AM793" s="92"/>
      <c r="AN793" s="92"/>
      <c r="AO793" s="92"/>
      <c r="AP793" s="92"/>
      <c r="AQ793" s="92"/>
      <c r="AR793" s="92"/>
      <c r="AS793" s="92"/>
      <c r="AT793" s="92"/>
      <c r="AU793" s="92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</row>
    <row r="794" spans="1:64" ht="15.75" customHeight="1" x14ac:dyDescent="0.2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0"/>
      <c r="U794" s="90"/>
      <c r="V794" s="90"/>
      <c r="W794" s="90"/>
      <c r="X794" s="90"/>
      <c r="Y794" s="90"/>
      <c r="Z794" s="90"/>
      <c r="AA794" s="90"/>
      <c r="AB794" s="91"/>
      <c r="AC794" s="91"/>
      <c r="AD794" s="91"/>
      <c r="AE794" s="91"/>
      <c r="AF794" s="92"/>
      <c r="AG794" s="92"/>
      <c r="AH794" s="92"/>
      <c r="AI794" s="92"/>
      <c r="AJ794" s="92"/>
      <c r="AK794" s="92"/>
      <c r="AL794" s="92"/>
      <c r="AM794" s="92"/>
      <c r="AN794" s="92"/>
      <c r="AO794" s="92"/>
      <c r="AP794" s="92"/>
      <c r="AQ794" s="92"/>
      <c r="AR794" s="92"/>
      <c r="AS794" s="92"/>
      <c r="AT794" s="92"/>
      <c r="AU794" s="92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</row>
    <row r="795" spans="1:64" ht="15.75" customHeight="1" x14ac:dyDescent="0.2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0"/>
      <c r="U795" s="90"/>
      <c r="V795" s="90"/>
      <c r="W795" s="90"/>
      <c r="X795" s="90"/>
      <c r="Y795" s="90"/>
      <c r="Z795" s="90"/>
      <c r="AA795" s="90"/>
      <c r="AB795" s="91"/>
      <c r="AC795" s="91"/>
      <c r="AD795" s="91"/>
      <c r="AE795" s="91"/>
      <c r="AF795" s="92"/>
      <c r="AG795" s="92"/>
      <c r="AH795" s="92"/>
      <c r="AI795" s="92"/>
      <c r="AJ795" s="92"/>
      <c r="AK795" s="92"/>
      <c r="AL795" s="92"/>
      <c r="AM795" s="92"/>
      <c r="AN795" s="92"/>
      <c r="AO795" s="92"/>
      <c r="AP795" s="92"/>
      <c r="AQ795" s="92"/>
      <c r="AR795" s="92"/>
      <c r="AS795" s="92"/>
      <c r="AT795" s="92"/>
      <c r="AU795" s="92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</row>
    <row r="796" spans="1:64" ht="15.75" customHeight="1" x14ac:dyDescent="0.2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0"/>
      <c r="U796" s="90"/>
      <c r="V796" s="90"/>
      <c r="W796" s="90"/>
      <c r="X796" s="90"/>
      <c r="Y796" s="90"/>
      <c r="Z796" s="90"/>
      <c r="AA796" s="90"/>
      <c r="AB796" s="91"/>
      <c r="AC796" s="91"/>
      <c r="AD796" s="91"/>
      <c r="AE796" s="91"/>
      <c r="AF796" s="92"/>
      <c r="AG796" s="92"/>
      <c r="AH796" s="92"/>
      <c r="AI796" s="92"/>
      <c r="AJ796" s="92"/>
      <c r="AK796" s="92"/>
      <c r="AL796" s="92"/>
      <c r="AM796" s="92"/>
      <c r="AN796" s="92"/>
      <c r="AO796" s="92"/>
      <c r="AP796" s="92"/>
      <c r="AQ796" s="92"/>
      <c r="AR796" s="92"/>
      <c r="AS796" s="92"/>
      <c r="AT796" s="92"/>
      <c r="AU796" s="92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</row>
    <row r="797" spans="1:64" ht="15.75" customHeight="1" x14ac:dyDescent="0.2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0"/>
      <c r="U797" s="90"/>
      <c r="V797" s="90"/>
      <c r="W797" s="90"/>
      <c r="X797" s="90"/>
      <c r="Y797" s="90"/>
      <c r="Z797" s="90"/>
      <c r="AA797" s="90"/>
      <c r="AB797" s="91"/>
      <c r="AC797" s="91"/>
      <c r="AD797" s="91"/>
      <c r="AE797" s="91"/>
      <c r="AF797" s="92"/>
      <c r="AG797" s="92"/>
      <c r="AH797" s="92"/>
      <c r="AI797" s="92"/>
      <c r="AJ797" s="92"/>
      <c r="AK797" s="92"/>
      <c r="AL797" s="92"/>
      <c r="AM797" s="92"/>
      <c r="AN797" s="92"/>
      <c r="AO797" s="92"/>
      <c r="AP797" s="92"/>
      <c r="AQ797" s="92"/>
      <c r="AR797" s="92"/>
      <c r="AS797" s="92"/>
      <c r="AT797" s="92"/>
      <c r="AU797" s="92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</row>
    <row r="798" spans="1:64" ht="15.75" customHeight="1" x14ac:dyDescent="0.2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0"/>
      <c r="U798" s="90"/>
      <c r="V798" s="90"/>
      <c r="W798" s="90"/>
      <c r="X798" s="90"/>
      <c r="Y798" s="90"/>
      <c r="Z798" s="90"/>
      <c r="AA798" s="90"/>
      <c r="AB798" s="91"/>
      <c r="AC798" s="91"/>
      <c r="AD798" s="91"/>
      <c r="AE798" s="91"/>
      <c r="AF798" s="92"/>
      <c r="AG798" s="92"/>
      <c r="AH798" s="92"/>
      <c r="AI798" s="92"/>
      <c r="AJ798" s="92"/>
      <c r="AK798" s="92"/>
      <c r="AL798" s="92"/>
      <c r="AM798" s="92"/>
      <c r="AN798" s="92"/>
      <c r="AO798" s="92"/>
      <c r="AP798" s="92"/>
      <c r="AQ798" s="92"/>
      <c r="AR798" s="92"/>
      <c r="AS798" s="92"/>
      <c r="AT798" s="92"/>
      <c r="AU798" s="92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</row>
    <row r="799" spans="1:64" ht="15.75" customHeight="1" x14ac:dyDescent="0.2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0"/>
      <c r="U799" s="90"/>
      <c r="V799" s="90"/>
      <c r="W799" s="90"/>
      <c r="X799" s="90"/>
      <c r="Y799" s="90"/>
      <c r="Z799" s="90"/>
      <c r="AA799" s="90"/>
      <c r="AB799" s="91"/>
      <c r="AC799" s="91"/>
      <c r="AD799" s="91"/>
      <c r="AE799" s="91"/>
      <c r="AF799" s="92"/>
      <c r="AG799" s="92"/>
      <c r="AH799" s="92"/>
      <c r="AI799" s="92"/>
      <c r="AJ799" s="92"/>
      <c r="AK799" s="92"/>
      <c r="AL799" s="92"/>
      <c r="AM799" s="92"/>
      <c r="AN799" s="92"/>
      <c r="AO799" s="92"/>
      <c r="AP799" s="92"/>
      <c r="AQ799" s="92"/>
      <c r="AR799" s="92"/>
      <c r="AS799" s="92"/>
      <c r="AT799" s="92"/>
      <c r="AU799" s="92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</row>
    <row r="800" spans="1:64" ht="15.75" customHeight="1" x14ac:dyDescent="0.2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0"/>
      <c r="U800" s="90"/>
      <c r="V800" s="90"/>
      <c r="W800" s="90"/>
      <c r="X800" s="90"/>
      <c r="Y800" s="90"/>
      <c r="Z800" s="90"/>
      <c r="AA800" s="90"/>
      <c r="AB800" s="91"/>
      <c r="AC800" s="91"/>
      <c r="AD800" s="91"/>
      <c r="AE800" s="91"/>
      <c r="AF800" s="92"/>
      <c r="AG800" s="92"/>
      <c r="AH800" s="92"/>
      <c r="AI800" s="92"/>
      <c r="AJ800" s="92"/>
      <c r="AK800" s="92"/>
      <c r="AL800" s="92"/>
      <c r="AM800" s="92"/>
      <c r="AN800" s="92"/>
      <c r="AO800" s="92"/>
      <c r="AP800" s="92"/>
      <c r="AQ800" s="92"/>
      <c r="AR800" s="92"/>
      <c r="AS800" s="92"/>
      <c r="AT800" s="92"/>
      <c r="AU800" s="92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</row>
    <row r="801" spans="1:64" ht="15.75" customHeight="1" x14ac:dyDescent="0.2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0"/>
      <c r="U801" s="90"/>
      <c r="V801" s="90"/>
      <c r="W801" s="90"/>
      <c r="X801" s="90"/>
      <c r="Y801" s="90"/>
      <c r="Z801" s="90"/>
      <c r="AA801" s="90"/>
      <c r="AB801" s="91"/>
      <c r="AC801" s="91"/>
      <c r="AD801" s="91"/>
      <c r="AE801" s="91"/>
      <c r="AF801" s="92"/>
      <c r="AG801" s="92"/>
      <c r="AH801" s="92"/>
      <c r="AI801" s="92"/>
      <c r="AJ801" s="92"/>
      <c r="AK801" s="92"/>
      <c r="AL801" s="92"/>
      <c r="AM801" s="92"/>
      <c r="AN801" s="92"/>
      <c r="AO801" s="92"/>
      <c r="AP801" s="92"/>
      <c r="AQ801" s="92"/>
      <c r="AR801" s="92"/>
      <c r="AS801" s="92"/>
      <c r="AT801" s="92"/>
      <c r="AU801" s="92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</row>
    <row r="802" spans="1:64" ht="15.75" customHeight="1" x14ac:dyDescent="0.2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0"/>
      <c r="U802" s="90"/>
      <c r="V802" s="90"/>
      <c r="W802" s="90"/>
      <c r="X802" s="90"/>
      <c r="Y802" s="90"/>
      <c r="Z802" s="90"/>
      <c r="AA802" s="90"/>
      <c r="AB802" s="91"/>
      <c r="AC802" s="91"/>
      <c r="AD802" s="91"/>
      <c r="AE802" s="91"/>
      <c r="AF802" s="92"/>
      <c r="AG802" s="92"/>
      <c r="AH802" s="92"/>
      <c r="AI802" s="92"/>
      <c r="AJ802" s="92"/>
      <c r="AK802" s="92"/>
      <c r="AL802" s="92"/>
      <c r="AM802" s="92"/>
      <c r="AN802" s="92"/>
      <c r="AO802" s="92"/>
      <c r="AP802" s="92"/>
      <c r="AQ802" s="92"/>
      <c r="AR802" s="92"/>
      <c r="AS802" s="92"/>
      <c r="AT802" s="92"/>
      <c r="AU802" s="92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</row>
    <row r="803" spans="1:64" ht="15.75" customHeight="1" x14ac:dyDescent="0.2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0"/>
      <c r="U803" s="90"/>
      <c r="V803" s="90"/>
      <c r="W803" s="90"/>
      <c r="X803" s="90"/>
      <c r="Y803" s="90"/>
      <c r="Z803" s="90"/>
      <c r="AA803" s="90"/>
      <c r="AB803" s="91"/>
      <c r="AC803" s="91"/>
      <c r="AD803" s="91"/>
      <c r="AE803" s="91"/>
      <c r="AF803" s="92"/>
      <c r="AG803" s="92"/>
      <c r="AH803" s="92"/>
      <c r="AI803" s="92"/>
      <c r="AJ803" s="92"/>
      <c r="AK803" s="92"/>
      <c r="AL803" s="92"/>
      <c r="AM803" s="92"/>
      <c r="AN803" s="92"/>
      <c r="AO803" s="92"/>
      <c r="AP803" s="92"/>
      <c r="AQ803" s="92"/>
      <c r="AR803" s="92"/>
      <c r="AS803" s="92"/>
      <c r="AT803" s="92"/>
      <c r="AU803" s="92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</row>
    <row r="804" spans="1:64" ht="15.75" customHeight="1" x14ac:dyDescent="0.2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0"/>
      <c r="U804" s="90"/>
      <c r="V804" s="90"/>
      <c r="W804" s="90"/>
      <c r="X804" s="90"/>
      <c r="Y804" s="90"/>
      <c r="Z804" s="90"/>
      <c r="AA804" s="90"/>
      <c r="AB804" s="91"/>
      <c r="AC804" s="91"/>
      <c r="AD804" s="91"/>
      <c r="AE804" s="91"/>
      <c r="AF804" s="92"/>
      <c r="AG804" s="92"/>
      <c r="AH804" s="92"/>
      <c r="AI804" s="92"/>
      <c r="AJ804" s="92"/>
      <c r="AK804" s="92"/>
      <c r="AL804" s="92"/>
      <c r="AM804" s="92"/>
      <c r="AN804" s="92"/>
      <c r="AO804" s="92"/>
      <c r="AP804" s="92"/>
      <c r="AQ804" s="92"/>
      <c r="AR804" s="92"/>
      <c r="AS804" s="92"/>
      <c r="AT804" s="92"/>
      <c r="AU804" s="92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</row>
    <row r="805" spans="1:64" ht="15.75" customHeight="1" x14ac:dyDescent="0.2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0"/>
      <c r="U805" s="90"/>
      <c r="V805" s="90"/>
      <c r="W805" s="90"/>
      <c r="X805" s="90"/>
      <c r="Y805" s="90"/>
      <c r="Z805" s="90"/>
      <c r="AA805" s="90"/>
      <c r="AB805" s="91"/>
      <c r="AC805" s="91"/>
      <c r="AD805" s="91"/>
      <c r="AE805" s="91"/>
      <c r="AF805" s="92"/>
      <c r="AG805" s="92"/>
      <c r="AH805" s="92"/>
      <c r="AI805" s="92"/>
      <c r="AJ805" s="92"/>
      <c r="AK805" s="92"/>
      <c r="AL805" s="92"/>
      <c r="AM805" s="92"/>
      <c r="AN805" s="92"/>
      <c r="AO805" s="92"/>
      <c r="AP805" s="92"/>
      <c r="AQ805" s="92"/>
      <c r="AR805" s="92"/>
      <c r="AS805" s="92"/>
      <c r="AT805" s="92"/>
      <c r="AU805" s="92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</row>
    <row r="806" spans="1:64" ht="15.75" customHeight="1" x14ac:dyDescent="0.2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0"/>
      <c r="U806" s="90"/>
      <c r="V806" s="90"/>
      <c r="W806" s="90"/>
      <c r="X806" s="90"/>
      <c r="Y806" s="90"/>
      <c r="Z806" s="90"/>
      <c r="AA806" s="90"/>
      <c r="AB806" s="91"/>
      <c r="AC806" s="91"/>
      <c r="AD806" s="91"/>
      <c r="AE806" s="91"/>
      <c r="AF806" s="92"/>
      <c r="AG806" s="92"/>
      <c r="AH806" s="92"/>
      <c r="AI806" s="92"/>
      <c r="AJ806" s="92"/>
      <c r="AK806" s="92"/>
      <c r="AL806" s="92"/>
      <c r="AM806" s="92"/>
      <c r="AN806" s="92"/>
      <c r="AO806" s="92"/>
      <c r="AP806" s="92"/>
      <c r="AQ806" s="92"/>
      <c r="AR806" s="92"/>
      <c r="AS806" s="92"/>
      <c r="AT806" s="92"/>
      <c r="AU806" s="92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</row>
    <row r="807" spans="1:64" ht="15.75" customHeight="1" x14ac:dyDescent="0.2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0"/>
      <c r="U807" s="90"/>
      <c r="V807" s="90"/>
      <c r="W807" s="90"/>
      <c r="X807" s="90"/>
      <c r="Y807" s="90"/>
      <c r="Z807" s="90"/>
      <c r="AA807" s="90"/>
      <c r="AB807" s="91"/>
      <c r="AC807" s="91"/>
      <c r="AD807" s="91"/>
      <c r="AE807" s="91"/>
      <c r="AF807" s="92"/>
      <c r="AG807" s="92"/>
      <c r="AH807" s="92"/>
      <c r="AI807" s="92"/>
      <c r="AJ807" s="92"/>
      <c r="AK807" s="92"/>
      <c r="AL807" s="92"/>
      <c r="AM807" s="92"/>
      <c r="AN807" s="92"/>
      <c r="AO807" s="92"/>
      <c r="AP807" s="92"/>
      <c r="AQ807" s="92"/>
      <c r="AR807" s="92"/>
      <c r="AS807" s="92"/>
      <c r="AT807" s="92"/>
      <c r="AU807" s="92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</row>
    <row r="808" spans="1:64" ht="15.75" customHeight="1" x14ac:dyDescent="0.2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0"/>
      <c r="U808" s="90"/>
      <c r="V808" s="90"/>
      <c r="W808" s="90"/>
      <c r="X808" s="90"/>
      <c r="Y808" s="90"/>
      <c r="Z808" s="90"/>
      <c r="AA808" s="90"/>
      <c r="AB808" s="91"/>
      <c r="AC808" s="91"/>
      <c r="AD808" s="91"/>
      <c r="AE808" s="91"/>
      <c r="AF808" s="92"/>
      <c r="AG808" s="92"/>
      <c r="AH808" s="92"/>
      <c r="AI808" s="92"/>
      <c r="AJ808" s="92"/>
      <c r="AK808" s="92"/>
      <c r="AL808" s="92"/>
      <c r="AM808" s="92"/>
      <c r="AN808" s="92"/>
      <c r="AO808" s="92"/>
      <c r="AP808" s="92"/>
      <c r="AQ808" s="92"/>
      <c r="AR808" s="92"/>
      <c r="AS808" s="92"/>
      <c r="AT808" s="92"/>
      <c r="AU808" s="92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</row>
    <row r="809" spans="1:64" ht="15.75" customHeight="1" x14ac:dyDescent="0.2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0"/>
      <c r="U809" s="90"/>
      <c r="V809" s="90"/>
      <c r="W809" s="90"/>
      <c r="X809" s="90"/>
      <c r="Y809" s="90"/>
      <c r="Z809" s="90"/>
      <c r="AA809" s="90"/>
      <c r="AB809" s="91"/>
      <c r="AC809" s="91"/>
      <c r="AD809" s="91"/>
      <c r="AE809" s="91"/>
      <c r="AF809" s="92"/>
      <c r="AG809" s="92"/>
      <c r="AH809" s="92"/>
      <c r="AI809" s="92"/>
      <c r="AJ809" s="92"/>
      <c r="AK809" s="92"/>
      <c r="AL809" s="92"/>
      <c r="AM809" s="92"/>
      <c r="AN809" s="92"/>
      <c r="AO809" s="92"/>
      <c r="AP809" s="92"/>
      <c r="AQ809" s="92"/>
      <c r="AR809" s="92"/>
      <c r="AS809" s="92"/>
      <c r="AT809" s="92"/>
      <c r="AU809" s="92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</row>
    <row r="810" spans="1:64" ht="15.75" customHeight="1" x14ac:dyDescent="0.2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0"/>
      <c r="U810" s="90"/>
      <c r="V810" s="90"/>
      <c r="W810" s="90"/>
      <c r="X810" s="90"/>
      <c r="Y810" s="90"/>
      <c r="Z810" s="90"/>
      <c r="AA810" s="90"/>
      <c r="AB810" s="91"/>
      <c r="AC810" s="91"/>
      <c r="AD810" s="91"/>
      <c r="AE810" s="91"/>
      <c r="AF810" s="92"/>
      <c r="AG810" s="92"/>
      <c r="AH810" s="92"/>
      <c r="AI810" s="92"/>
      <c r="AJ810" s="92"/>
      <c r="AK810" s="92"/>
      <c r="AL810" s="92"/>
      <c r="AM810" s="92"/>
      <c r="AN810" s="92"/>
      <c r="AO810" s="92"/>
      <c r="AP810" s="92"/>
      <c r="AQ810" s="92"/>
      <c r="AR810" s="92"/>
      <c r="AS810" s="92"/>
      <c r="AT810" s="92"/>
      <c r="AU810" s="92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</row>
    <row r="811" spans="1:64" ht="15.75" customHeight="1" x14ac:dyDescent="0.2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0"/>
      <c r="U811" s="90"/>
      <c r="V811" s="90"/>
      <c r="W811" s="90"/>
      <c r="X811" s="90"/>
      <c r="Y811" s="90"/>
      <c r="Z811" s="90"/>
      <c r="AA811" s="90"/>
      <c r="AB811" s="91"/>
      <c r="AC811" s="91"/>
      <c r="AD811" s="91"/>
      <c r="AE811" s="91"/>
      <c r="AF811" s="92"/>
      <c r="AG811" s="92"/>
      <c r="AH811" s="92"/>
      <c r="AI811" s="92"/>
      <c r="AJ811" s="92"/>
      <c r="AK811" s="92"/>
      <c r="AL811" s="92"/>
      <c r="AM811" s="92"/>
      <c r="AN811" s="92"/>
      <c r="AO811" s="92"/>
      <c r="AP811" s="92"/>
      <c r="AQ811" s="92"/>
      <c r="AR811" s="92"/>
      <c r="AS811" s="92"/>
      <c r="AT811" s="92"/>
      <c r="AU811" s="92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</row>
    <row r="812" spans="1:64" ht="15.75" customHeight="1" x14ac:dyDescent="0.2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0"/>
      <c r="U812" s="90"/>
      <c r="V812" s="90"/>
      <c r="W812" s="90"/>
      <c r="X812" s="90"/>
      <c r="Y812" s="90"/>
      <c r="Z812" s="90"/>
      <c r="AA812" s="90"/>
      <c r="AB812" s="91"/>
      <c r="AC812" s="91"/>
      <c r="AD812" s="91"/>
      <c r="AE812" s="91"/>
      <c r="AF812" s="92"/>
      <c r="AG812" s="92"/>
      <c r="AH812" s="92"/>
      <c r="AI812" s="92"/>
      <c r="AJ812" s="92"/>
      <c r="AK812" s="92"/>
      <c r="AL812" s="92"/>
      <c r="AM812" s="92"/>
      <c r="AN812" s="92"/>
      <c r="AO812" s="92"/>
      <c r="AP812" s="92"/>
      <c r="AQ812" s="92"/>
      <c r="AR812" s="92"/>
      <c r="AS812" s="92"/>
      <c r="AT812" s="92"/>
      <c r="AU812" s="92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</row>
    <row r="813" spans="1:64" ht="15.75" customHeight="1" x14ac:dyDescent="0.2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0"/>
      <c r="U813" s="90"/>
      <c r="V813" s="90"/>
      <c r="W813" s="90"/>
      <c r="X813" s="90"/>
      <c r="Y813" s="90"/>
      <c r="Z813" s="90"/>
      <c r="AA813" s="90"/>
      <c r="AB813" s="91"/>
      <c r="AC813" s="91"/>
      <c r="AD813" s="91"/>
      <c r="AE813" s="91"/>
      <c r="AF813" s="92"/>
      <c r="AG813" s="92"/>
      <c r="AH813" s="92"/>
      <c r="AI813" s="92"/>
      <c r="AJ813" s="92"/>
      <c r="AK813" s="92"/>
      <c r="AL813" s="92"/>
      <c r="AM813" s="92"/>
      <c r="AN813" s="92"/>
      <c r="AO813" s="92"/>
      <c r="AP813" s="92"/>
      <c r="AQ813" s="92"/>
      <c r="AR813" s="92"/>
      <c r="AS813" s="92"/>
      <c r="AT813" s="92"/>
      <c r="AU813" s="92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</row>
    <row r="814" spans="1:64" ht="15.75" customHeight="1" x14ac:dyDescent="0.2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0"/>
      <c r="U814" s="90"/>
      <c r="V814" s="90"/>
      <c r="W814" s="90"/>
      <c r="X814" s="90"/>
      <c r="Y814" s="90"/>
      <c r="Z814" s="90"/>
      <c r="AA814" s="90"/>
      <c r="AB814" s="91"/>
      <c r="AC814" s="91"/>
      <c r="AD814" s="91"/>
      <c r="AE814" s="91"/>
      <c r="AF814" s="92"/>
      <c r="AG814" s="92"/>
      <c r="AH814" s="92"/>
      <c r="AI814" s="92"/>
      <c r="AJ814" s="92"/>
      <c r="AK814" s="92"/>
      <c r="AL814" s="92"/>
      <c r="AM814" s="92"/>
      <c r="AN814" s="92"/>
      <c r="AO814" s="92"/>
      <c r="AP814" s="92"/>
      <c r="AQ814" s="92"/>
      <c r="AR814" s="92"/>
      <c r="AS814" s="92"/>
      <c r="AT814" s="92"/>
      <c r="AU814" s="92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</row>
    <row r="815" spans="1:64" ht="15.75" customHeight="1" x14ac:dyDescent="0.2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0"/>
      <c r="U815" s="90"/>
      <c r="V815" s="90"/>
      <c r="W815" s="90"/>
      <c r="X815" s="90"/>
      <c r="Y815" s="90"/>
      <c r="Z815" s="90"/>
      <c r="AA815" s="90"/>
      <c r="AB815" s="91"/>
      <c r="AC815" s="91"/>
      <c r="AD815" s="91"/>
      <c r="AE815" s="91"/>
      <c r="AF815" s="92"/>
      <c r="AG815" s="92"/>
      <c r="AH815" s="92"/>
      <c r="AI815" s="92"/>
      <c r="AJ815" s="92"/>
      <c r="AK815" s="92"/>
      <c r="AL815" s="92"/>
      <c r="AM815" s="92"/>
      <c r="AN815" s="92"/>
      <c r="AO815" s="92"/>
      <c r="AP815" s="92"/>
      <c r="AQ815" s="92"/>
      <c r="AR815" s="92"/>
      <c r="AS815" s="92"/>
      <c r="AT815" s="92"/>
      <c r="AU815" s="92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</row>
    <row r="816" spans="1:64" ht="15.75" customHeight="1" x14ac:dyDescent="0.2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0"/>
      <c r="U816" s="90"/>
      <c r="V816" s="90"/>
      <c r="W816" s="90"/>
      <c r="X816" s="90"/>
      <c r="Y816" s="90"/>
      <c r="Z816" s="90"/>
      <c r="AA816" s="90"/>
      <c r="AB816" s="91"/>
      <c r="AC816" s="91"/>
      <c r="AD816" s="91"/>
      <c r="AE816" s="91"/>
      <c r="AF816" s="92"/>
      <c r="AG816" s="92"/>
      <c r="AH816" s="92"/>
      <c r="AI816" s="92"/>
      <c r="AJ816" s="92"/>
      <c r="AK816" s="92"/>
      <c r="AL816" s="92"/>
      <c r="AM816" s="92"/>
      <c r="AN816" s="92"/>
      <c r="AO816" s="92"/>
      <c r="AP816" s="92"/>
      <c r="AQ816" s="92"/>
      <c r="AR816" s="92"/>
      <c r="AS816" s="92"/>
      <c r="AT816" s="92"/>
      <c r="AU816" s="92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</row>
    <row r="817" spans="1:64" ht="15.75" customHeight="1" x14ac:dyDescent="0.2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0"/>
      <c r="U817" s="90"/>
      <c r="V817" s="90"/>
      <c r="W817" s="90"/>
      <c r="X817" s="90"/>
      <c r="Y817" s="90"/>
      <c r="Z817" s="90"/>
      <c r="AA817" s="90"/>
      <c r="AB817" s="91"/>
      <c r="AC817" s="91"/>
      <c r="AD817" s="91"/>
      <c r="AE817" s="91"/>
      <c r="AF817" s="92"/>
      <c r="AG817" s="92"/>
      <c r="AH817" s="92"/>
      <c r="AI817" s="92"/>
      <c r="AJ817" s="92"/>
      <c r="AK817" s="92"/>
      <c r="AL817" s="92"/>
      <c r="AM817" s="92"/>
      <c r="AN817" s="92"/>
      <c r="AO817" s="92"/>
      <c r="AP817" s="92"/>
      <c r="AQ817" s="92"/>
      <c r="AR817" s="92"/>
      <c r="AS817" s="92"/>
      <c r="AT817" s="92"/>
      <c r="AU817" s="92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</row>
    <row r="818" spans="1:64" ht="15.75" customHeight="1" x14ac:dyDescent="0.2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0"/>
      <c r="U818" s="90"/>
      <c r="V818" s="90"/>
      <c r="W818" s="90"/>
      <c r="X818" s="90"/>
      <c r="Y818" s="90"/>
      <c r="Z818" s="90"/>
      <c r="AA818" s="90"/>
      <c r="AB818" s="91"/>
      <c r="AC818" s="91"/>
      <c r="AD818" s="91"/>
      <c r="AE818" s="91"/>
      <c r="AF818" s="92"/>
      <c r="AG818" s="92"/>
      <c r="AH818" s="92"/>
      <c r="AI818" s="92"/>
      <c r="AJ818" s="92"/>
      <c r="AK818" s="92"/>
      <c r="AL818" s="92"/>
      <c r="AM818" s="92"/>
      <c r="AN818" s="92"/>
      <c r="AO818" s="92"/>
      <c r="AP818" s="92"/>
      <c r="AQ818" s="92"/>
      <c r="AR818" s="92"/>
      <c r="AS818" s="92"/>
      <c r="AT818" s="92"/>
      <c r="AU818" s="92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</row>
    <row r="819" spans="1:64" ht="15.75" customHeight="1" x14ac:dyDescent="0.2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0"/>
      <c r="U819" s="90"/>
      <c r="V819" s="90"/>
      <c r="W819" s="90"/>
      <c r="X819" s="90"/>
      <c r="Y819" s="90"/>
      <c r="Z819" s="90"/>
      <c r="AA819" s="90"/>
      <c r="AB819" s="91"/>
      <c r="AC819" s="91"/>
      <c r="AD819" s="91"/>
      <c r="AE819" s="91"/>
      <c r="AF819" s="92"/>
      <c r="AG819" s="92"/>
      <c r="AH819" s="92"/>
      <c r="AI819" s="92"/>
      <c r="AJ819" s="92"/>
      <c r="AK819" s="92"/>
      <c r="AL819" s="92"/>
      <c r="AM819" s="92"/>
      <c r="AN819" s="92"/>
      <c r="AO819" s="92"/>
      <c r="AP819" s="92"/>
      <c r="AQ819" s="92"/>
      <c r="AR819" s="92"/>
      <c r="AS819" s="92"/>
      <c r="AT819" s="92"/>
      <c r="AU819" s="92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</row>
    <row r="820" spans="1:64" ht="15.75" customHeight="1" x14ac:dyDescent="0.2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0"/>
      <c r="U820" s="90"/>
      <c r="V820" s="90"/>
      <c r="W820" s="90"/>
      <c r="X820" s="90"/>
      <c r="Y820" s="90"/>
      <c r="Z820" s="90"/>
      <c r="AA820" s="90"/>
      <c r="AB820" s="91"/>
      <c r="AC820" s="91"/>
      <c r="AD820" s="91"/>
      <c r="AE820" s="91"/>
      <c r="AF820" s="92"/>
      <c r="AG820" s="92"/>
      <c r="AH820" s="92"/>
      <c r="AI820" s="92"/>
      <c r="AJ820" s="92"/>
      <c r="AK820" s="92"/>
      <c r="AL820" s="92"/>
      <c r="AM820" s="92"/>
      <c r="AN820" s="92"/>
      <c r="AO820" s="92"/>
      <c r="AP820" s="92"/>
      <c r="AQ820" s="92"/>
      <c r="AR820" s="92"/>
      <c r="AS820" s="92"/>
      <c r="AT820" s="92"/>
      <c r="AU820" s="92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</row>
    <row r="821" spans="1:64" ht="15.75" customHeight="1" x14ac:dyDescent="0.2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0"/>
      <c r="U821" s="90"/>
      <c r="V821" s="90"/>
      <c r="W821" s="90"/>
      <c r="X821" s="90"/>
      <c r="Y821" s="90"/>
      <c r="Z821" s="90"/>
      <c r="AA821" s="90"/>
      <c r="AB821" s="91"/>
      <c r="AC821" s="91"/>
      <c r="AD821" s="91"/>
      <c r="AE821" s="91"/>
      <c r="AF821" s="92"/>
      <c r="AG821" s="92"/>
      <c r="AH821" s="92"/>
      <c r="AI821" s="92"/>
      <c r="AJ821" s="92"/>
      <c r="AK821" s="92"/>
      <c r="AL821" s="92"/>
      <c r="AM821" s="92"/>
      <c r="AN821" s="92"/>
      <c r="AO821" s="92"/>
      <c r="AP821" s="92"/>
      <c r="AQ821" s="92"/>
      <c r="AR821" s="92"/>
      <c r="AS821" s="92"/>
      <c r="AT821" s="92"/>
      <c r="AU821" s="92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</row>
    <row r="822" spans="1:64" ht="15.75" customHeight="1" x14ac:dyDescent="0.2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0"/>
      <c r="U822" s="90"/>
      <c r="V822" s="90"/>
      <c r="W822" s="90"/>
      <c r="X822" s="90"/>
      <c r="Y822" s="90"/>
      <c r="Z822" s="90"/>
      <c r="AA822" s="90"/>
      <c r="AB822" s="91"/>
      <c r="AC822" s="91"/>
      <c r="AD822" s="91"/>
      <c r="AE822" s="91"/>
      <c r="AF822" s="92"/>
      <c r="AG822" s="92"/>
      <c r="AH822" s="92"/>
      <c r="AI822" s="92"/>
      <c r="AJ822" s="92"/>
      <c r="AK822" s="92"/>
      <c r="AL822" s="92"/>
      <c r="AM822" s="92"/>
      <c r="AN822" s="92"/>
      <c r="AO822" s="92"/>
      <c r="AP822" s="92"/>
      <c r="AQ822" s="92"/>
      <c r="AR822" s="92"/>
      <c r="AS822" s="92"/>
      <c r="AT822" s="92"/>
      <c r="AU822" s="92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</row>
    <row r="823" spans="1:64" ht="15.75" customHeight="1" x14ac:dyDescent="0.2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0"/>
      <c r="U823" s="90"/>
      <c r="V823" s="90"/>
      <c r="W823" s="90"/>
      <c r="X823" s="90"/>
      <c r="Y823" s="90"/>
      <c r="Z823" s="90"/>
      <c r="AA823" s="90"/>
      <c r="AB823" s="91"/>
      <c r="AC823" s="91"/>
      <c r="AD823" s="91"/>
      <c r="AE823" s="91"/>
      <c r="AF823" s="92"/>
      <c r="AG823" s="92"/>
      <c r="AH823" s="92"/>
      <c r="AI823" s="92"/>
      <c r="AJ823" s="92"/>
      <c r="AK823" s="92"/>
      <c r="AL823" s="92"/>
      <c r="AM823" s="92"/>
      <c r="AN823" s="92"/>
      <c r="AO823" s="92"/>
      <c r="AP823" s="92"/>
      <c r="AQ823" s="92"/>
      <c r="AR823" s="92"/>
      <c r="AS823" s="92"/>
      <c r="AT823" s="92"/>
      <c r="AU823" s="92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</row>
    <row r="824" spans="1:64" ht="15.75" customHeight="1" x14ac:dyDescent="0.2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0"/>
      <c r="U824" s="90"/>
      <c r="V824" s="90"/>
      <c r="W824" s="90"/>
      <c r="X824" s="90"/>
      <c r="Y824" s="90"/>
      <c r="Z824" s="90"/>
      <c r="AA824" s="90"/>
      <c r="AB824" s="91"/>
      <c r="AC824" s="91"/>
      <c r="AD824" s="91"/>
      <c r="AE824" s="91"/>
      <c r="AF824" s="92"/>
      <c r="AG824" s="92"/>
      <c r="AH824" s="92"/>
      <c r="AI824" s="92"/>
      <c r="AJ824" s="92"/>
      <c r="AK824" s="92"/>
      <c r="AL824" s="92"/>
      <c r="AM824" s="92"/>
      <c r="AN824" s="92"/>
      <c r="AO824" s="92"/>
      <c r="AP824" s="92"/>
      <c r="AQ824" s="92"/>
      <c r="AR824" s="92"/>
      <c r="AS824" s="92"/>
      <c r="AT824" s="92"/>
      <c r="AU824" s="92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</row>
    <row r="825" spans="1:64" ht="15.75" customHeight="1" x14ac:dyDescent="0.2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0"/>
      <c r="U825" s="90"/>
      <c r="V825" s="90"/>
      <c r="W825" s="90"/>
      <c r="X825" s="90"/>
      <c r="Y825" s="90"/>
      <c r="Z825" s="90"/>
      <c r="AA825" s="90"/>
      <c r="AB825" s="91"/>
      <c r="AC825" s="91"/>
      <c r="AD825" s="91"/>
      <c r="AE825" s="91"/>
      <c r="AF825" s="92"/>
      <c r="AG825" s="92"/>
      <c r="AH825" s="92"/>
      <c r="AI825" s="92"/>
      <c r="AJ825" s="92"/>
      <c r="AK825" s="92"/>
      <c r="AL825" s="92"/>
      <c r="AM825" s="92"/>
      <c r="AN825" s="92"/>
      <c r="AO825" s="92"/>
      <c r="AP825" s="92"/>
      <c r="AQ825" s="92"/>
      <c r="AR825" s="92"/>
      <c r="AS825" s="92"/>
      <c r="AT825" s="92"/>
      <c r="AU825" s="92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</row>
    <row r="826" spans="1:64" ht="15.75" customHeight="1" x14ac:dyDescent="0.2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0"/>
      <c r="U826" s="90"/>
      <c r="V826" s="90"/>
      <c r="W826" s="90"/>
      <c r="X826" s="90"/>
      <c r="Y826" s="90"/>
      <c r="Z826" s="90"/>
      <c r="AA826" s="90"/>
      <c r="AB826" s="91"/>
      <c r="AC826" s="91"/>
      <c r="AD826" s="91"/>
      <c r="AE826" s="91"/>
      <c r="AF826" s="92"/>
      <c r="AG826" s="92"/>
      <c r="AH826" s="92"/>
      <c r="AI826" s="92"/>
      <c r="AJ826" s="92"/>
      <c r="AK826" s="92"/>
      <c r="AL826" s="92"/>
      <c r="AM826" s="92"/>
      <c r="AN826" s="92"/>
      <c r="AO826" s="92"/>
      <c r="AP826" s="92"/>
      <c r="AQ826" s="92"/>
      <c r="AR826" s="92"/>
      <c r="AS826" s="92"/>
      <c r="AT826" s="92"/>
      <c r="AU826" s="92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</row>
    <row r="827" spans="1:64" ht="15.75" customHeight="1" x14ac:dyDescent="0.2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0"/>
      <c r="U827" s="90"/>
      <c r="V827" s="90"/>
      <c r="W827" s="90"/>
      <c r="X827" s="90"/>
      <c r="Y827" s="90"/>
      <c r="Z827" s="90"/>
      <c r="AA827" s="90"/>
      <c r="AB827" s="91"/>
      <c r="AC827" s="91"/>
      <c r="AD827" s="91"/>
      <c r="AE827" s="91"/>
      <c r="AF827" s="92"/>
      <c r="AG827" s="92"/>
      <c r="AH827" s="92"/>
      <c r="AI827" s="92"/>
      <c r="AJ827" s="92"/>
      <c r="AK827" s="92"/>
      <c r="AL827" s="92"/>
      <c r="AM827" s="92"/>
      <c r="AN827" s="92"/>
      <c r="AO827" s="92"/>
      <c r="AP827" s="92"/>
      <c r="AQ827" s="92"/>
      <c r="AR827" s="92"/>
      <c r="AS827" s="92"/>
      <c r="AT827" s="92"/>
      <c r="AU827" s="92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</row>
    <row r="828" spans="1:64" ht="15.75" customHeight="1" x14ac:dyDescent="0.2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0"/>
      <c r="U828" s="90"/>
      <c r="V828" s="90"/>
      <c r="W828" s="90"/>
      <c r="X828" s="90"/>
      <c r="Y828" s="90"/>
      <c r="Z828" s="90"/>
      <c r="AA828" s="90"/>
      <c r="AB828" s="91"/>
      <c r="AC828" s="91"/>
      <c r="AD828" s="91"/>
      <c r="AE828" s="91"/>
      <c r="AF828" s="92"/>
      <c r="AG828" s="92"/>
      <c r="AH828" s="92"/>
      <c r="AI828" s="92"/>
      <c r="AJ828" s="92"/>
      <c r="AK828" s="92"/>
      <c r="AL828" s="92"/>
      <c r="AM828" s="92"/>
      <c r="AN828" s="92"/>
      <c r="AO828" s="92"/>
      <c r="AP828" s="92"/>
      <c r="AQ828" s="92"/>
      <c r="AR828" s="92"/>
      <c r="AS828" s="92"/>
      <c r="AT828" s="92"/>
      <c r="AU828" s="92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</row>
    <row r="829" spans="1:64" ht="15.75" customHeight="1" x14ac:dyDescent="0.2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0"/>
      <c r="U829" s="90"/>
      <c r="V829" s="90"/>
      <c r="W829" s="90"/>
      <c r="X829" s="90"/>
      <c r="Y829" s="90"/>
      <c r="Z829" s="90"/>
      <c r="AA829" s="90"/>
      <c r="AB829" s="91"/>
      <c r="AC829" s="91"/>
      <c r="AD829" s="91"/>
      <c r="AE829" s="91"/>
      <c r="AF829" s="92"/>
      <c r="AG829" s="92"/>
      <c r="AH829" s="92"/>
      <c r="AI829" s="92"/>
      <c r="AJ829" s="92"/>
      <c r="AK829" s="92"/>
      <c r="AL829" s="92"/>
      <c r="AM829" s="92"/>
      <c r="AN829" s="92"/>
      <c r="AO829" s="92"/>
      <c r="AP829" s="92"/>
      <c r="AQ829" s="92"/>
      <c r="AR829" s="92"/>
      <c r="AS829" s="92"/>
      <c r="AT829" s="92"/>
      <c r="AU829" s="92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</row>
    <row r="830" spans="1:64" ht="15.75" customHeight="1" x14ac:dyDescent="0.2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0"/>
      <c r="U830" s="90"/>
      <c r="V830" s="90"/>
      <c r="W830" s="90"/>
      <c r="X830" s="90"/>
      <c r="Y830" s="90"/>
      <c r="Z830" s="90"/>
      <c r="AA830" s="90"/>
      <c r="AB830" s="91"/>
      <c r="AC830" s="91"/>
      <c r="AD830" s="91"/>
      <c r="AE830" s="91"/>
      <c r="AF830" s="92"/>
      <c r="AG830" s="92"/>
      <c r="AH830" s="92"/>
      <c r="AI830" s="92"/>
      <c r="AJ830" s="92"/>
      <c r="AK830" s="92"/>
      <c r="AL830" s="92"/>
      <c r="AM830" s="92"/>
      <c r="AN830" s="92"/>
      <c r="AO830" s="92"/>
      <c r="AP830" s="92"/>
      <c r="AQ830" s="92"/>
      <c r="AR830" s="92"/>
      <c r="AS830" s="92"/>
      <c r="AT830" s="92"/>
      <c r="AU830" s="92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</row>
    <row r="831" spans="1:64" ht="15.75" customHeight="1" x14ac:dyDescent="0.2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0"/>
      <c r="U831" s="90"/>
      <c r="V831" s="90"/>
      <c r="W831" s="90"/>
      <c r="X831" s="90"/>
      <c r="Y831" s="90"/>
      <c r="Z831" s="90"/>
      <c r="AA831" s="90"/>
      <c r="AB831" s="91"/>
      <c r="AC831" s="91"/>
      <c r="AD831" s="91"/>
      <c r="AE831" s="91"/>
      <c r="AF831" s="92"/>
      <c r="AG831" s="92"/>
      <c r="AH831" s="92"/>
      <c r="AI831" s="92"/>
      <c r="AJ831" s="92"/>
      <c r="AK831" s="92"/>
      <c r="AL831" s="92"/>
      <c r="AM831" s="92"/>
      <c r="AN831" s="92"/>
      <c r="AO831" s="92"/>
      <c r="AP831" s="92"/>
      <c r="AQ831" s="92"/>
      <c r="AR831" s="92"/>
      <c r="AS831" s="92"/>
      <c r="AT831" s="92"/>
      <c r="AU831" s="92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</row>
    <row r="832" spans="1:64" ht="15.75" customHeight="1" x14ac:dyDescent="0.2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0"/>
      <c r="U832" s="90"/>
      <c r="V832" s="90"/>
      <c r="W832" s="90"/>
      <c r="X832" s="90"/>
      <c r="Y832" s="90"/>
      <c r="Z832" s="90"/>
      <c r="AA832" s="90"/>
      <c r="AB832" s="91"/>
      <c r="AC832" s="91"/>
      <c r="AD832" s="91"/>
      <c r="AE832" s="91"/>
      <c r="AF832" s="92"/>
      <c r="AG832" s="92"/>
      <c r="AH832" s="92"/>
      <c r="AI832" s="92"/>
      <c r="AJ832" s="92"/>
      <c r="AK832" s="92"/>
      <c r="AL832" s="92"/>
      <c r="AM832" s="92"/>
      <c r="AN832" s="92"/>
      <c r="AO832" s="92"/>
      <c r="AP832" s="92"/>
      <c r="AQ832" s="92"/>
      <c r="AR832" s="92"/>
      <c r="AS832" s="92"/>
      <c r="AT832" s="92"/>
      <c r="AU832" s="92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</row>
    <row r="833" spans="1:64" ht="15.75" customHeight="1" x14ac:dyDescent="0.2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0"/>
      <c r="U833" s="90"/>
      <c r="V833" s="90"/>
      <c r="W833" s="90"/>
      <c r="X833" s="90"/>
      <c r="Y833" s="90"/>
      <c r="Z833" s="90"/>
      <c r="AA833" s="90"/>
      <c r="AB833" s="91"/>
      <c r="AC833" s="91"/>
      <c r="AD833" s="91"/>
      <c r="AE833" s="91"/>
      <c r="AF833" s="92"/>
      <c r="AG833" s="92"/>
      <c r="AH833" s="92"/>
      <c r="AI833" s="92"/>
      <c r="AJ833" s="92"/>
      <c r="AK833" s="92"/>
      <c r="AL833" s="92"/>
      <c r="AM833" s="92"/>
      <c r="AN833" s="92"/>
      <c r="AO833" s="92"/>
      <c r="AP833" s="92"/>
      <c r="AQ833" s="92"/>
      <c r="AR833" s="92"/>
      <c r="AS833" s="92"/>
      <c r="AT833" s="92"/>
      <c r="AU833" s="92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</row>
    <row r="834" spans="1:64" ht="15.75" customHeight="1" x14ac:dyDescent="0.2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0"/>
      <c r="U834" s="90"/>
      <c r="V834" s="90"/>
      <c r="W834" s="90"/>
      <c r="X834" s="90"/>
      <c r="Y834" s="90"/>
      <c r="Z834" s="90"/>
      <c r="AA834" s="90"/>
      <c r="AB834" s="91"/>
      <c r="AC834" s="91"/>
      <c r="AD834" s="91"/>
      <c r="AE834" s="91"/>
      <c r="AF834" s="92"/>
      <c r="AG834" s="92"/>
      <c r="AH834" s="92"/>
      <c r="AI834" s="92"/>
      <c r="AJ834" s="92"/>
      <c r="AK834" s="92"/>
      <c r="AL834" s="92"/>
      <c r="AM834" s="92"/>
      <c r="AN834" s="92"/>
      <c r="AO834" s="92"/>
      <c r="AP834" s="92"/>
      <c r="AQ834" s="92"/>
      <c r="AR834" s="92"/>
      <c r="AS834" s="92"/>
      <c r="AT834" s="92"/>
      <c r="AU834" s="92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</row>
    <row r="835" spans="1:64" ht="15.75" customHeight="1" x14ac:dyDescent="0.2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0"/>
      <c r="U835" s="90"/>
      <c r="V835" s="90"/>
      <c r="W835" s="90"/>
      <c r="X835" s="90"/>
      <c r="Y835" s="90"/>
      <c r="Z835" s="90"/>
      <c r="AA835" s="90"/>
      <c r="AB835" s="91"/>
      <c r="AC835" s="91"/>
      <c r="AD835" s="91"/>
      <c r="AE835" s="91"/>
      <c r="AF835" s="92"/>
      <c r="AG835" s="92"/>
      <c r="AH835" s="92"/>
      <c r="AI835" s="92"/>
      <c r="AJ835" s="92"/>
      <c r="AK835" s="92"/>
      <c r="AL835" s="92"/>
      <c r="AM835" s="92"/>
      <c r="AN835" s="92"/>
      <c r="AO835" s="92"/>
      <c r="AP835" s="92"/>
      <c r="AQ835" s="92"/>
      <c r="AR835" s="92"/>
      <c r="AS835" s="92"/>
      <c r="AT835" s="92"/>
      <c r="AU835" s="92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</row>
    <row r="836" spans="1:64" ht="15.75" customHeight="1" x14ac:dyDescent="0.2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0"/>
      <c r="U836" s="90"/>
      <c r="V836" s="90"/>
      <c r="W836" s="90"/>
      <c r="X836" s="90"/>
      <c r="Y836" s="90"/>
      <c r="Z836" s="90"/>
      <c r="AA836" s="90"/>
      <c r="AB836" s="91"/>
      <c r="AC836" s="91"/>
      <c r="AD836" s="91"/>
      <c r="AE836" s="91"/>
      <c r="AF836" s="92"/>
      <c r="AG836" s="92"/>
      <c r="AH836" s="92"/>
      <c r="AI836" s="92"/>
      <c r="AJ836" s="92"/>
      <c r="AK836" s="92"/>
      <c r="AL836" s="92"/>
      <c r="AM836" s="92"/>
      <c r="AN836" s="92"/>
      <c r="AO836" s="92"/>
      <c r="AP836" s="92"/>
      <c r="AQ836" s="92"/>
      <c r="AR836" s="92"/>
      <c r="AS836" s="92"/>
      <c r="AT836" s="92"/>
      <c r="AU836" s="92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</row>
    <row r="837" spans="1:64" ht="15.75" customHeight="1" x14ac:dyDescent="0.2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0"/>
      <c r="U837" s="90"/>
      <c r="V837" s="90"/>
      <c r="W837" s="90"/>
      <c r="X837" s="90"/>
      <c r="Y837" s="90"/>
      <c r="Z837" s="90"/>
      <c r="AA837" s="90"/>
      <c r="AB837" s="91"/>
      <c r="AC837" s="91"/>
      <c r="AD837" s="91"/>
      <c r="AE837" s="91"/>
      <c r="AF837" s="92"/>
      <c r="AG837" s="92"/>
      <c r="AH837" s="92"/>
      <c r="AI837" s="92"/>
      <c r="AJ837" s="92"/>
      <c r="AK837" s="92"/>
      <c r="AL837" s="92"/>
      <c r="AM837" s="92"/>
      <c r="AN837" s="92"/>
      <c r="AO837" s="92"/>
      <c r="AP837" s="92"/>
      <c r="AQ837" s="92"/>
      <c r="AR837" s="92"/>
      <c r="AS837" s="92"/>
      <c r="AT837" s="92"/>
      <c r="AU837" s="92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</row>
    <row r="838" spans="1:64" ht="15.75" customHeight="1" x14ac:dyDescent="0.2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0"/>
      <c r="U838" s="90"/>
      <c r="V838" s="90"/>
      <c r="W838" s="90"/>
      <c r="X838" s="90"/>
      <c r="Y838" s="90"/>
      <c r="Z838" s="90"/>
      <c r="AA838" s="90"/>
      <c r="AB838" s="91"/>
      <c r="AC838" s="91"/>
      <c r="AD838" s="91"/>
      <c r="AE838" s="91"/>
      <c r="AF838" s="92"/>
      <c r="AG838" s="92"/>
      <c r="AH838" s="92"/>
      <c r="AI838" s="92"/>
      <c r="AJ838" s="92"/>
      <c r="AK838" s="92"/>
      <c r="AL838" s="92"/>
      <c r="AM838" s="92"/>
      <c r="AN838" s="92"/>
      <c r="AO838" s="92"/>
      <c r="AP838" s="92"/>
      <c r="AQ838" s="92"/>
      <c r="AR838" s="92"/>
      <c r="AS838" s="92"/>
      <c r="AT838" s="92"/>
      <c r="AU838" s="92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</row>
    <row r="839" spans="1:64" ht="15.75" customHeight="1" x14ac:dyDescent="0.2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0"/>
      <c r="U839" s="90"/>
      <c r="V839" s="90"/>
      <c r="W839" s="90"/>
      <c r="X839" s="90"/>
      <c r="Y839" s="90"/>
      <c r="Z839" s="90"/>
      <c r="AA839" s="90"/>
      <c r="AB839" s="91"/>
      <c r="AC839" s="91"/>
      <c r="AD839" s="91"/>
      <c r="AE839" s="91"/>
      <c r="AF839" s="92"/>
      <c r="AG839" s="92"/>
      <c r="AH839" s="92"/>
      <c r="AI839" s="92"/>
      <c r="AJ839" s="92"/>
      <c r="AK839" s="92"/>
      <c r="AL839" s="92"/>
      <c r="AM839" s="92"/>
      <c r="AN839" s="92"/>
      <c r="AO839" s="92"/>
      <c r="AP839" s="92"/>
      <c r="AQ839" s="92"/>
      <c r="AR839" s="92"/>
      <c r="AS839" s="92"/>
      <c r="AT839" s="92"/>
      <c r="AU839" s="92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</row>
    <row r="840" spans="1:64" ht="15.75" customHeight="1" x14ac:dyDescent="0.2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0"/>
      <c r="U840" s="90"/>
      <c r="V840" s="90"/>
      <c r="W840" s="90"/>
      <c r="X840" s="90"/>
      <c r="Y840" s="90"/>
      <c r="Z840" s="90"/>
      <c r="AA840" s="90"/>
      <c r="AB840" s="91"/>
      <c r="AC840" s="91"/>
      <c r="AD840" s="91"/>
      <c r="AE840" s="91"/>
      <c r="AF840" s="92"/>
      <c r="AG840" s="92"/>
      <c r="AH840" s="92"/>
      <c r="AI840" s="92"/>
      <c r="AJ840" s="92"/>
      <c r="AK840" s="92"/>
      <c r="AL840" s="92"/>
      <c r="AM840" s="92"/>
      <c r="AN840" s="92"/>
      <c r="AO840" s="92"/>
      <c r="AP840" s="92"/>
      <c r="AQ840" s="92"/>
      <c r="AR840" s="92"/>
      <c r="AS840" s="92"/>
      <c r="AT840" s="92"/>
      <c r="AU840" s="92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</row>
    <row r="841" spans="1:64" ht="15.75" customHeight="1" x14ac:dyDescent="0.2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0"/>
      <c r="U841" s="90"/>
      <c r="V841" s="90"/>
      <c r="W841" s="90"/>
      <c r="X841" s="90"/>
      <c r="Y841" s="90"/>
      <c r="Z841" s="90"/>
      <c r="AA841" s="90"/>
      <c r="AB841" s="91"/>
      <c r="AC841" s="91"/>
      <c r="AD841" s="91"/>
      <c r="AE841" s="91"/>
      <c r="AF841" s="92"/>
      <c r="AG841" s="92"/>
      <c r="AH841" s="92"/>
      <c r="AI841" s="92"/>
      <c r="AJ841" s="92"/>
      <c r="AK841" s="92"/>
      <c r="AL841" s="92"/>
      <c r="AM841" s="92"/>
      <c r="AN841" s="92"/>
      <c r="AO841" s="92"/>
      <c r="AP841" s="92"/>
      <c r="AQ841" s="92"/>
      <c r="AR841" s="92"/>
      <c r="AS841" s="92"/>
      <c r="AT841" s="92"/>
      <c r="AU841" s="92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</row>
    <row r="842" spans="1:64" ht="15.75" customHeight="1" x14ac:dyDescent="0.2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0"/>
      <c r="U842" s="90"/>
      <c r="V842" s="90"/>
      <c r="W842" s="90"/>
      <c r="X842" s="90"/>
      <c r="Y842" s="90"/>
      <c r="Z842" s="90"/>
      <c r="AA842" s="90"/>
      <c r="AB842" s="91"/>
      <c r="AC842" s="91"/>
      <c r="AD842" s="91"/>
      <c r="AE842" s="91"/>
      <c r="AF842" s="92"/>
      <c r="AG842" s="92"/>
      <c r="AH842" s="92"/>
      <c r="AI842" s="92"/>
      <c r="AJ842" s="92"/>
      <c r="AK842" s="92"/>
      <c r="AL842" s="92"/>
      <c r="AM842" s="92"/>
      <c r="AN842" s="92"/>
      <c r="AO842" s="92"/>
      <c r="AP842" s="92"/>
      <c r="AQ842" s="92"/>
      <c r="AR842" s="92"/>
      <c r="AS842" s="92"/>
      <c r="AT842" s="92"/>
      <c r="AU842" s="92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</row>
    <row r="843" spans="1:64" ht="15.75" customHeight="1" x14ac:dyDescent="0.2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0"/>
      <c r="U843" s="90"/>
      <c r="V843" s="90"/>
      <c r="W843" s="90"/>
      <c r="X843" s="90"/>
      <c r="Y843" s="90"/>
      <c r="Z843" s="90"/>
      <c r="AA843" s="90"/>
      <c r="AB843" s="91"/>
      <c r="AC843" s="91"/>
      <c r="AD843" s="91"/>
      <c r="AE843" s="91"/>
      <c r="AF843" s="92"/>
      <c r="AG843" s="92"/>
      <c r="AH843" s="92"/>
      <c r="AI843" s="92"/>
      <c r="AJ843" s="92"/>
      <c r="AK843" s="92"/>
      <c r="AL843" s="92"/>
      <c r="AM843" s="92"/>
      <c r="AN843" s="92"/>
      <c r="AO843" s="92"/>
      <c r="AP843" s="92"/>
      <c r="AQ843" s="92"/>
      <c r="AR843" s="92"/>
      <c r="AS843" s="92"/>
      <c r="AT843" s="92"/>
      <c r="AU843" s="92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</row>
    <row r="844" spans="1:64" ht="15.75" customHeight="1" x14ac:dyDescent="0.2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0"/>
      <c r="U844" s="90"/>
      <c r="V844" s="90"/>
      <c r="W844" s="90"/>
      <c r="X844" s="90"/>
      <c r="Y844" s="90"/>
      <c r="Z844" s="90"/>
      <c r="AA844" s="90"/>
      <c r="AB844" s="91"/>
      <c r="AC844" s="91"/>
      <c r="AD844" s="91"/>
      <c r="AE844" s="91"/>
      <c r="AF844" s="92"/>
      <c r="AG844" s="92"/>
      <c r="AH844" s="92"/>
      <c r="AI844" s="92"/>
      <c r="AJ844" s="92"/>
      <c r="AK844" s="92"/>
      <c r="AL844" s="92"/>
      <c r="AM844" s="92"/>
      <c r="AN844" s="92"/>
      <c r="AO844" s="92"/>
      <c r="AP844" s="92"/>
      <c r="AQ844" s="92"/>
      <c r="AR844" s="92"/>
      <c r="AS844" s="92"/>
      <c r="AT844" s="92"/>
      <c r="AU844" s="92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</row>
    <row r="845" spans="1:64" ht="15.75" customHeight="1" x14ac:dyDescent="0.2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0"/>
      <c r="U845" s="90"/>
      <c r="V845" s="90"/>
      <c r="W845" s="90"/>
      <c r="X845" s="90"/>
      <c r="Y845" s="90"/>
      <c r="Z845" s="90"/>
      <c r="AA845" s="90"/>
      <c r="AB845" s="91"/>
      <c r="AC845" s="91"/>
      <c r="AD845" s="91"/>
      <c r="AE845" s="91"/>
      <c r="AF845" s="92"/>
      <c r="AG845" s="92"/>
      <c r="AH845" s="92"/>
      <c r="AI845" s="92"/>
      <c r="AJ845" s="92"/>
      <c r="AK845" s="92"/>
      <c r="AL845" s="92"/>
      <c r="AM845" s="92"/>
      <c r="AN845" s="92"/>
      <c r="AO845" s="92"/>
      <c r="AP845" s="92"/>
      <c r="AQ845" s="92"/>
      <c r="AR845" s="92"/>
      <c r="AS845" s="92"/>
      <c r="AT845" s="92"/>
      <c r="AU845" s="92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</row>
    <row r="846" spans="1:64" ht="15.75" customHeight="1" x14ac:dyDescent="0.2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0"/>
      <c r="U846" s="90"/>
      <c r="V846" s="90"/>
      <c r="W846" s="90"/>
      <c r="X846" s="90"/>
      <c r="Y846" s="90"/>
      <c r="Z846" s="90"/>
      <c r="AA846" s="90"/>
      <c r="AB846" s="91"/>
      <c r="AC846" s="91"/>
      <c r="AD846" s="91"/>
      <c r="AE846" s="91"/>
      <c r="AF846" s="92"/>
      <c r="AG846" s="92"/>
      <c r="AH846" s="92"/>
      <c r="AI846" s="92"/>
      <c r="AJ846" s="92"/>
      <c r="AK846" s="92"/>
      <c r="AL846" s="92"/>
      <c r="AM846" s="92"/>
      <c r="AN846" s="92"/>
      <c r="AO846" s="92"/>
      <c r="AP846" s="92"/>
      <c r="AQ846" s="92"/>
      <c r="AR846" s="92"/>
      <c r="AS846" s="92"/>
      <c r="AT846" s="92"/>
      <c r="AU846" s="92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</row>
    <row r="847" spans="1:64" ht="15.75" customHeight="1" x14ac:dyDescent="0.2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0"/>
      <c r="U847" s="90"/>
      <c r="V847" s="90"/>
      <c r="W847" s="90"/>
      <c r="X847" s="90"/>
      <c r="Y847" s="90"/>
      <c r="Z847" s="90"/>
      <c r="AA847" s="90"/>
      <c r="AB847" s="91"/>
      <c r="AC847" s="91"/>
      <c r="AD847" s="91"/>
      <c r="AE847" s="91"/>
      <c r="AF847" s="92"/>
      <c r="AG847" s="92"/>
      <c r="AH847" s="92"/>
      <c r="AI847" s="92"/>
      <c r="AJ847" s="92"/>
      <c r="AK847" s="92"/>
      <c r="AL847" s="92"/>
      <c r="AM847" s="92"/>
      <c r="AN847" s="92"/>
      <c r="AO847" s="92"/>
      <c r="AP847" s="92"/>
      <c r="AQ847" s="92"/>
      <c r="AR847" s="92"/>
      <c r="AS847" s="92"/>
      <c r="AT847" s="92"/>
      <c r="AU847" s="92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</row>
    <row r="848" spans="1:64" ht="15.75" customHeight="1" x14ac:dyDescent="0.2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0"/>
      <c r="U848" s="90"/>
      <c r="V848" s="90"/>
      <c r="W848" s="90"/>
      <c r="X848" s="90"/>
      <c r="Y848" s="90"/>
      <c r="Z848" s="90"/>
      <c r="AA848" s="90"/>
      <c r="AB848" s="91"/>
      <c r="AC848" s="91"/>
      <c r="AD848" s="91"/>
      <c r="AE848" s="91"/>
      <c r="AF848" s="92"/>
      <c r="AG848" s="92"/>
      <c r="AH848" s="92"/>
      <c r="AI848" s="92"/>
      <c r="AJ848" s="92"/>
      <c r="AK848" s="92"/>
      <c r="AL848" s="92"/>
      <c r="AM848" s="92"/>
      <c r="AN848" s="92"/>
      <c r="AO848" s="92"/>
      <c r="AP848" s="92"/>
      <c r="AQ848" s="92"/>
      <c r="AR848" s="92"/>
      <c r="AS848" s="92"/>
      <c r="AT848" s="92"/>
      <c r="AU848" s="92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</row>
    <row r="849" spans="1:64" ht="15.75" customHeight="1" x14ac:dyDescent="0.2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0"/>
      <c r="U849" s="90"/>
      <c r="V849" s="90"/>
      <c r="W849" s="90"/>
      <c r="X849" s="90"/>
      <c r="Y849" s="90"/>
      <c r="Z849" s="90"/>
      <c r="AA849" s="90"/>
      <c r="AB849" s="91"/>
      <c r="AC849" s="91"/>
      <c r="AD849" s="91"/>
      <c r="AE849" s="91"/>
      <c r="AF849" s="92"/>
      <c r="AG849" s="92"/>
      <c r="AH849" s="92"/>
      <c r="AI849" s="92"/>
      <c r="AJ849" s="92"/>
      <c r="AK849" s="92"/>
      <c r="AL849" s="92"/>
      <c r="AM849" s="92"/>
      <c r="AN849" s="92"/>
      <c r="AO849" s="92"/>
      <c r="AP849" s="92"/>
      <c r="AQ849" s="92"/>
      <c r="AR849" s="92"/>
      <c r="AS849" s="92"/>
      <c r="AT849" s="92"/>
      <c r="AU849" s="92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</row>
    <row r="850" spans="1:64" ht="15.75" customHeight="1" x14ac:dyDescent="0.2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0"/>
      <c r="U850" s="90"/>
      <c r="V850" s="90"/>
      <c r="W850" s="90"/>
      <c r="X850" s="90"/>
      <c r="Y850" s="90"/>
      <c r="Z850" s="90"/>
      <c r="AA850" s="90"/>
      <c r="AB850" s="91"/>
      <c r="AC850" s="91"/>
      <c r="AD850" s="91"/>
      <c r="AE850" s="91"/>
      <c r="AF850" s="92"/>
      <c r="AG850" s="92"/>
      <c r="AH850" s="92"/>
      <c r="AI850" s="92"/>
      <c r="AJ850" s="92"/>
      <c r="AK850" s="92"/>
      <c r="AL850" s="92"/>
      <c r="AM850" s="92"/>
      <c r="AN850" s="92"/>
      <c r="AO850" s="92"/>
      <c r="AP850" s="92"/>
      <c r="AQ850" s="92"/>
      <c r="AR850" s="92"/>
      <c r="AS850" s="92"/>
      <c r="AT850" s="92"/>
      <c r="AU850" s="92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</row>
    <row r="851" spans="1:64" ht="15.75" customHeight="1" x14ac:dyDescent="0.2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0"/>
      <c r="U851" s="90"/>
      <c r="V851" s="90"/>
      <c r="W851" s="90"/>
      <c r="X851" s="90"/>
      <c r="Y851" s="90"/>
      <c r="Z851" s="90"/>
      <c r="AA851" s="90"/>
      <c r="AB851" s="91"/>
      <c r="AC851" s="91"/>
      <c r="AD851" s="91"/>
      <c r="AE851" s="91"/>
      <c r="AF851" s="92"/>
      <c r="AG851" s="92"/>
      <c r="AH851" s="92"/>
      <c r="AI851" s="92"/>
      <c r="AJ851" s="92"/>
      <c r="AK851" s="92"/>
      <c r="AL851" s="92"/>
      <c r="AM851" s="92"/>
      <c r="AN851" s="92"/>
      <c r="AO851" s="92"/>
      <c r="AP851" s="92"/>
      <c r="AQ851" s="92"/>
      <c r="AR851" s="92"/>
      <c r="AS851" s="92"/>
      <c r="AT851" s="92"/>
      <c r="AU851" s="92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</row>
    <row r="852" spans="1:64" ht="15.75" customHeight="1" x14ac:dyDescent="0.2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0"/>
      <c r="U852" s="90"/>
      <c r="V852" s="90"/>
      <c r="W852" s="90"/>
      <c r="X852" s="90"/>
      <c r="Y852" s="90"/>
      <c r="Z852" s="90"/>
      <c r="AA852" s="90"/>
      <c r="AB852" s="91"/>
      <c r="AC852" s="91"/>
      <c r="AD852" s="91"/>
      <c r="AE852" s="91"/>
      <c r="AF852" s="92"/>
      <c r="AG852" s="92"/>
      <c r="AH852" s="92"/>
      <c r="AI852" s="92"/>
      <c r="AJ852" s="92"/>
      <c r="AK852" s="92"/>
      <c r="AL852" s="92"/>
      <c r="AM852" s="92"/>
      <c r="AN852" s="92"/>
      <c r="AO852" s="92"/>
      <c r="AP852" s="92"/>
      <c r="AQ852" s="92"/>
      <c r="AR852" s="92"/>
      <c r="AS852" s="92"/>
      <c r="AT852" s="92"/>
      <c r="AU852" s="92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</row>
    <row r="853" spans="1:64" ht="15.75" customHeight="1" x14ac:dyDescent="0.2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0"/>
      <c r="U853" s="90"/>
      <c r="V853" s="90"/>
      <c r="W853" s="90"/>
      <c r="X853" s="90"/>
      <c r="Y853" s="90"/>
      <c r="Z853" s="90"/>
      <c r="AA853" s="90"/>
      <c r="AB853" s="91"/>
      <c r="AC853" s="91"/>
      <c r="AD853" s="91"/>
      <c r="AE853" s="91"/>
      <c r="AF853" s="92"/>
      <c r="AG853" s="92"/>
      <c r="AH853" s="92"/>
      <c r="AI853" s="92"/>
      <c r="AJ853" s="92"/>
      <c r="AK853" s="92"/>
      <c r="AL853" s="92"/>
      <c r="AM853" s="92"/>
      <c r="AN853" s="92"/>
      <c r="AO853" s="92"/>
      <c r="AP853" s="92"/>
      <c r="AQ853" s="92"/>
      <c r="AR853" s="92"/>
      <c r="AS853" s="92"/>
      <c r="AT853" s="92"/>
      <c r="AU853" s="92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</row>
    <row r="854" spans="1:64" ht="15.75" customHeight="1" x14ac:dyDescent="0.2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0"/>
      <c r="U854" s="90"/>
      <c r="V854" s="90"/>
      <c r="W854" s="90"/>
      <c r="X854" s="90"/>
      <c r="Y854" s="90"/>
      <c r="Z854" s="90"/>
      <c r="AA854" s="90"/>
      <c r="AB854" s="91"/>
      <c r="AC854" s="91"/>
      <c r="AD854" s="91"/>
      <c r="AE854" s="91"/>
      <c r="AF854" s="92"/>
      <c r="AG854" s="92"/>
      <c r="AH854" s="92"/>
      <c r="AI854" s="92"/>
      <c r="AJ854" s="92"/>
      <c r="AK854" s="92"/>
      <c r="AL854" s="92"/>
      <c r="AM854" s="92"/>
      <c r="AN854" s="92"/>
      <c r="AO854" s="92"/>
      <c r="AP854" s="92"/>
      <c r="AQ854" s="92"/>
      <c r="AR854" s="92"/>
      <c r="AS854" s="92"/>
      <c r="AT854" s="92"/>
      <c r="AU854" s="92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</row>
    <row r="855" spans="1:64" ht="15.75" customHeight="1" x14ac:dyDescent="0.2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0"/>
      <c r="U855" s="90"/>
      <c r="V855" s="90"/>
      <c r="W855" s="90"/>
      <c r="X855" s="90"/>
      <c r="Y855" s="90"/>
      <c r="Z855" s="90"/>
      <c r="AA855" s="90"/>
      <c r="AB855" s="91"/>
      <c r="AC855" s="91"/>
      <c r="AD855" s="91"/>
      <c r="AE855" s="91"/>
      <c r="AF855" s="92"/>
      <c r="AG855" s="92"/>
      <c r="AH855" s="92"/>
      <c r="AI855" s="92"/>
      <c r="AJ855" s="92"/>
      <c r="AK855" s="92"/>
      <c r="AL855" s="92"/>
      <c r="AM855" s="92"/>
      <c r="AN855" s="92"/>
      <c r="AO855" s="92"/>
      <c r="AP855" s="92"/>
      <c r="AQ855" s="92"/>
      <c r="AR855" s="92"/>
      <c r="AS855" s="92"/>
      <c r="AT855" s="92"/>
      <c r="AU855" s="92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</row>
    <row r="856" spans="1:64" ht="15.75" customHeight="1" x14ac:dyDescent="0.2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0"/>
      <c r="U856" s="90"/>
      <c r="V856" s="90"/>
      <c r="W856" s="90"/>
      <c r="X856" s="90"/>
      <c r="Y856" s="90"/>
      <c r="Z856" s="90"/>
      <c r="AA856" s="90"/>
      <c r="AB856" s="91"/>
      <c r="AC856" s="91"/>
      <c r="AD856" s="91"/>
      <c r="AE856" s="91"/>
      <c r="AF856" s="92"/>
      <c r="AG856" s="92"/>
      <c r="AH856" s="92"/>
      <c r="AI856" s="92"/>
      <c r="AJ856" s="92"/>
      <c r="AK856" s="92"/>
      <c r="AL856" s="92"/>
      <c r="AM856" s="92"/>
      <c r="AN856" s="92"/>
      <c r="AO856" s="92"/>
      <c r="AP856" s="92"/>
      <c r="AQ856" s="92"/>
      <c r="AR856" s="92"/>
      <c r="AS856" s="92"/>
      <c r="AT856" s="92"/>
      <c r="AU856" s="92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</row>
    <row r="857" spans="1:64" ht="15.75" customHeight="1" x14ac:dyDescent="0.2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0"/>
      <c r="U857" s="90"/>
      <c r="V857" s="90"/>
      <c r="W857" s="90"/>
      <c r="X857" s="90"/>
      <c r="Y857" s="90"/>
      <c r="Z857" s="90"/>
      <c r="AA857" s="90"/>
      <c r="AB857" s="91"/>
      <c r="AC857" s="91"/>
      <c r="AD857" s="91"/>
      <c r="AE857" s="91"/>
      <c r="AF857" s="92"/>
      <c r="AG857" s="92"/>
      <c r="AH857" s="92"/>
      <c r="AI857" s="92"/>
      <c r="AJ857" s="92"/>
      <c r="AK857" s="92"/>
      <c r="AL857" s="92"/>
      <c r="AM857" s="92"/>
      <c r="AN857" s="92"/>
      <c r="AO857" s="92"/>
      <c r="AP857" s="92"/>
      <c r="AQ857" s="92"/>
      <c r="AR857" s="92"/>
      <c r="AS857" s="92"/>
      <c r="AT857" s="92"/>
      <c r="AU857" s="92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</row>
    <row r="858" spans="1:64" ht="15.75" customHeight="1" x14ac:dyDescent="0.2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0"/>
      <c r="U858" s="90"/>
      <c r="V858" s="90"/>
      <c r="W858" s="90"/>
      <c r="X858" s="90"/>
      <c r="Y858" s="90"/>
      <c r="Z858" s="90"/>
      <c r="AA858" s="90"/>
      <c r="AB858" s="91"/>
      <c r="AC858" s="91"/>
      <c r="AD858" s="91"/>
      <c r="AE858" s="91"/>
      <c r="AF858" s="92"/>
      <c r="AG858" s="92"/>
      <c r="AH858" s="92"/>
      <c r="AI858" s="92"/>
      <c r="AJ858" s="92"/>
      <c r="AK858" s="92"/>
      <c r="AL858" s="92"/>
      <c r="AM858" s="92"/>
      <c r="AN858" s="92"/>
      <c r="AO858" s="92"/>
      <c r="AP858" s="92"/>
      <c r="AQ858" s="92"/>
      <c r="AR858" s="92"/>
      <c r="AS858" s="92"/>
      <c r="AT858" s="92"/>
      <c r="AU858" s="92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</row>
    <row r="859" spans="1:64" ht="15.75" customHeight="1" x14ac:dyDescent="0.2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0"/>
      <c r="U859" s="90"/>
      <c r="V859" s="90"/>
      <c r="W859" s="90"/>
      <c r="X859" s="90"/>
      <c r="Y859" s="90"/>
      <c r="Z859" s="90"/>
      <c r="AA859" s="90"/>
      <c r="AB859" s="91"/>
      <c r="AC859" s="91"/>
      <c r="AD859" s="91"/>
      <c r="AE859" s="91"/>
      <c r="AF859" s="92"/>
      <c r="AG859" s="92"/>
      <c r="AH859" s="92"/>
      <c r="AI859" s="92"/>
      <c r="AJ859" s="92"/>
      <c r="AK859" s="92"/>
      <c r="AL859" s="92"/>
      <c r="AM859" s="92"/>
      <c r="AN859" s="92"/>
      <c r="AO859" s="92"/>
      <c r="AP859" s="92"/>
      <c r="AQ859" s="92"/>
      <c r="AR859" s="92"/>
      <c r="AS859" s="92"/>
      <c r="AT859" s="92"/>
      <c r="AU859" s="92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</row>
    <row r="860" spans="1:64" ht="15.75" customHeight="1" x14ac:dyDescent="0.2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0"/>
      <c r="U860" s="90"/>
      <c r="V860" s="90"/>
      <c r="W860" s="90"/>
      <c r="X860" s="90"/>
      <c r="Y860" s="90"/>
      <c r="Z860" s="90"/>
      <c r="AA860" s="90"/>
      <c r="AB860" s="91"/>
      <c r="AC860" s="91"/>
      <c r="AD860" s="91"/>
      <c r="AE860" s="91"/>
      <c r="AF860" s="92"/>
      <c r="AG860" s="92"/>
      <c r="AH860" s="92"/>
      <c r="AI860" s="92"/>
      <c r="AJ860" s="92"/>
      <c r="AK860" s="92"/>
      <c r="AL860" s="92"/>
      <c r="AM860" s="92"/>
      <c r="AN860" s="92"/>
      <c r="AO860" s="92"/>
      <c r="AP860" s="92"/>
      <c r="AQ860" s="92"/>
      <c r="AR860" s="92"/>
      <c r="AS860" s="92"/>
      <c r="AT860" s="92"/>
      <c r="AU860" s="92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</row>
    <row r="861" spans="1:64" ht="15.75" customHeight="1" x14ac:dyDescent="0.2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0"/>
      <c r="U861" s="90"/>
      <c r="V861" s="90"/>
      <c r="W861" s="90"/>
      <c r="X861" s="90"/>
      <c r="Y861" s="90"/>
      <c r="Z861" s="90"/>
      <c r="AA861" s="90"/>
      <c r="AB861" s="91"/>
      <c r="AC861" s="91"/>
      <c r="AD861" s="91"/>
      <c r="AE861" s="91"/>
      <c r="AF861" s="92"/>
      <c r="AG861" s="92"/>
      <c r="AH861" s="92"/>
      <c r="AI861" s="92"/>
      <c r="AJ861" s="92"/>
      <c r="AK861" s="92"/>
      <c r="AL861" s="92"/>
      <c r="AM861" s="92"/>
      <c r="AN861" s="92"/>
      <c r="AO861" s="92"/>
      <c r="AP861" s="92"/>
      <c r="AQ861" s="92"/>
      <c r="AR861" s="92"/>
      <c r="AS861" s="92"/>
      <c r="AT861" s="92"/>
      <c r="AU861" s="92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</row>
    <row r="862" spans="1:64" ht="15.75" customHeight="1" x14ac:dyDescent="0.2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0"/>
      <c r="U862" s="90"/>
      <c r="V862" s="90"/>
      <c r="W862" s="90"/>
      <c r="X862" s="90"/>
      <c r="Y862" s="90"/>
      <c r="Z862" s="90"/>
      <c r="AA862" s="90"/>
      <c r="AB862" s="91"/>
      <c r="AC862" s="91"/>
      <c r="AD862" s="91"/>
      <c r="AE862" s="91"/>
      <c r="AF862" s="92"/>
      <c r="AG862" s="92"/>
      <c r="AH862" s="92"/>
      <c r="AI862" s="92"/>
      <c r="AJ862" s="92"/>
      <c r="AK862" s="92"/>
      <c r="AL862" s="92"/>
      <c r="AM862" s="92"/>
      <c r="AN862" s="92"/>
      <c r="AO862" s="92"/>
      <c r="AP862" s="92"/>
      <c r="AQ862" s="92"/>
      <c r="AR862" s="92"/>
      <c r="AS862" s="92"/>
      <c r="AT862" s="92"/>
      <c r="AU862" s="92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</row>
    <row r="863" spans="1:64" ht="15.75" customHeight="1" x14ac:dyDescent="0.2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0"/>
      <c r="U863" s="90"/>
      <c r="V863" s="90"/>
      <c r="W863" s="90"/>
      <c r="X863" s="90"/>
      <c r="Y863" s="90"/>
      <c r="Z863" s="90"/>
      <c r="AA863" s="90"/>
      <c r="AB863" s="91"/>
      <c r="AC863" s="91"/>
      <c r="AD863" s="91"/>
      <c r="AE863" s="91"/>
      <c r="AF863" s="92"/>
      <c r="AG863" s="92"/>
      <c r="AH863" s="92"/>
      <c r="AI863" s="92"/>
      <c r="AJ863" s="92"/>
      <c r="AK863" s="92"/>
      <c r="AL863" s="92"/>
      <c r="AM863" s="92"/>
      <c r="AN863" s="92"/>
      <c r="AO863" s="92"/>
      <c r="AP863" s="92"/>
      <c r="AQ863" s="92"/>
      <c r="AR863" s="92"/>
      <c r="AS863" s="92"/>
      <c r="AT863" s="92"/>
      <c r="AU863" s="92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</row>
    <row r="864" spans="1:64" ht="15.75" customHeight="1" x14ac:dyDescent="0.2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0"/>
      <c r="U864" s="90"/>
      <c r="V864" s="90"/>
      <c r="W864" s="90"/>
      <c r="X864" s="90"/>
      <c r="Y864" s="90"/>
      <c r="Z864" s="90"/>
      <c r="AA864" s="90"/>
      <c r="AB864" s="91"/>
      <c r="AC864" s="91"/>
      <c r="AD864" s="91"/>
      <c r="AE864" s="91"/>
      <c r="AF864" s="92"/>
      <c r="AG864" s="92"/>
      <c r="AH864" s="92"/>
      <c r="AI864" s="92"/>
      <c r="AJ864" s="92"/>
      <c r="AK864" s="92"/>
      <c r="AL864" s="92"/>
      <c r="AM864" s="92"/>
      <c r="AN864" s="92"/>
      <c r="AO864" s="92"/>
      <c r="AP864" s="92"/>
      <c r="AQ864" s="92"/>
      <c r="AR864" s="92"/>
      <c r="AS864" s="92"/>
      <c r="AT864" s="92"/>
      <c r="AU864" s="92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</row>
    <row r="865" spans="1:64" ht="15.75" customHeight="1" x14ac:dyDescent="0.2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0"/>
      <c r="U865" s="90"/>
      <c r="V865" s="90"/>
      <c r="W865" s="90"/>
      <c r="X865" s="90"/>
      <c r="Y865" s="90"/>
      <c r="Z865" s="90"/>
      <c r="AA865" s="90"/>
      <c r="AB865" s="91"/>
      <c r="AC865" s="91"/>
      <c r="AD865" s="91"/>
      <c r="AE865" s="91"/>
      <c r="AF865" s="92"/>
      <c r="AG865" s="92"/>
      <c r="AH865" s="92"/>
      <c r="AI865" s="92"/>
      <c r="AJ865" s="92"/>
      <c r="AK865" s="92"/>
      <c r="AL865" s="92"/>
      <c r="AM865" s="92"/>
      <c r="AN865" s="92"/>
      <c r="AO865" s="92"/>
      <c r="AP865" s="92"/>
      <c r="AQ865" s="92"/>
      <c r="AR865" s="92"/>
      <c r="AS865" s="92"/>
      <c r="AT865" s="92"/>
      <c r="AU865" s="92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</row>
    <row r="866" spans="1:64" ht="15.75" customHeight="1" x14ac:dyDescent="0.2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0"/>
      <c r="U866" s="90"/>
      <c r="V866" s="90"/>
      <c r="W866" s="90"/>
      <c r="X866" s="90"/>
      <c r="Y866" s="90"/>
      <c r="Z866" s="90"/>
      <c r="AA866" s="90"/>
      <c r="AB866" s="91"/>
      <c r="AC866" s="91"/>
      <c r="AD866" s="91"/>
      <c r="AE866" s="91"/>
      <c r="AF866" s="92"/>
      <c r="AG866" s="92"/>
      <c r="AH866" s="92"/>
      <c r="AI866" s="92"/>
      <c r="AJ866" s="92"/>
      <c r="AK866" s="92"/>
      <c r="AL866" s="92"/>
      <c r="AM866" s="92"/>
      <c r="AN866" s="92"/>
      <c r="AO866" s="92"/>
      <c r="AP866" s="92"/>
      <c r="AQ866" s="92"/>
      <c r="AR866" s="92"/>
      <c r="AS866" s="92"/>
      <c r="AT866" s="92"/>
      <c r="AU866" s="92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</row>
    <row r="867" spans="1:64" ht="15.75" customHeight="1" x14ac:dyDescent="0.2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0"/>
      <c r="U867" s="90"/>
      <c r="V867" s="90"/>
      <c r="W867" s="90"/>
      <c r="X867" s="90"/>
      <c r="Y867" s="90"/>
      <c r="Z867" s="90"/>
      <c r="AA867" s="90"/>
      <c r="AB867" s="91"/>
      <c r="AC867" s="91"/>
      <c r="AD867" s="91"/>
      <c r="AE867" s="91"/>
      <c r="AF867" s="92"/>
      <c r="AG867" s="92"/>
      <c r="AH867" s="92"/>
      <c r="AI867" s="92"/>
      <c r="AJ867" s="92"/>
      <c r="AK867" s="92"/>
      <c r="AL867" s="92"/>
      <c r="AM867" s="92"/>
      <c r="AN867" s="92"/>
      <c r="AO867" s="92"/>
      <c r="AP867" s="92"/>
      <c r="AQ867" s="92"/>
      <c r="AR867" s="92"/>
      <c r="AS867" s="92"/>
      <c r="AT867" s="92"/>
      <c r="AU867" s="92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</row>
    <row r="868" spans="1:64" ht="15.75" customHeight="1" x14ac:dyDescent="0.2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0"/>
      <c r="U868" s="90"/>
      <c r="V868" s="90"/>
      <c r="W868" s="90"/>
      <c r="X868" s="90"/>
      <c r="Y868" s="90"/>
      <c r="Z868" s="90"/>
      <c r="AA868" s="90"/>
      <c r="AB868" s="91"/>
      <c r="AC868" s="91"/>
      <c r="AD868" s="91"/>
      <c r="AE868" s="91"/>
      <c r="AF868" s="92"/>
      <c r="AG868" s="92"/>
      <c r="AH868" s="92"/>
      <c r="AI868" s="92"/>
      <c r="AJ868" s="92"/>
      <c r="AK868" s="92"/>
      <c r="AL868" s="92"/>
      <c r="AM868" s="92"/>
      <c r="AN868" s="92"/>
      <c r="AO868" s="92"/>
      <c r="AP868" s="92"/>
      <c r="AQ868" s="92"/>
      <c r="AR868" s="92"/>
      <c r="AS868" s="92"/>
      <c r="AT868" s="92"/>
      <c r="AU868" s="92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</row>
    <row r="869" spans="1:64" ht="15.75" customHeight="1" x14ac:dyDescent="0.2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0"/>
      <c r="U869" s="90"/>
      <c r="V869" s="90"/>
      <c r="W869" s="90"/>
      <c r="X869" s="90"/>
      <c r="Y869" s="90"/>
      <c r="Z869" s="90"/>
      <c r="AA869" s="90"/>
      <c r="AB869" s="91"/>
      <c r="AC869" s="91"/>
      <c r="AD869" s="91"/>
      <c r="AE869" s="91"/>
      <c r="AF869" s="92"/>
      <c r="AG869" s="92"/>
      <c r="AH869" s="92"/>
      <c r="AI869" s="92"/>
      <c r="AJ869" s="92"/>
      <c r="AK869" s="92"/>
      <c r="AL869" s="92"/>
      <c r="AM869" s="92"/>
      <c r="AN869" s="92"/>
      <c r="AO869" s="92"/>
      <c r="AP869" s="92"/>
      <c r="AQ869" s="92"/>
      <c r="AR869" s="92"/>
      <c r="AS869" s="92"/>
      <c r="AT869" s="92"/>
      <c r="AU869" s="92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</row>
    <row r="870" spans="1:64" ht="15.75" customHeight="1" x14ac:dyDescent="0.2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0"/>
      <c r="U870" s="90"/>
      <c r="V870" s="90"/>
      <c r="W870" s="90"/>
      <c r="X870" s="90"/>
      <c r="Y870" s="90"/>
      <c r="Z870" s="90"/>
      <c r="AA870" s="90"/>
      <c r="AB870" s="91"/>
      <c r="AC870" s="91"/>
      <c r="AD870" s="91"/>
      <c r="AE870" s="91"/>
      <c r="AF870" s="92"/>
      <c r="AG870" s="92"/>
      <c r="AH870" s="92"/>
      <c r="AI870" s="92"/>
      <c r="AJ870" s="92"/>
      <c r="AK870" s="92"/>
      <c r="AL870" s="92"/>
      <c r="AM870" s="92"/>
      <c r="AN870" s="92"/>
      <c r="AO870" s="92"/>
      <c r="AP870" s="92"/>
      <c r="AQ870" s="92"/>
      <c r="AR870" s="92"/>
      <c r="AS870" s="92"/>
      <c r="AT870" s="92"/>
      <c r="AU870" s="92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</row>
    <row r="871" spans="1:64" ht="15.75" customHeight="1" x14ac:dyDescent="0.2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0"/>
      <c r="U871" s="90"/>
      <c r="V871" s="90"/>
      <c r="W871" s="90"/>
      <c r="X871" s="90"/>
      <c r="Y871" s="90"/>
      <c r="Z871" s="90"/>
      <c r="AA871" s="90"/>
      <c r="AB871" s="91"/>
      <c r="AC871" s="91"/>
      <c r="AD871" s="91"/>
      <c r="AE871" s="91"/>
      <c r="AF871" s="92"/>
      <c r="AG871" s="92"/>
      <c r="AH871" s="92"/>
      <c r="AI871" s="92"/>
      <c r="AJ871" s="92"/>
      <c r="AK871" s="92"/>
      <c r="AL871" s="92"/>
      <c r="AM871" s="92"/>
      <c r="AN871" s="92"/>
      <c r="AO871" s="92"/>
      <c r="AP871" s="92"/>
      <c r="AQ871" s="92"/>
      <c r="AR871" s="92"/>
      <c r="AS871" s="92"/>
      <c r="AT871" s="92"/>
      <c r="AU871" s="92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</row>
    <row r="872" spans="1:64" ht="15.75" customHeight="1" x14ac:dyDescent="0.2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0"/>
      <c r="U872" s="90"/>
      <c r="V872" s="90"/>
      <c r="W872" s="90"/>
      <c r="X872" s="90"/>
      <c r="Y872" s="90"/>
      <c r="Z872" s="90"/>
      <c r="AA872" s="90"/>
      <c r="AB872" s="91"/>
      <c r="AC872" s="91"/>
      <c r="AD872" s="91"/>
      <c r="AE872" s="91"/>
      <c r="AF872" s="92"/>
      <c r="AG872" s="92"/>
      <c r="AH872" s="92"/>
      <c r="AI872" s="92"/>
      <c r="AJ872" s="92"/>
      <c r="AK872" s="92"/>
      <c r="AL872" s="92"/>
      <c r="AM872" s="92"/>
      <c r="AN872" s="92"/>
      <c r="AO872" s="92"/>
      <c r="AP872" s="92"/>
      <c r="AQ872" s="92"/>
      <c r="AR872" s="92"/>
      <c r="AS872" s="92"/>
      <c r="AT872" s="92"/>
      <c r="AU872" s="92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</row>
    <row r="873" spans="1:64" ht="15.75" customHeight="1" x14ac:dyDescent="0.2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0"/>
      <c r="U873" s="90"/>
      <c r="V873" s="90"/>
      <c r="W873" s="90"/>
      <c r="X873" s="90"/>
      <c r="Y873" s="90"/>
      <c r="Z873" s="90"/>
      <c r="AA873" s="90"/>
      <c r="AB873" s="91"/>
      <c r="AC873" s="91"/>
      <c r="AD873" s="91"/>
      <c r="AE873" s="91"/>
      <c r="AF873" s="92"/>
      <c r="AG873" s="92"/>
      <c r="AH873" s="92"/>
      <c r="AI873" s="92"/>
      <c r="AJ873" s="92"/>
      <c r="AK873" s="92"/>
      <c r="AL873" s="92"/>
      <c r="AM873" s="92"/>
      <c r="AN873" s="92"/>
      <c r="AO873" s="92"/>
      <c r="AP873" s="92"/>
      <c r="AQ873" s="92"/>
      <c r="AR873" s="92"/>
      <c r="AS873" s="92"/>
      <c r="AT873" s="92"/>
      <c r="AU873" s="92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</row>
    <row r="874" spans="1:64" ht="15.75" customHeight="1" x14ac:dyDescent="0.2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0"/>
      <c r="U874" s="90"/>
      <c r="V874" s="90"/>
      <c r="W874" s="90"/>
      <c r="X874" s="90"/>
      <c r="Y874" s="90"/>
      <c r="Z874" s="90"/>
      <c r="AA874" s="90"/>
      <c r="AB874" s="91"/>
      <c r="AC874" s="91"/>
      <c r="AD874" s="91"/>
      <c r="AE874" s="91"/>
      <c r="AF874" s="92"/>
      <c r="AG874" s="92"/>
      <c r="AH874" s="92"/>
      <c r="AI874" s="92"/>
      <c r="AJ874" s="92"/>
      <c r="AK874" s="92"/>
      <c r="AL874" s="92"/>
      <c r="AM874" s="92"/>
      <c r="AN874" s="92"/>
      <c r="AO874" s="92"/>
      <c r="AP874" s="92"/>
      <c r="AQ874" s="92"/>
      <c r="AR874" s="92"/>
      <c r="AS874" s="92"/>
      <c r="AT874" s="92"/>
      <c r="AU874" s="92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</row>
    <row r="875" spans="1:64" ht="15.75" customHeight="1" x14ac:dyDescent="0.2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0"/>
      <c r="U875" s="90"/>
      <c r="V875" s="90"/>
      <c r="W875" s="90"/>
      <c r="X875" s="90"/>
      <c r="Y875" s="90"/>
      <c r="Z875" s="90"/>
      <c r="AA875" s="90"/>
      <c r="AB875" s="91"/>
      <c r="AC875" s="91"/>
      <c r="AD875" s="91"/>
      <c r="AE875" s="91"/>
      <c r="AF875" s="92"/>
      <c r="AG875" s="92"/>
      <c r="AH875" s="92"/>
      <c r="AI875" s="92"/>
      <c r="AJ875" s="92"/>
      <c r="AK875" s="92"/>
      <c r="AL875" s="92"/>
      <c r="AM875" s="92"/>
      <c r="AN875" s="92"/>
      <c r="AO875" s="92"/>
      <c r="AP875" s="92"/>
      <c r="AQ875" s="92"/>
      <c r="AR875" s="92"/>
      <c r="AS875" s="92"/>
      <c r="AT875" s="92"/>
      <c r="AU875" s="92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</row>
    <row r="876" spans="1:64" ht="15.75" customHeight="1" x14ac:dyDescent="0.2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0"/>
      <c r="U876" s="90"/>
      <c r="V876" s="90"/>
      <c r="W876" s="90"/>
      <c r="X876" s="90"/>
      <c r="Y876" s="90"/>
      <c r="Z876" s="90"/>
      <c r="AA876" s="90"/>
      <c r="AB876" s="91"/>
      <c r="AC876" s="91"/>
      <c r="AD876" s="91"/>
      <c r="AE876" s="91"/>
      <c r="AF876" s="92"/>
      <c r="AG876" s="92"/>
      <c r="AH876" s="92"/>
      <c r="AI876" s="92"/>
      <c r="AJ876" s="92"/>
      <c r="AK876" s="92"/>
      <c r="AL876" s="92"/>
      <c r="AM876" s="92"/>
      <c r="AN876" s="92"/>
      <c r="AO876" s="92"/>
      <c r="AP876" s="92"/>
      <c r="AQ876" s="92"/>
      <c r="AR876" s="92"/>
      <c r="AS876" s="92"/>
      <c r="AT876" s="92"/>
      <c r="AU876" s="92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</row>
    <row r="877" spans="1:64" ht="15.75" customHeight="1" x14ac:dyDescent="0.2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0"/>
      <c r="U877" s="90"/>
      <c r="V877" s="90"/>
      <c r="W877" s="90"/>
      <c r="X877" s="90"/>
      <c r="Y877" s="90"/>
      <c r="Z877" s="90"/>
      <c r="AA877" s="90"/>
      <c r="AB877" s="91"/>
      <c r="AC877" s="91"/>
      <c r="AD877" s="91"/>
      <c r="AE877" s="91"/>
      <c r="AF877" s="92"/>
      <c r="AG877" s="92"/>
      <c r="AH877" s="92"/>
      <c r="AI877" s="92"/>
      <c r="AJ877" s="92"/>
      <c r="AK877" s="92"/>
      <c r="AL877" s="92"/>
      <c r="AM877" s="92"/>
      <c r="AN877" s="92"/>
      <c r="AO877" s="92"/>
      <c r="AP877" s="92"/>
      <c r="AQ877" s="92"/>
      <c r="AR877" s="92"/>
      <c r="AS877" s="92"/>
      <c r="AT877" s="92"/>
      <c r="AU877" s="92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</row>
    <row r="878" spans="1:64" ht="15.75" customHeight="1" x14ac:dyDescent="0.2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0"/>
      <c r="U878" s="90"/>
      <c r="V878" s="90"/>
      <c r="W878" s="90"/>
      <c r="X878" s="90"/>
      <c r="Y878" s="90"/>
      <c r="Z878" s="90"/>
      <c r="AA878" s="90"/>
      <c r="AB878" s="91"/>
      <c r="AC878" s="91"/>
      <c r="AD878" s="91"/>
      <c r="AE878" s="91"/>
      <c r="AF878" s="92"/>
      <c r="AG878" s="92"/>
      <c r="AH878" s="92"/>
      <c r="AI878" s="92"/>
      <c r="AJ878" s="92"/>
      <c r="AK878" s="92"/>
      <c r="AL878" s="92"/>
      <c r="AM878" s="92"/>
      <c r="AN878" s="92"/>
      <c r="AO878" s="92"/>
      <c r="AP878" s="92"/>
      <c r="AQ878" s="92"/>
      <c r="AR878" s="92"/>
      <c r="AS878" s="92"/>
      <c r="AT878" s="92"/>
      <c r="AU878" s="92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</row>
    <row r="879" spans="1:64" ht="15.75" customHeight="1" x14ac:dyDescent="0.2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0"/>
      <c r="U879" s="90"/>
      <c r="V879" s="90"/>
      <c r="W879" s="90"/>
      <c r="X879" s="90"/>
      <c r="Y879" s="90"/>
      <c r="Z879" s="90"/>
      <c r="AA879" s="90"/>
      <c r="AB879" s="91"/>
      <c r="AC879" s="91"/>
      <c r="AD879" s="91"/>
      <c r="AE879" s="91"/>
      <c r="AF879" s="92"/>
      <c r="AG879" s="92"/>
      <c r="AH879" s="92"/>
      <c r="AI879" s="92"/>
      <c r="AJ879" s="92"/>
      <c r="AK879" s="92"/>
      <c r="AL879" s="92"/>
      <c r="AM879" s="92"/>
      <c r="AN879" s="92"/>
      <c r="AO879" s="92"/>
      <c r="AP879" s="92"/>
      <c r="AQ879" s="92"/>
      <c r="AR879" s="92"/>
      <c r="AS879" s="92"/>
      <c r="AT879" s="92"/>
      <c r="AU879" s="92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</row>
    <row r="880" spans="1:64" ht="15.75" customHeight="1" x14ac:dyDescent="0.2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0"/>
      <c r="U880" s="90"/>
      <c r="V880" s="90"/>
      <c r="W880" s="90"/>
      <c r="X880" s="90"/>
      <c r="Y880" s="90"/>
      <c r="Z880" s="90"/>
      <c r="AA880" s="90"/>
      <c r="AB880" s="91"/>
      <c r="AC880" s="91"/>
      <c r="AD880" s="91"/>
      <c r="AE880" s="91"/>
      <c r="AF880" s="92"/>
      <c r="AG880" s="92"/>
      <c r="AH880" s="92"/>
      <c r="AI880" s="92"/>
      <c r="AJ880" s="92"/>
      <c r="AK880" s="92"/>
      <c r="AL880" s="92"/>
      <c r="AM880" s="92"/>
      <c r="AN880" s="92"/>
      <c r="AO880" s="92"/>
      <c r="AP880" s="92"/>
      <c r="AQ880" s="92"/>
      <c r="AR880" s="92"/>
      <c r="AS880" s="92"/>
      <c r="AT880" s="92"/>
      <c r="AU880" s="92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</row>
    <row r="881" spans="1:64" ht="15.75" customHeight="1" x14ac:dyDescent="0.2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0"/>
      <c r="U881" s="90"/>
      <c r="V881" s="90"/>
      <c r="W881" s="90"/>
      <c r="X881" s="90"/>
      <c r="Y881" s="90"/>
      <c r="Z881" s="90"/>
      <c r="AA881" s="90"/>
      <c r="AB881" s="91"/>
      <c r="AC881" s="91"/>
      <c r="AD881" s="91"/>
      <c r="AE881" s="91"/>
      <c r="AF881" s="92"/>
      <c r="AG881" s="92"/>
      <c r="AH881" s="92"/>
      <c r="AI881" s="92"/>
      <c r="AJ881" s="92"/>
      <c r="AK881" s="92"/>
      <c r="AL881" s="92"/>
      <c r="AM881" s="92"/>
      <c r="AN881" s="92"/>
      <c r="AO881" s="92"/>
      <c r="AP881" s="92"/>
      <c r="AQ881" s="92"/>
      <c r="AR881" s="92"/>
      <c r="AS881" s="92"/>
      <c r="AT881" s="92"/>
      <c r="AU881" s="92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</row>
    <row r="882" spans="1:64" ht="15.75" customHeight="1" x14ac:dyDescent="0.2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0"/>
      <c r="U882" s="90"/>
      <c r="V882" s="90"/>
      <c r="W882" s="90"/>
      <c r="X882" s="90"/>
      <c r="Y882" s="90"/>
      <c r="Z882" s="90"/>
      <c r="AA882" s="90"/>
      <c r="AB882" s="91"/>
      <c r="AC882" s="91"/>
      <c r="AD882" s="91"/>
      <c r="AE882" s="91"/>
      <c r="AF882" s="92"/>
      <c r="AG882" s="92"/>
      <c r="AH882" s="92"/>
      <c r="AI882" s="92"/>
      <c r="AJ882" s="92"/>
      <c r="AK882" s="92"/>
      <c r="AL882" s="92"/>
      <c r="AM882" s="92"/>
      <c r="AN882" s="92"/>
      <c r="AO882" s="92"/>
      <c r="AP882" s="92"/>
      <c r="AQ882" s="92"/>
      <c r="AR882" s="92"/>
      <c r="AS882" s="92"/>
      <c r="AT882" s="92"/>
      <c r="AU882" s="92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</row>
    <row r="883" spans="1:64" ht="15.75" customHeight="1" x14ac:dyDescent="0.2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0"/>
      <c r="U883" s="90"/>
      <c r="V883" s="90"/>
      <c r="W883" s="90"/>
      <c r="X883" s="90"/>
      <c r="Y883" s="90"/>
      <c r="Z883" s="90"/>
      <c r="AA883" s="90"/>
      <c r="AB883" s="91"/>
      <c r="AC883" s="91"/>
      <c r="AD883" s="91"/>
      <c r="AE883" s="91"/>
      <c r="AF883" s="92"/>
      <c r="AG883" s="92"/>
      <c r="AH883" s="92"/>
      <c r="AI883" s="92"/>
      <c r="AJ883" s="92"/>
      <c r="AK883" s="92"/>
      <c r="AL883" s="92"/>
      <c r="AM883" s="92"/>
      <c r="AN883" s="92"/>
      <c r="AO883" s="92"/>
      <c r="AP883" s="92"/>
      <c r="AQ883" s="92"/>
      <c r="AR883" s="92"/>
      <c r="AS883" s="92"/>
      <c r="AT883" s="92"/>
      <c r="AU883" s="92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</row>
    <row r="884" spans="1:64" ht="15.75" customHeight="1" x14ac:dyDescent="0.2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0"/>
      <c r="U884" s="90"/>
      <c r="V884" s="90"/>
      <c r="W884" s="90"/>
      <c r="X884" s="90"/>
      <c r="Y884" s="90"/>
      <c r="Z884" s="90"/>
      <c r="AA884" s="90"/>
      <c r="AB884" s="91"/>
      <c r="AC884" s="91"/>
      <c r="AD884" s="91"/>
      <c r="AE884" s="91"/>
      <c r="AF884" s="92"/>
      <c r="AG884" s="92"/>
      <c r="AH884" s="92"/>
      <c r="AI884" s="92"/>
      <c r="AJ884" s="92"/>
      <c r="AK884" s="92"/>
      <c r="AL884" s="92"/>
      <c r="AM884" s="92"/>
      <c r="AN884" s="92"/>
      <c r="AO884" s="92"/>
      <c r="AP884" s="92"/>
      <c r="AQ884" s="92"/>
      <c r="AR884" s="92"/>
      <c r="AS884" s="92"/>
      <c r="AT884" s="92"/>
      <c r="AU884" s="92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</row>
    <row r="885" spans="1:64" ht="15.75" customHeight="1" x14ac:dyDescent="0.2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0"/>
      <c r="U885" s="90"/>
      <c r="V885" s="90"/>
      <c r="W885" s="90"/>
      <c r="X885" s="90"/>
      <c r="Y885" s="90"/>
      <c r="Z885" s="90"/>
      <c r="AA885" s="90"/>
      <c r="AB885" s="91"/>
      <c r="AC885" s="91"/>
      <c r="AD885" s="91"/>
      <c r="AE885" s="91"/>
      <c r="AF885" s="92"/>
      <c r="AG885" s="92"/>
      <c r="AH885" s="92"/>
      <c r="AI885" s="92"/>
      <c r="AJ885" s="92"/>
      <c r="AK885" s="92"/>
      <c r="AL885" s="92"/>
      <c r="AM885" s="92"/>
      <c r="AN885" s="92"/>
      <c r="AO885" s="92"/>
      <c r="AP885" s="92"/>
      <c r="AQ885" s="92"/>
      <c r="AR885" s="92"/>
      <c r="AS885" s="92"/>
      <c r="AT885" s="92"/>
      <c r="AU885" s="92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</row>
    <row r="886" spans="1:64" ht="15.75" customHeight="1" x14ac:dyDescent="0.2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0"/>
      <c r="U886" s="90"/>
      <c r="V886" s="90"/>
      <c r="W886" s="90"/>
      <c r="X886" s="90"/>
      <c r="Y886" s="90"/>
      <c r="Z886" s="90"/>
      <c r="AA886" s="90"/>
      <c r="AB886" s="91"/>
      <c r="AC886" s="91"/>
      <c r="AD886" s="91"/>
      <c r="AE886" s="91"/>
      <c r="AF886" s="92"/>
      <c r="AG886" s="92"/>
      <c r="AH886" s="92"/>
      <c r="AI886" s="92"/>
      <c r="AJ886" s="92"/>
      <c r="AK886" s="92"/>
      <c r="AL886" s="92"/>
      <c r="AM886" s="92"/>
      <c r="AN886" s="92"/>
      <c r="AO886" s="92"/>
      <c r="AP886" s="92"/>
      <c r="AQ886" s="92"/>
      <c r="AR886" s="92"/>
      <c r="AS886" s="92"/>
      <c r="AT886" s="92"/>
      <c r="AU886" s="92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</row>
    <row r="887" spans="1:64" ht="15.75" customHeight="1" x14ac:dyDescent="0.2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0"/>
      <c r="U887" s="90"/>
      <c r="V887" s="90"/>
      <c r="W887" s="90"/>
      <c r="X887" s="90"/>
      <c r="Y887" s="90"/>
      <c r="Z887" s="90"/>
      <c r="AA887" s="90"/>
      <c r="AB887" s="91"/>
      <c r="AC887" s="91"/>
      <c r="AD887" s="91"/>
      <c r="AE887" s="91"/>
      <c r="AF887" s="92"/>
      <c r="AG887" s="92"/>
      <c r="AH887" s="92"/>
      <c r="AI887" s="92"/>
      <c r="AJ887" s="92"/>
      <c r="AK887" s="92"/>
      <c r="AL887" s="92"/>
      <c r="AM887" s="92"/>
      <c r="AN887" s="92"/>
      <c r="AO887" s="92"/>
      <c r="AP887" s="92"/>
      <c r="AQ887" s="92"/>
      <c r="AR887" s="92"/>
      <c r="AS887" s="92"/>
      <c r="AT887" s="92"/>
      <c r="AU887" s="92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</row>
    <row r="888" spans="1:64" ht="15.75" customHeight="1" x14ac:dyDescent="0.2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0"/>
      <c r="U888" s="90"/>
      <c r="V888" s="90"/>
      <c r="W888" s="90"/>
      <c r="X888" s="90"/>
      <c r="Y888" s="90"/>
      <c r="Z888" s="90"/>
      <c r="AA888" s="90"/>
      <c r="AB888" s="91"/>
      <c r="AC888" s="91"/>
      <c r="AD888" s="91"/>
      <c r="AE888" s="91"/>
      <c r="AF888" s="92"/>
      <c r="AG888" s="92"/>
      <c r="AH888" s="92"/>
      <c r="AI888" s="92"/>
      <c r="AJ888" s="92"/>
      <c r="AK888" s="92"/>
      <c r="AL888" s="92"/>
      <c r="AM888" s="92"/>
      <c r="AN888" s="92"/>
      <c r="AO888" s="92"/>
      <c r="AP888" s="92"/>
      <c r="AQ888" s="92"/>
      <c r="AR888" s="92"/>
      <c r="AS888" s="92"/>
      <c r="AT888" s="92"/>
      <c r="AU888" s="92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</row>
    <row r="889" spans="1:64" ht="15.75" customHeight="1" x14ac:dyDescent="0.2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0"/>
      <c r="U889" s="90"/>
      <c r="V889" s="90"/>
      <c r="W889" s="90"/>
      <c r="X889" s="90"/>
      <c r="Y889" s="90"/>
      <c r="Z889" s="90"/>
      <c r="AA889" s="90"/>
      <c r="AB889" s="91"/>
      <c r="AC889" s="91"/>
      <c r="AD889" s="91"/>
      <c r="AE889" s="91"/>
      <c r="AF889" s="92"/>
      <c r="AG889" s="92"/>
      <c r="AH889" s="92"/>
      <c r="AI889" s="92"/>
      <c r="AJ889" s="92"/>
      <c r="AK889" s="92"/>
      <c r="AL889" s="92"/>
      <c r="AM889" s="92"/>
      <c r="AN889" s="92"/>
      <c r="AO889" s="92"/>
      <c r="AP889" s="92"/>
      <c r="AQ889" s="92"/>
      <c r="AR889" s="92"/>
      <c r="AS889" s="92"/>
      <c r="AT889" s="92"/>
      <c r="AU889" s="92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</row>
    <row r="890" spans="1:64" ht="15.75" customHeight="1" x14ac:dyDescent="0.2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0"/>
      <c r="U890" s="90"/>
      <c r="V890" s="90"/>
      <c r="W890" s="90"/>
      <c r="X890" s="90"/>
      <c r="Y890" s="90"/>
      <c r="Z890" s="90"/>
      <c r="AA890" s="90"/>
      <c r="AB890" s="91"/>
      <c r="AC890" s="91"/>
      <c r="AD890" s="91"/>
      <c r="AE890" s="91"/>
      <c r="AF890" s="92"/>
      <c r="AG890" s="92"/>
      <c r="AH890" s="92"/>
      <c r="AI890" s="92"/>
      <c r="AJ890" s="92"/>
      <c r="AK890" s="92"/>
      <c r="AL890" s="92"/>
      <c r="AM890" s="92"/>
      <c r="AN890" s="92"/>
      <c r="AO890" s="92"/>
      <c r="AP890" s="92"/>
      <c r="AQ890" s="92"/>
      <c r="AR890" s="92"/>
      <c r="AS890" s="92"/>
      <c r="AT890" s="92"/>
      <c r="AU890" s="92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</row>
    <row r="891" spans="1:64" ht="15.75" customHeight="1" x14ac:dyDescent="0.2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0"/>
      <c r="U891" s="90"/>
      <c r="V891" s="90"/>
      <c r="W891" s="90"/>
      <c r="X891" s="90"/>
      <c r="Y891" s="90"/>
      <c r="Z891" s="90"/>
      <c r="AA891" s="90"/>
      <c r="AB891" s="91"/>
      <c r="AC891" s="91"/>
      <c r="AD891" s="91"/>
      <c r="AE891" s="91"/>
      <c r="AF891" s="92"/>
      <c r="AG891" s="92"/>
      <c r="AH891" s="92"/>
      <c r="AI891" s="92"/>
      <c r="AJ891" s="92"/>
      <c r="AK891" s="92"/>
      <c r="AL891" s="92"/>
      <c r="AM891" s="92"/>
      <c r="AN891" s="92"/>
      <c r="AO891" s="92"/>
      <c r="AP891" s="92"/>
      <c r="AQ891" s="92"/>
      <c r="AR891" s="92"/>
      <c r="AS891" s="92"/>
      <c r="AT891" s="92"/>
      <c r="AU891" s="92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</row>
    <row r="892" spans="1:64" ht="15.75" customHeight="1" x14ac:dyDescent="0.2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0"/>
      <c r="U892" s="90"/>
      <c r="V892" s="90"/>
      <c r="W892" s="90"/>
      <c r="X892" s="90"/>
      <c r="Y892" s="90"/>
      <c r="Z892" s="90"/>
      <c r="AA892" s="90"/>
      <c r="AB892" s="91"/>
      <c r="AC892" s="91"/>
      <c r="AD892" s="91"/>
      <c r="AE892" s="91"/>
      <c r="AF892" s="92"/>
      <c r="AG892" s="92"/>
      <c r="AH892" s="92"/>
      <c r="AI892" s="92"/>
      <c r="AJ892" s="92"/>
      <c r="AK892" s="92"/>
      <c r="AL892" s="92"/>
      <c r="AM892" s="92"/>
      <c r="AN892" s="92"/>
      <c r="AO892" s="92"/>
      <c r="AP892" s="92"/>
      <c r="AQ892" s="92"/>
      <c r="AR892" s="92"/>
      <c r="AS892" s="92"/>
      <c r="AT892" s="92"/>
      <c r="AU892" s="92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</row>
    <row r="893" spans="1:64" ht="15.75" customHeight="1" x14ac:dyDescent="0.2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0"/>
      <c r="U893" s="90"/>
      <c r="V893" s="90"/>
      <c r="W893" s="90"/>
      <c r="X893" s="90"/>
      <c r="Y893" s="90"/>
      <c r="Z893" s="90"/>
      <c r="AA893" s="90"/>
      <c r="AB893" s="91"/>
      <c r="AC893" s="91"/>
      <c r="AD893" s="91"/>
      <c r="AE893" s="91"/>
      <c r="AF893" s="92"/>
      <c r="AG893" s="92"/>
      <c r="AH893" s="92"/>
      <c r="AI893" s="92"/>
      <c r="AJ893" s="92"/>
      <c r="AK893" s="92"/>
      <c r="AL893" s="92"/>
      <c r="AM893" s="92"/>
      <c r="AN893" s="92"/>
      <c r="AO893" s="92"/>
      <c r="AP893" s="92"/>
      <c r="AQ893" s="92"/>
      <c r="AR893" s="92"/>
      <c r="AS893" s="92"/>
      <c r="AT893" s="92"/>
      <c r="AU893" s="92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</row>
    <row r="894" spans="1:64" ht="15.75" customHeight="1" x14ac:dyDescent="0.2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0"/>
      <c r="U894" s="90"/>
      <c r="V894" s="90"/>
      <c r="W894" s="90"/>
      <c r="X894" s="90"/>
      <c r="Y894" s="90"/>
      <c r="Z894" s="90"/>
      <c r="AA894" s="90"/>
      <c r="AB894" s="91"/>
      <c r="AC894" s="91"/>
      <c r="AD894" s="91"/>
      <c r="AE894" s="91"/>
      <c r="AF894" s="92"/>
      <c r="AG894" s="92"/>
      <c r="AH894" s="92"/>
      <c r="AI894" s="92"/>
      <c r="AJ894" s="92"/>
      <c r="AK894" s="92"/>
      <c r="AL894" s="92"/>
      <c r="AM894" s="92"/>
      <c r="AN894" s="92"/>
      <c r="AO894" s="92"/>
      <c r="AP894" s="92"/>
      <c r="AQ894" s="92"/>
      <c r="AR894" s="92"/>
      <c r="AS894" s="92"/>
      <c r="AT894" s="92"/>
      <c r="AU894" s="92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</row>
    <row r="895" spans="1:64" ht="15.75" customHeight="1" x14ac:dyDescent="0.2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0"/>
      <c r="U895" s="90"/>
      <c r="V895" s="90"/>
      <c r="W895" s="90"/>
      <c r="X895" s="90"/>
      <c r="Y895" s="90"/>
      <c r="Z895" s="90"/>
      <c r="AA895" s="90"/>
      <c r="AB895" s="91"/>
      <c r="AC895" s="91"/>
      <c r="AD895" s="91"/>
      <c r="AE895" s="91"/>
      <c r="AF895" s="92"/>
      <c r="AG895" s="92"/>
      <c r="AH895" s="92"/>
      <c r="AI895" s="92"/>
      <c r="AJ895" s="92"/>
      <c r="AK895" s="92"/>
      <c r="AL895" s="92"/>
      <c r="AM895" s="92"/>
      <c r="AN895" s="92"/>
      <c r="AO895" s="92"/>
      <c r="AP895" s="92"/>
      <c r="AQ895" s="92"/>
      <c r="AR895" s="92"/>
      <c r="AS895" s="92"/>
      <c r="AT895" s="92"/>
      <c r="AU895" s="92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</row>
    <row r="896" spans="1:64" ht="15.75" customHeight="1" x14ac:dyDescent="0.2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0"/>
      <c r="U896" s="90"/>
      <c r="V896" s="90"/>
      <c r="W896" s="90"/>
      <c r="X896" s="90"/>
      <c r="Y896" s="90"/>
      <c r="Z896" s="90"/>
      <c r="AA896" s="90"/>
      <c r="AB896" s="91"/>
      <c r="AC896" s="91"/>
      <c r="AD896" s="91"/>
      <c r="AE896" s="91"/>
      <c r="AF896" s="92"/>
      <c r="AG896" s="92"/>
      <c r="AH896" s="92"/>
      <c r="AI896" s="92"/>
      <c r="AJ896" s="92"/>
      <c r="AK896" s="92"/>
      <c r="AL896" s="92"/>
      <c r="AM896" s="92"/>
      <c r="AN896" s="92"/>
      <c r="AO896" s="92"/>
      <c r="AP896" s="92"/>
      <c r="AQ896" s="92"/>
      <c r="AR896" s="92"/>
      <c r="AS896" s="92"/>
      <c r="AT896" s="92"/>
      <c r="AU896" s="92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</row>
    <row r="897" spans="1:64" ht="15.75" customHeight="1" x14ac:dyDescent="0.2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0"/>
      <c r="U897" s="90"/>
      <c r="V897" s="90"/>
      <c r="W897" s="90"/>
      <c r="X897" s="90"/>
      <c r="Y897" s="90"/>
      <c r="Z897" s="90"/>
      <c r="AA897" s="90"/>
      <c r="AB897" s="91"/>
      <c r="AC897" s="91"/>
      <c r="AD897" s="91"/>
      <c r="AE897" s="91"/>
      <c r="AF897" s="92"/>
      <c r="AG897" s="92"/>
      <c r="AH897" s="92"/>
      <c r="AI897" s="92"/>
      <c r="AJ897" s="92"/>
      <c r="AK897" s="92"/>
      <c r="AL897" s="92"/>
      <c r="AM897" s="92"/>
      <c r="AN897" s="92"/>
      <c r="AO897" s="92"/>
      <c r="AP897" s="92"/>
      <c r="AQ897" s="92"/>
      <c r="AR897" s="92"/>
      <c r="AS897" s="92"/>
      <c r="AT897" s="92"/>
      <c r="AU897" s="92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</row>
    <row r="898" spans="1:64" ht="15.75" customHeight="1" x14ac:dyDescent="0.2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0"/>
      <c r="U898" s="90"/>
      <c r="V898" s="90"/>
      <c r="W898" s="90"/>
      <c r="X898" s="90"/>
      <c r="Y898" s="90"/>
      <c r="Z898" s="90"/>
      <c r="AA898" s="90"/>
      <c r="AB898" s="91"/>
      <c r="AC898" s="91"/>
      <c r="AD898" s="91"/>
      <c r="AE898" s="91"/>
      <c r="AF898" s="92"/>
      <c r="AG898" s="92"/>
      <c r="AH898" s="92"/>
      <c r="AI898" s="92"/>
      <c r="AJ898" s="92"/>
      <c r="AK898" s="92"/>
      <c r="AL898" s="92"/>
      <c r="AM898" s="92"/>
      <c r="AN898" s="92"/>
      <c r="AO898" s="92"/>
      <c r="AP898" s="92"/>
      <c r="AQ898" s="92"/>
      <c r="AR898" s="92"/>
      <c r="AS898" s="92"/>
      <c r="AT898" s="92"/>
      <c r="AU898" s="92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</row>
    <row r="899" spans="1:64" ht="15.75" customHeight="1" x14ac:dyDescent="0.2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0"/>
      <c r="U899" s="90"/>
      <c r="V899" s="90"/>
      <c r="W899" s="90"/>
      <c r="X899" s="90"/>
      <c r="Y899" s="90"/>
      <c r="Z899" s="90"/>
      <c r="AA899" s="90"/>
      <c r="AB899" s="91"/>
      <c r="AC899" s="91"/>
      <c r="AD899" s="91"/>
      <c r="AE899" s="91"/>
      <c r="AF899" s="92"/>
      <c r="AG899" s="92"/>
      <c r="AH899" s="92"/>
      <c r="AI899" s="92"/>
      <c r="AJ899" s="92"/>
      <c r="AK899" s="92"/>
      <c r="AL899" s="92"/>
      <c r="AM899" s="92"/>
      <c r="AN899" s="92"/>
      <c r="AO899" s="92"/>
      <c r="AP899" s="92"/>
      <c r="AQ899" s="92"/>
      <c r="AR899" s="92"/>
      <c r="AS899" s="92"/>
      <c r="AT899" s="92"/>
      <c r="AU899" s="92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</row>
    <row r="900" spans="1:64" ht="15.75" customHeight="1" x14ac:dyDescent="0.2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0"/>
      <c r="U900" s="90"/>
      <c r="V900" s="90"/>
      <c r="W900" s="90"/>
      <c r="X900" s="90"/>
      <c r="Y900" s="90"/>
      <c r="Z900" s="90"/>
      <c r="AA900" s="90"/>
      <c r="AB900" s="91"/>
      <c r="AC900" s="91"/>
      <c r="AD900" s="91"/>
      <c r="AE900" s="91"/>
      <c r="AF900" s="92"/>
      <c r="AG900" s="92"/>
      <c r="AH900" s="92"/>
      <c r="AI900" s="92"/>
      <c r="AJ900" s="92"/>
      <c r="AK900" s="92"/>
      <c r="AL900" s="92"/>
      <c r="AM900" s="92"/>
      <c r="AN900" s="92"/>
      <c r="AO900" s="92"/>
      <c r="AP900" s="92"/>
      <c r="AQ900" s="92"/>
      <c r="AR900" s="92"/>
      <c r="AS900" s="92"/>
      <c r="AT900" s="92"/>
      <c r="AU900" s="92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</row>
    <row r="901" spans="1:64" ht="15.75" customHeight="1" x14ac:dyDescent="0.2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0"/>
      <c r="U901" s="90"/>
      <c r="V901" s="90"/>
      <c r="W901" s="90"/>
      <c r="X901" s="90"/>
      <c r="Y901" s="90"/>
      <c r="Z901" s="90"/>
      <c r="AA901" s="90"/>
      <c r="AB901" s="91"/>
      <c r="AC901" s="91"/>
      <c r="AD901" s="91"/>
      <c r="AE901" s="91"/>
      <c r="AF901" s="92"/>
      <c r="AG901" s="92"/>
      <c r="AH901" s="92"/>
      <c r="AI901" s="92"/>
      <c r="AJ901" s="92"/>
      <c r="AK901" s="92"/>
      <c r="AL901" s="92"/>
      <c r="AM901" s="92"/>
      <c r="AN901" s="92"/>
      <c r="AO901" s="92"/>
      <c r="AP901" s="92"/>
      <c r="AQ901" s="92"/>
      <c r="AR901" s="92"/>
      <c r="AS901" s="92"/>
      <c r="AT901" s="92"/>
      <c r="AU901" s="92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</row>
    <row r="902" spans="1:64" ht="15.75" customHeight="1" x14ac:dyDescent="0.2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0"/>
      <c r="U902" s="90"/>
      <c r="V902" s="90"/>
      <c r="W902" s="90"/>
      <c r="X902" s="90"/>
      <c r="Y902" s="90"/>
      <c r="Z902" s="90"/>
      <c r="AA902" s="90"/>
      <c r="AB902" s="91"/>
      <c r="AC902" s="91"/>
      <c r="AD902" s="91"/>
      <c r="AE902" s="91"/>
      <c r="AF902" s="92"/>
      <c r="AG902" s="92"/>
      <c r="AH902" s="92"/>
      <c r="AI902" s="92"/>
      <c r="AJ902" s="92"/>
      <c r="AK902" s="92"/>
      <c r="AL902" s="92"/>
      <c r="AM902" s="92"/>
      <c r="AN902" s="92"/>
      <c r="AO902" s="92"/>
      <c r="AP902" s="92"/>
      <c r="AQ902" s="92"/>
      <c r="AR902" s="92"/>
      <c r="AS902" s="92"/>
      <c r="AT902" s="92"/>
      <c r="AU902" s="92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</row>
    <row r="903" spans="1:64" ht="15.75" customHeight="1" x14ac:dyDescent="0.2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0"/>
      <c r="U903" s="90"/>
      <c r="V903" s="90"/>
      <c r="W903" s="90"/>
      <c r="X903" s="90"/>
      <c r="Y903" s="90"/>
      <c r="Z903" s="90"/>
      <c r="AA903" s="90"/>
      <c r="AB903" s="91"/>
      <c r="AC903" s="91"/>
      <c r="AD903" s="91"/>
      <c r="AE903" s="91"/>
      <c r="AF903" s="92"/>
      <c r="AG903" s="92"/>
      <c r="AH903" s="92"/>
      <c r="AI903" s="92"/>
      <c r="AJ903" s="92"/>
      <c r="AK903" s="92"/>
      <c r="AL903" s="92"/>
      <c r="AM903" s="92"/>
      <c r="AN903" s="92"/>
      <c r="AO903" s="92"/>
      <c r="AP903" s="92"/>
      <c r="AQ903" s="92"/>
      <c r="AR903" s="92"/>
      <c r="AS903" s="92"/>
      <c r="AT903" s="92"/>
      <c r="AU903" s="92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</row>
    <row r="904" spans="1:64" ht="15.75" customHeight="1" x14ac:dyDescent="0.2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0"/>
      <c r="U904" s="90"/>
      <c r="V904" s="90"/>
      <c r="W904" s="90"/>
      <c r="X904" s="90"/>
      <c r="Y904" s="90"/>
      <c r="Z904" s="90"/>
      <c r="AA904" s="90"/>
      <c r="AB904" s="91"/>
      <c r="AC904" s="91"/>
      <c r="AD904" s="91"/>
      <c r="AE904" s="91"/>
      <c r="AF904" s="92"/>
      <c r="AG904" s="92"/>
      <c r="AH904" s="92"/>
      <c r="AI904" s="92"/>
      <c r="AJ904" s="92"/>
      <c r="AK904" s="92"/>
      <c r="AL904" s="92"/>
      <c r="AM904" s="92"/>
      <c r="AN904" s="92"/>
      <c r="AO904" s="92"/>
      <c r="AP904" s="92"/>
      <c r="AQ904" s="92"/>
      <c r="AR904" s="92"/>
      <c r="AS904" s="92"/>
      <c r="AT904" s="92"/>
      <c r="AU904" s="92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</row>
    <row r="905" spans="1:64" ht="15.75" customHeight="1" x14ac:dyDescent="0.2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0"/>
      <c r="U905" s="90"/>
      <c r="V905" s="90"/>
      <c r="W905" s="90"/>
      <c r="X905" s="90"/>
      <c r="Y905" s="90"/>
      <c r="Z905" s="90"/>
      <c r="AA905" s="90"/>
      <c r="AB905" s="91"/>
      <c r="AC905" s="91"/>
      <c r="AD905" s="91"/>
      <c r="AE905" s="91"/>
      <c r="AF905" s="92"/>
      <c r="AG905" s="92"/>
      <c r="AH905" s="92"/>
      <c r="AI905" s="92"/>
      <c r="AJ905" s="92"/>
      <c r="AK905" s="92"/>
      <c r="AL905" s="92"/>
      <c r="AM905" s="92"/>
      <c r="AN905" s="92"/>
      <c r="AO905" s="92"/>
      <c r="AP905" s="92"/>
      <c r="AQ905" s="92"/>
      <c r="AR905" s="92"/>
      <c r="AS905" s="92"/>
      <c r="AT905" s="92"/>
      <c r="AU905" s="92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</row>
    <row r="906" spans="1:64" ht="15.75" customHeight="1" x14ac:dyDescent="0.2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0"/>
      <c r="U906" s="90"/>
      <c r="V906" s="90"/>
      <c r="W906" s="90"/>
      <c r="X906" s="90"/>
      <c r="Y906" s="90"/>
      <c r="Z906" s="90"/>
      <c r="AA906" s="90"/>
      <c r="AB906" s="91"/>
      <c r="AC906" s="91"/>
      <c r="AD906" s="91"/>
      <c r="AE906" s="91"/>
      <c r="AF906" s="92"/>
      <c r="AG906" s="92"/>
      <c r="AH906" s="92"/>
      <c r="AI906" s="92"/>
      <c r="AJ906" s="92"/>
      <c r="AK906" s="92"/>
      <c r="AL906" s="92"/>
      <c r="AM906" s="92"/>
      <c r="AN906" s="92"/>
      <c r="AO906" s="92"/>
      <c r="AP906" s="92"/>
      <c r="AQ906" s="92"/>
      <c r="AR906" s="92"/>
      <c r="AS906" s="92"/>
      <c r="AT906" s="92"/>
      <c r="AU906" s="92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</row>
    <row r="907" spans="1:64" ht="15.75" customHeight="1" x14ac:dyDescent="0.2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0"/>
      <c r="U907" s="90"/>
      <c r="V907" s="90"/>
      <c r="W907" s="90"/>
      <c r="X907" s="90"/>
      <c r="Y907" s="90"/>
      <c r="Z907" s="90"/>
      <c r="AA907" s="90"/>
      <c r="AB907" s="91"/>
      <c r="AC907" s="91"/>
      <c r="AD907" s="91"/>
      <c r="AE907" s="91"/>
      <c r="AF907" s="92"/>
      <c r="AG907" s="92"/>
      <c r="AH907" s="92"/>
      <c r="AI907" s="92"/>
      <c r="AJ907" s="92"/>
      <c r="AK907" s="92"/>
      <c r="AL907" s="92"/>
      <c r="AM907" s="92"/>
      <c r="AN907" s="92"/>
      <c r="AO907" s="92"/>
      <c r="AP907" s="92"/>
      <c r="AQ907" s="92"/>
      <c r="AR907" s="92"/>
      <c r="AS907" s="92"/>
      <c r="AT907" s="92"/>
      <c r="AU907" s="92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</row>
    <row r="908" spans="1:64" ht="15.75" customHeight="1" x14ac:dyDescent="0.2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0"/>
      <c r="U908" s="90"/>
      <c r="V908" s="90"/>
      <c r="W908" s="90"/>
      <c r="X908" s="90"/>
      <c r="Y908" s="90"/>
      <c r="Z908" s="90"/>
      <c r="AA908" s="90"/>
      <c r="AB908" s="91"/>
      <c r="AC908" s="91"/>
      <c r="AD908" s="91"/>
      <c r="AE908" s="91"/>
      <c r="AF908" s="92"/>
      <c r="AG908" s="92"/>
      <c r="AH908" s="92"/>
      <c r="AI908" s="92"/>
      <c r="AJ908" s="92"/>
      <c r="AK908" s="92"/>
      <c r="AL908" s="92"/>
      <c r="AM908" s="92"/>
      <c r="AN908" s="92"/>
      <c r="AO908" s="92"/>
      <c r="AP908" s="92"/>
      <c r="AQ908" s="92"/>
      <c r="AR908" s="92"/>
      <c r="AS908" s="92"/>
      <c r="AT908" s="92"/>
      <c r="AU908" s="92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</row>
    <row r="909" spans="1:64" ht="15.75" customHeight="1" x14ac:dyDescent="0.2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0"/>
      <c r="U909" s="90"/>
      <c r="V909" s="90"/>
      <c r="W909" s="90"/>
      <c r="X909" s="90"/>
      <c r="Y909" s="90"/>
      <c r="Z909" s="90"/>
      <c r="AA909" s="90"/>
      <c r="AB909" s="91"/>
      <c r="AC909" s="91"/>
      <c r="AD909" s="91"/>
      <c r="AE909" s="91"/>
      <c r="AF909" s="92"/>
      <c r="AG909" s="92"/>
      <c r="AH909" s="92"/>
      <c r="AI909" s="92"/>
      <c r="AJ909" s="92"/>
      <c r="AK909" s="92"/>
      <c r="AL909" s="92"/>
      <c r="AM909" s="92"/>
      <c r="AN909" s="92"/>
      <c r="AO909" s="92"/>
      <c r="AP909" s="92"/>
      <c r="AQ909" s="92"/>
      <c r="AR909" s="92"/>
      <c r="AS909" s="92"/>
      <c r="AT909" s="92"/>
      <c r="AU909" s="92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</row>
    <row r="910" spans="1:64" ht="15.75" customHeight="1" x14ac:dyDescent="0.2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0"/>
      <c r="U910" s="90"/>
      <c r="V910" s="90"/>
      <c r="W910" s="90"/>
      <c r="X910" s="90"/>
      <c r="Y910" s="90"/>
      <c r="Z910" s="90"/>
      <c r="AA910" s="90"/>
      <c r="AB910" s="91"/>
      <c r="AC910" s="91"/>
      <c r="AD910" s="91"/>
      <c r="AE910" s="91"/>
      <c r="AF910" s="92"/>
      <c r="AG910" s="92"/>
      <c r="AH910" s="92"/>
      <c r="AI910" s="92"/>
      <c r="AJ910" s="92"/>
      <c r="AK910" s="92"/>
      <c r="AL910" s="92"/>
      <c r="AM910" s="92"/>
      <c r="AN910" s="92"/>
      <c r="AO910" s="92"/>
      <c r="AP910" s="92"/>
      <c r="AQ910" s="92"/>
      <c r="AR910" s="92"/>
      <c r="AS910" s="92"/>
      <c r="AT910" s="92"/>
      <c r="AU910" s="92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</row>
    <row r="911" spans="1:64" ht="15.75" customHeight="1" x14ac:dyDescent="0.2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0"/>
      <c r="U911" s="90"/>
      <c r="V911" s="90"/>
      <c r="W911" s="90"/>
      <c r="X911" s="90"/>
      <c r="Y911" s="90"/>
      <c r="Z911" s="90"/>
      <c r="AA911" s="90"/>
      <c r="AB911" s="91"/>
      <c r="AC911" s="91"/>
      <c r="AD911" s="91"/>
      <c r="AE911" s="91"/>
      <c r="AF911" s="92"/>
      <c r="AG911" s="92"/>
      <c r="AH911" s="92"/>
      <c r="AI911" s="92"/>
      <c r="AJ911" s="92"/>
      <c r="AK911" s="92"/>
      <c r="AL911" s="92"/>
      <c r="AM911" s="92"/>
      <c r="AN911" s="92"/>
      <c r="AO911" s="92"/>
      <c r="AP911" s="92"/>
      <c r="AQ911" s="92"/>
      <c r="AR911" s="92"/>
      <c r="AS911" s="92"/>
      <c r="AT911" s="92"/>
      <c r="AU911" s="92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</row>
    <row r="912" spans="1:64" ht="15.75" customHeight="1" x14ac:dyDescent="0.2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0"/>
      <c r="U912" s="90"/>
      <c r="V912" s="90"/>
      <c r="W912" s="90"/>
      <c r="X912" s="90"/>
      <c r="Y912" s="90"/>
      <c r="Z912" s="90"/>
      <c r="AA912" s="90"/>
      <c r="AB912" s="91"/>
      <c r="AC912" s="91"/>
      <c r="AD912" s="91"/>
      <c r="AE912" s="91"/>
      <c r="AF912" s="92"/>
      <c r="AG912" s="92"/>
      <c r="AH912" s="92"/>
      <c r="AI912" s="92"/>
      <c r="AJ912" s="92"/>
      <c r="AK912" s="92"/>
      <c r="AL912" s="92"/>
      <c r="AM912" s="92"/>
      <c r="AN912" s="92"/>
      <c r="AO912" s="92"/>
      <c r="AP912" s="92"/>
      <c r="AQ912" s="92"/>
      <c r="AR912" s="92"/>
      <c r="AS912" s="92"/>
      <c r="AT912" s="92"/>
      <c r="AU912" s="92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</row>
    <row r="913" spans="1:64" ht="15.75" customHeight="1" x14ac:dyDescent="0.2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0"/>
      <c r="U913" s="90"/>
      <c r="V913" s="90"/>
      <c r="W913" s="90"/>
      <c r="X913" s="90"/>
      <c r="Y913" s="90"/>
      <c r="Z913" s="90"/>
      <c r="AA913" s="90"/>
      <c r="AB913" s="91"/>
      <c r="AC913" s="91"/>
      <c r="AD913" s="91"/>
      <c r="AE913" s="91"/>
      <c r="AF913" s="92"/>
      <c r="AG913" s="92"/>
      <c r="AH913" s="92"/>
      <c r="AI913" s="92"/>
      <c r="AJ913" s="92"/>
      <c r="AK913" s="92"/>
      <c r="AL913" s="92"/>
      <c r="AM913" s="92"/>
      <c r="AN913" s="92"/>
      <c r="AO913" s="92"/>
      <c r="AP913" s="92"/>
      <c r="AQ913" s="92"/>
      <c r="AR913" s="92"/>
      <c r="AS913" s="92"/>
      <c r="AT913" s="92"/>
      <c r="AU913" s="92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</row>
    <row r="914" spans="1:64" ht="15.75" customHeight="1" x14ac:dyDescent="0.2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0"/>
      <c r="U914" s="90"/>
      <c r="V914" s="90"/>
      <c r="W914" s="90"/>
      <c r="X914" s="90"/>
      <c r="Y914" s="90"/>
      <c r="Z914" s="90"/>
      <c r="AA914" s="90"/>
      <c r="AB914" s="91"/>
      <c r="AC914" s="91"/>
      <c r="AD914" s="91"/>
      <c r="AE914" s="91"/>
      <c r="AF914" s="92"/>
      <c r="AG914" s="92"/>
      <c r="AH914" s="92"/>
      <c r="AI914" s="92"/>
      <c r="AJ914" s="92"/>
      <c r="AK914" s="92"/>
      <c r="AL914" s="92"/>
      <c r="AM914" s="92"/>
      <c r="AN914" s="92"/>
      <c r="AO914" s="92"/>
      <c r="AP914" s="92"/>
      <c r="AQ914" s="92"/>
      <c r="AR914" s="92"/>
      <c r="AS914" s="92"/>
      <c r="AT914" s="92"/>
      <c r="AU914" s="92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</row>
    <row r="915" spans="1:64" ht="15.75" customHeight="1" x14ac:dyDescent="0.2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0"/>
      <c r="U915" s="90"/>
      <c r="V915" s="90"/>
      <c r="W915" s="90"/>
      <c r="X915" s="90"/>
      <c r="Y915" s="90"/>
      <c r="Z915" s="90"/>
      <c r="AA915" s="90"/>
      <c r="AB915" s="91"/>
      <c r="AC915" s="91"/>
      <c r="AD915" s="91"/>
      <c r="AE915" s="91"/>
      <c r="AF915" s="92"/>
      <c r="AG915" s="92"/>
      <c r="AH915" s="92"/>
      <c r="AI915" s="92"/>
      <c r="AJ915" s="92"/>
      <c r="AK915" s="92"/>
      <c r="AL915" s="92"/>
      <c r="AM915" s="92"/>
      <c r="AN915" s="92"/>
      <c r="AO915" s="92"/>
      <c r="AP915" s="92"/>
      <c r="AQ915" s="92"/>
      <c r="AR915" s="92"/>
      <c r="AS915" s="92"/>
      <c r="AT915" s="92"/>
      <c r="AU915" s="92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</row>
    <row r="916" spans="1:64" ht="15.75" customHeight="1" x14ac:dyDescent="0.2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0"/>
      <c r="U916" s="90"/>
      <c r="V916" s="90"/>
      <c r="W916" s="90"/>
      <c r="X916" s="90"/>
      <c r="Y916" s="90"/>
      <c r="Z916" s="90"/>
      <c r="AA916" s="90"/>
      <c r="AB916" s="91"/>
      <c r="AC916" s="91"/>
      <c r="AD916" s="91"/>
      <c r="AE916" s="91"/>
      <c r="AF916" s="92"/>
      <c r="AG916" s="92"/>
      <c r="AH916" s="92"/>
      <c r="AI916" s="92"/>
      <c r="AJ916" s="92"/>
      <c r="AK916" s="92"/>
      <c r="AL916" s="92"/>
      <c r="AM916" s="92"/>
      <c r="AN916" s="92"/>
      <c r="AO916" s="92"/>
      <c r="AP916" s="92"/>
      <c r="AQ916" s="92"/>
      <c r="AR916" s="92"/>
      <c r="AS916" s="92"/>
      <c r="AT916" s="92"/>
      <c r="AU916" s="92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</row>
    <row r="917" spans="1:64" ht="15.75" customHeight="1" x14ac:dyDescent="0.2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0"/>
      <c r="U917" s="90"/>
      <c r="V917" s="90"/>
      <c r="W917" s="90"/>
      <c r="X917" s="90"/>
      <c r="Y917" s="90"/>
      <c r="Z917" s="90"/>
      <c r="AA917" s="90"/>
      <c r="AB917" s="91"/>
      <c r="AC917" s="91"/>
      <c r="AD917" s="91"/>
      <c r="AE917" s="91"/>
      <c r="AF917" s="92"/>
      <c r="AG917" s="92"/>
      <c r="AH917" s="92"/>
      <c r="AI917" s="92"/>
      <c r="AJ917" s="92"/>
      <c r="AK917" s="92"/>
      <c r="AL917" s="92"/>
      <c r="AM917" s="92"/>
      <c r="AN917" s="92"/>
      <c r="AO917" s="92"/>
      <c r="AP917" s="92"/>
      <c r="AQ917" s="92"/>
      <c r="AR917" s="92"/>
      <c r="AS917" s="92"/>
      <c r="AT917" s="92"/>
      <c r="AU917" s="92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</row>
    <row r="918" spans="1:64" ht="15.75" customHeight="1" x14ac:dyDescent="0.2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0"/>
      <c r="U918" s="90"/>
      <c r="V918" s="90"/>
      <c r="W918" s="90"/>
      <c r="X918" s="90"/>
      <c r="Y918" s="90"/>
      <c r="Z918" s="90"/>
      <c r="AA918" s="90"/>
      <c r="AB918" s="91"/>
      <c r="AC918" s="91"/>
      <c r="AD918" s="91"/>
      <c r="AE918" s="91"/>
      <c r="AF918" s="92"/>
      <c r="AG918" s="92"/>
      <c r="AH918" s="92"/>
      <c r="AI918" s="92"/>
      <c r="AJ918" s="92"/>
      <c r="AK918" s="92"/>
      <c r="AL918" s="92"/>
      <c r="AM918" s="92"/>
      <c r="AN918" s="92"/>
      <c r="AO918" s="92"/>
      <c r="AP918" s="92"/>
      <c r="AQ918" s="92"/>
      <c r="AR918" s="92"/>
      <c r="AS918" s="92"/>
      <c r="AT918" s="92"/>
      <c r="AU918" s="92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</row>
    <row r="919" spans="1:64" ht="15.75" customHeight="1" x14ac:dyDescent="0.2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0"/>
      <c r="U919" s="90"/>
      <c r="V919" s="90"/>
      <c r="W919" s="90"/>
      <c r="X919" s="90"/>
      <c r="Y919" s="90"/>
      <c r="Z919" s="90"/>
      <c r="AA919" s="90"/>
      <c r="AB919" s="91"/>
      <c r="AC919" s="91"/>
      <c r="AD919" s="91"/>
      <c r="AE919" s="91"/>
      <c r="AF919" s="92"/>
      <c r="AG919" s="92"/>
      <c r="AH919" s="92"/>
      <c r="AI919" s="92"/>
      <c r="AJ919" s="92"/>
      <c r="AK919" s="92"/>
      <c r="AL919" s="92"/>
      <c r="AM919" s="92"/>
      <c r="AN919" s="92"/>
      <c r="AO919" s="92"/>
      <c r="AP919" s="92"/>
      <c r="AQ919" s="92"/>
      <c r="AR919" s="92"/>
      <c r="AS919" s="92"/>
      <c r="AT919" s="92"/>
      <c r="AU919" s="92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</row>
    <row r="920" spans="1:64" ht="15.75" customHeight="1" x14ac:dyDescent="0.2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0"/>
      <c r="U920" s="90"/>
      <c r="V920" s="90"/>
      <c r="W920" s="90"/>
      <c r="X920" s="90"/>
      <c r="Y920" s="90"/>
      <c r="Z920" s="90"/>
      <c r="AA920" s="90"/>
      <c r="AB920" s="91"/>
      <c r="AC920" s="91"/>
      <c r="AD920" s="91"/>
      <c r="AE920" s="91"/>
      <c r="AF920" s="92"/>
      <c r="AG920" s="92"/>
      <c r="AH920" s="92"/>
      <c r="AI920" s="92"/>
      <c r="AJ920" s="92"/>
      <c r="AK920" s="92"/>
      <c r="AL920" s="92"/>
      <c r="AM920" s="92"/>
      <c r="AN920" s="92"/>
      <c r="AO920" s="92"/>
      <c r="AP920" s="92"/>
      <c r="AQ920" s="92"/>
      <c r="AR920" s="92"/>
      <c r="AS920" s="92"/>
      <c r="AT920" s="92"/>
      <c r="AU920" s="92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</row>
    <row r="921" spans="1:64" ht="15.75" customHeight="1" x14ac:dyDescent="0.2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0"/>
      <c r="U921" s="90"/>
      <c r="V921" s="90"/>
      <c r="W921" s="90"/>
      <c r="X921" s="90"/>
      <c r="Y921" s="90"/>
      <c r="Z921" s="90"/>
      <c r="AA921" s="90"/>
      <c r="AB921" s="91"/>
      <c r="AC921" s="91"/>
      <c r="AD921" s="91"/>
      <c r="AE921" s="91"/>
      <c r="AF921" s="92"/>
      <c r="AG921" s="92"/>
      <c r="AH921" s="92"/>
      <c r="AI921" s="92"/>
      <c r="AJ921" s="92"/>
      <c r="AK921" s="92"/>
      <c r="AL921" s="92"/>
      <c r="AM921" s="92"/>
      <c r="AN921" s="92"/>
      <c r="AO921" s="92"/>
      <c r="AP921" s="92"/>
      <c r="AQ921" s="92"/>
      <c r="AR921" s="92"/>
      <c r="AS921" s="92"/>
      <c r="AT921" s="92"/>
      <c r="AU921" s="92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</row>
    <row r="922" spans="1:64" ht="15.75" customHeight="1" x14ac:dyDescent="0.2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0"/>
      <c r="U922" s="90"/>
      <c r="V922" s="90"/>
      <c r="W922" s="90"/>
      <c r="X922" s="90"/>
      <c r="Y922" s="90"/>
      <c r="Z922" s="90"/>
      <c r="AA922" s="90"/>
      <c r="AB922" s="91"/>
      <c r="AC922" s="91"/>
      <c r="AD922" s="91"/>
      <c r="AE922" s="91"/>
      <c r="AF922" s="92"/>
      <c r="AG922" s="92"/>
      <c r="AH922" s="92"/>
      <c r="AI922" s="92"/>
      <c r="AJ922" s="92"/>
      <c r="AK922" s="92"/>
      <c r="AL922" s="92"/>
      <c r="AM922" s="92"/>
      <c r="AN922" s="92"/>
      <c r="AO922" s="92"/>
      <c r="AP922" s="92"/>
      <c r="AQ922" s="92"/>
      <c r="AR922" s="92"/>
      <c r="AS922" s="92"/>
      <c r="AT922" s="92"/>
      <c r="AU922" s="92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</row>
    <row r="923" spans="1:64" ht="15.75" customHeight="1" x14ac:dyDescent="0.2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0"/>
      <c r="U923" s="90"/>
      <c r="V923" s="90"/>
      <c r="W923" s="90"/>
      <c r="X923" s="90"/>
      <c r="Y923" s="90"/>
      <c r="Z923" s="90"/>
      <c r="AA923" s="90"/>
      <c r="AB923" s="91"/>
      <c r="AC923" s="91"/>
      <c r="AD923" s="91"/>
      <c r="AE923" s="91"/>
      <c r="AF923" s="92"/>
      <c r="AG923" s="92"/>
      <c r="AH923" s="92"/>
      <c r="AI923" s="92"/>
      <c r="AJ923" s="92"/>
      <c r="AK923" s="92"/>
      <c r="AL923" s="92"/>
      <c r="AM923" s="92"/>
      <c r="AN923" s="92"/>
      <c r="AO923" s="92"/>
      <c r="AP923" s="92"/>
      <c r="AQ923" s="92"/>
      <c r="AR923" s="92"/>
      <c r="AS923" s="92"/>
      <c r="AT923" s="92"/>
      <c r="AU923" s="92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</row>
    <row r="924" spans="1:64" ht="15.75" customHeight="1" x14ac:dyDescent="0.2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0"/>
      <c r="U924" s="90"/>
      <c r="V924" s="90"/>
      <c r="W924" s="90"/>
      <c r="X924" s="90"/>
      <c r="Y924" s="90"/>
      <c r="Z924" s="90"/>
      <c r="AA924" s="90"/>
      <c r="AB924" s="91"/>
      <c r="AC924" s="91"/>
      <c r="AD924" s="91"/>
      <c r="AE924" s="91"/>
      <c r="AF924" s="92"/>
      <c r="AG924" s="92"/>
      <c r="AH924" s="92"/>
      <c r="AI924" s="92"/>
      <c r="AJ924" s="92"/>
      <c r="AK924" s="92"/>
      <c r="AL924" s="92"/>
      <c r="AM924" s="92"/>
      <c r="AN924" s="92"/>
      <c r="AO924" s="92"/>
      <c r="AP924" s="92"/>
      <c r="AQ924" s="92"/>
      <c r="AR924" s="92"/>
      <c r="AS924" s="92"/>
      <c r="AT924" s="92"/>
      <c r="AU924" s="92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</row>
    <row r="925" spans="1:64" ht="15.75" customHeight="1" x14ac:dyDescent="0.2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0"/>
      <c r="U925" s="90"/>
      <c r="V925" s="90"/>
      <c r="W925" s="90"/>
      <c r="X925" s="90"/>
      <c r="Y925" s="90"/>
      <c r="Z925" s="90"/>
      <c r="AA925" s="90"/>
      <c r="AB925" s="91"/>
      <c r="AC925" s="91"/>
      <c r="AD925" s="91"/>
      <c r="AE925" s="91"/>
      <c r="AF925" s="92"/>
      <c r="AG925" s="92"/>
      <c r="AH925" s="92"/>
      <c r="AI925" s="92"/>
      <c r="AJ925" s="92"/>
      <c r="AK925" s="92"/>
      <c r="AL925" s="92"/>
      <c r="AM925" s="92"/>
      <c r="AN925" s="92"/>
      <c r="AO925" s="92"/>
      <c r="AP925" s="92"/>
      <c r="AQ925" s="92"/>
      <c r="AR925" s="92"/>
      <c r="AS925" s="92"/>
      <c r="AT925" s="92"/>
      <c r="AU925" s="92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</row>
    <row r="926" spans="1:64" ht="15.75" customHeight="1" x14ac:dyDescent="0.2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0"/>
      <c r="U926" s="90"/>
      <c r="V926" s="90"/>
      <c r="W926" s="90"/>
      <c r="X926" s="90"/>
      <c r="Y926" s="90"/>
      <c r="Z926" s="90"/>
      <c r="AA926" s="90"/>
      <c r="AB926" s="91"/>
      <c r="AC926" s="91"/>
      <c r="AD926" s="91"/>
      <c r="AE926" s="91"/>
      <c r="AF926" s="92"/>
      <c r="AG926" s="92"/>
      <c r="AH926" s="92"/>
      <c r="AI926" s="92"/>
      <c r="AJ926" s="92"/>
      <c r="AK926" s="92"/>
      <c r="AL926" s="92"/>
      <c r="AM926" s="92"/>
      <c r="AN926" s="92"/>
      <c r="AO926" s="92"/>
      <c r="AP926" s="92"/>
      <c r="AQ926" s="92"/>
      <c r="AR926" s="92"/>
      <c r="AS926" s="92"/>
      <c r="AT926" s="92"/>
      <c r="AU926" s="92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</row>
    <row r="927" spans="1:64" ht="15.75" customHeight="1" x14ac:dyDescent="0.2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0"/>
      <c r="U927" s="90"/>
      <c r="V927" s="90"/>
      <c r="W927" s="90"/>
      <c r="X927" s="90"/>
      <c r="Y927" s="90"/>
      <c r="Z927" s="90"/>
      <c r="AA927" s="90"/>
      <c r="AB927" s="91"/>
      <c r="AC927" s="91"/>
      <c r="AD927" s="91"/>
      <c r="AE927" s="91"/>
      <c r="AF927" s="92"/>
      <c r="AG927" s="92"/>
      <c r="AH927" s="92"/>
      <c r="AI927" s="92"/>
      <c r="AJ927" s="92"/>
      <c r="AK927" s="92"/>
      <c r="AL927" s="92"/>
      <c r="AM927" s="92"/>
      <c r="AN927" s="92"/>
      <c r="AO927" s="92"/>
      <c r="AP927" s="92"/>
      <c r="AQ927" s="92"/>
      <c r="AR927" s="92"/>
      <c r="AS927" s="92"/>
      <c r="AT927" s="92"/>
      <c r="AU927" s="92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</row>
    <row r="928" spans="1:64" ht="15.75" customHeight="1" x14ac:dyDescent="0.2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0"/>
      <c r="U928" s="90"/>
      <c r="V928" s="90"/>
      <c r="W928" s="90"/>
      <c r="X928" s="90"/>
      <c r="Y928" s="90"/>
      <c r="Z928" s="90"/>
      <c r="AA928" s="90"/>
      <c r="AB928" s="91"/>
      <c r="AC928" s="91"/>
      <c r="AD928" s="91"/>
      <c r="AE928" s="91"/>
      <c r="AF928" s="92"/>
      <c r="AG928" s="92"/>
      <c r="AH928" s="92"/>
      <c r="AI928" s="92"/>
      <c r="AJ928" s="92"/>
      <c r="AK928" s="92"/>
      <c r="AL928" s="92"/>
      <c r="AM928" s="92"/>
      <c r="AN928" s="92"/>
      <c r="AO928" s="92"/>
      <c r="AP928" s="92"/>
      <c r="AQ928" s="92"/>
      <c r="AR928" s="92"/>
      <c r="AS928" s="92"/>
      <c r="AT928" s="92"/>
      <c r="AU928" s="92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</row>
    <row r="929" spans="1:64" ht="15.75" customHeight="1" x14ac:dyDescent="0.2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0"/>
      <c r="U929" s="90"/>
      <c r="V929" s="90"/>
      <c r="W929" s="90"/>
      <c r="X929" s="90"/>
      <c r="Y929" s="90"/>
      <c r="Z929" s="90"/>
      <c r="AA929" s="90"/>
      <c r="AB929" s="91"/>
      <c r="AC929" s="91"/>
      <c r="AD929" s="91"/>
      <c r="AE929" s="91"/>
      <c r="AF929" s="92"/>
      <c r="AG929" s="92"/>
      <c r="AH929" s="92"/>
      <c r="AI929" s="92"/>
      <c r="AJ929" s="92"/>
      <c r="AK929" s="92"/>
      <c r="AL929" s="92"/>
      <c r="AM929" s="92"/>
      <c r="AN929" s="92"/>
      <c r="AO929" s="92"/>
      <c r="AP929" s="92"/>
      <c r="AQ929" s="92"/>
      <c r="AR929" s="92"/>
      <c r="AS929" s="92"/>
      <c r="AT929" s="92"/>
      <c r="AU929" s="92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</row>
    <row r="930" spans="1:64" ht="15.75" customHeight="1" x14ac:dyDescent="0.2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0"/>
      <c r="U930" s="90"/>
      <c r="V930" s="90"/>
      <c r="W930" s="90"/>
      <c r="X930" s="90"/>
      <c r="Y930" s="90"/>
      <c r="Z930" s="90"/>
      <c r="AA930" s="90"/>
      <c r="AB930" s="91"/>
      <c r="AC930" s="91"/>
      <c r="AD930" s="91"/>
      <c r="AE930" s="91"/>
      <c r="AF930" s="92"/>
      <c r="AG930" s="92"/>
      <c r="AH930" s="92"/>
      <c r="AI930" s="92"/>
      <c r="AJ930" s="92"/>
      <c r="AK930" s="92"/>
      <c r="AL930" s="92"/>
      <c r="AM930" s="92"/>
      <c r="AN930" s="92"/>
      <c r="AO930" s="92"/>
      <c r="AP930" s="92"/>
      <c r="AQ930" s="92"/>
      <c r="AR930" s="92"/>
      <c r="AS930" s="92"/>
      <c r="AT930" s="92"/>
      <c r="AU930" s="92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</row>
    <row r="931" spans="1:64" ht="15.75" customHeight="1" x14ac:dyDescent="0.2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0"/>
      <c r="U931" s="90"/>
      <c r="V931" s="90"/>
      <c r="W931" s="90"/>
      <c r="X931" s="90"/>
      <c r="Y931" s="90"/>
      <c r="Z931" s="90"/>
      <c r="AA931" s="90"/>
      <c r="AB931" s="91"/>
      <c r="AC931" s="91"/>
      <c r="AD931" s="91"/>
      <c r="AE931" s="91"/>
      <c r="AF931" s="92"/>
      <c r="AG931" s="92"/>
      <c r="AH931" s="92"/>
      <c r="AI931" s="92"/>
      <c r="AJ931" s="92"/>
      <c r="AK931" s="92"/>
      <c r="AL931" s="92"/>
      <c r="AM931" s="92"/>
      <c r="AN931" s="92"/>
      <c r="AO931" s="92"/>
      <c r="AP931" s="92"/>
      <c r="AQ931" s="92"/>
      <c r="AR931" s="92"/>
      <c r="AS931" s="92"/>
      <c r="AT931" s="92"/>
      <c r="AU931" s="92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</row>
    <row r="932" spans="1:64" ht="15.75" customHeight="1" x14ac:dyDescent="0.2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0"/>
      <c r="U932" s="90"/>
      <c r="V932" s="90"/>
      <c r="W932" s="90"/>
      <c r="X932" s="90"/>
      <c r="Y932" s="90"/>
      <c r="Z932" s="90"/>
      <c r="AA932" s="90"/>
      <c r="AB932" s="91"/>
      <c r="AC932" s="91"/>
      <c r="AD932" s="91"/>
      <c r="AE932" s="91"/>
      <c r="AF932" s="92"/>
      <c r="AG932" s="92"/>
      <c r="AH932" s="92"/>
      <c r="AI932" s="92"/>
      <c r="AJ932" s="92"/>
      <c r="AK932" s="92"/>
      <c r="AL932" s="92"/>
      <c r="AM932" s="92"/>
      <c r="AN932" s="92"/>
      <c r="AO932" s="92"/>
      <c r="AP932" s="92"/>
      <c r="AQ932" s="92"/>
      <c r="AR932" s="92"/>
      <c r="AS932" s="92"/>
      <c r="AT932" s="92"/>
      <c r="AU932" s="92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</row>
    <row r="933" spans="1:64" ht="15.75" customHeight="1" x14ac:dyDescent="0.2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0"/>
      <c r="U933" s="90"/>
      <c r="V933" s="90"/>
      <c r="W933" s="90"/>
      <c r="X933" s="90"/>
      <c r="Y933" s="90"/>
      <c r="Z933" s="90"/>
      <c r="AA933" s="90"/>
      <c r="AB933" s="91"/>
      <c r="AC933" s="91"/>
      <c r="AD933" s="91"/>
      <c r="AE933" s="91"/>
      <c r="AF933" s="92"/>
      <c r="AG933" s="92"/>
      <c r="AH933" s="92"/>
      <c r="AI933" s="92"/>
      <c r="AJ933" s="92"/>
      <c r="AK933" s="92"/>
      <c r="AL933" s="92"/>
      <c r="AM933" s="92"/>
      <c r="AN933" s="92"/>
      <c r="AO933" s="92"/>
      <c r="AP933" s="92"/>
      <c r="AQ933" s="92"/>
      <c r="AR933" s="92"/>
      <c r="AS933" s="92"/>
      <c r="AT933" s="92"/>
      <c r="AU933" s="92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</row>
    <row r="934" spans="1:64" ht="15.75" customHeight="1" x14ac:dyDescent="0.2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0"/>
      <c r="U934" s="90"/>
      <c r="V934" s="90"/>
      <c r="W934" s="90"/>
      <c r="X934" s="90"/>
      <c r="Y934" s="90"/>
      <c r="Z934" s="90"/>
      <c r="AA934" s="90"/>
      <c r="AB934" s="91"/>
      <c r="AC934" s="91"/>
      <c r="AD934" s="91"/>
      <c r="AE934" s="91"/>
      <c r="AF934" s="92"/>
      <c r="AG934" s="92"/>
      <c r="AH934" s="92"/>
      <c r="AI934" s="92"/>
      <c r="AJ934" s="92"/>
      <c r="AK934" s="92"/>
      <c r="AL934" s="92"/>
      <c r="AM934" s="92"/>
      <c r="AN934" s="92"/>
      <c r="AO934" s="92"/>
      <c r="AP934" s="92"/>
      <c r="AQ934" s="92"/>
      <c r="AR934" s="92"/>
      <c r="AS934" s="92"/>
      <c r="AT934" s="92"/>
      <c r="AU934" s="92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</row>
    <row r="935" spans="1:64" ht="15.75" customHeight="1" x14ac:dyDescent="0.2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0"/>
      <c r="U935" s="90"/>
      <c r="V935" s="90"/>
      <c r="W935" s="90"/>
      <c r="X935" s="90"/>
      <c r="Y935" s="90"/>
      <c r="Z935" s="90"/>
      <c r="AA935" s="90"/>
      <c r="AB935" s="91"/>
      <c r="AC935" s="91"/>
      <c r="AD935" s="91"/>
      <c r="AE935" s="91"/>
      <c r="AF935" s="92"/>
      <c r="AG935" s="92"/>
      <c r="AH935" s="92"/>
      <c r="AI935" s="92"/>
      <c r="AJ935" s="92"/>
      <c r="AK935" s="92"/>
      <c r="AL935" s="92"/>
      <c r="AM935" s="92"/>
      <c r="AN935" s="92"/>
      <c r="AO935" s="92"/>
      <c r="AP935" s="92"/>
      <c r="AQ935" s="92"/>
      <c r="AR935" s="92"/>
      <c r="AS935" s="92"/>
      <c r="AT935" s="92"/>
      <c r="AU935" s="92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</row>
    <row r="936" spans="1:64" ht="15.75" customHeight="1" x14ac:dyDescent="0.2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0"/>
      <c r="U936" s="90"/>
      <c r="V936" s="90"/>
      <c r="W936" s="90"/>
      <c r="X936" s="90"/>
      <c r="Y936" s="90"/>
      <c r="Z936" s="90"/>
      <c r="AA936" s="90"/>
      <c r="AB936" s="91"/>
      <c r="AC936" s="91"/>
      <c r="AD936" s="91"/>
      <c r="AE936" s="91"/>
      <c r="AF936" s="92"/>
      <c r="AG936" s="92"/>
      <c r="AH936" s="92"/>
      <c r="AI936" s="92"/>
      <c r="AJ936" s="92"/>
      <c r="AK936" s="92"/>
      <c r="AL936" s="92"/>
      <c r="AM936" s="92"/>
      <c r="AN936" s="92"/>
      <c r="AO936" s="92"/>
      <c r="AP936" s="92"/>
      <c r="AQ936" s="92"/>
      <c r="AR936" s="92"/>
      <c r="AS936" s="92"/>
      <c r="AT936" s="92"/>
      <c r="AU936" s="92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</row>
    <row r="937" spans="1:64" ht="15.75" customHeight="1" x14ac:dyDescent="0.2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0"/>
      <c r="U937" s="90"/>
      <c r="V937" s="90"/>
      <c r="W937" s="90"/>
      <c r="X937" s="90"/>
      <c r="Y937" s="90"/>
      <c r="Z937" s="90"/>
      <c r="AA937" s="90"/>
      <c r="AB937" s="91"/>
      <c r="AC937" s="91"/>
      <c r="AD937" s="91"/>
      <c r="AE937" s="91"/>
      <c r="AF937" s="92"/>
      <c r="AG937" s="92"/>
      <c r="AH937" s="92"/>
      <c r="AI937" s="92"/>
      <c r="AJ937" s="92"/>
      <c r="AK937" s="92"/>
      <c r="AL937" s="92"/>
      <c r="AM937" s="92"/>
      <c r="AN937" s="92"/>
      <c r="AO937" s="92"/>
      <c r="AP937" s="92"/>
      <c r="AQ937" s="92"/>
      <c r="AR937" s="92"/>
      <c r="AS937" s="92"/>
      <c r="AT937" s="92"/>
      <c r="AU937" s="92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</row>
    <row r="938" spans="1:64" ht="15.75" customHeight="1" x14ac:dyDescent="0.2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0"/>
      <c r="U938" s="90"/>
      <c r="V938" s="90"/>
      <c r="W938" s="90"/>
      <c r="X938" s="90"/>
      <c r="Y938" s="90"/>
      <c r="Z938" s="90"/>
      <c r="AA938" s="90"/>
      <c r="AB938" s="91"/>
      <c r="AC938" s="91"/>
      <c r="AD938" s="91"/>
      <c r="AE938" s="91"/>
      <c r="AF938" s="92"/>
      <c r="AG938" s="92"/>
      <c r="AH938" s="92"/>
      <c r="AI938" s="92"/>
      <c r="AJ938" s="92"/>
      <c r="AK938" s="92"/>
      <c r="AL938" s="92"/>
      <c r="AM938" s="92"/>
      <c r="AN938" s="92"/>
      <c r="AO938" s="92"/>
      <c r="AP938" s="92"/>
      <c r="AQ938" s="92"/>
      <c r="AR938" s="92"/>
      <c r="AS938" s="92"/>
      <c r="AT938" s="92"/>
      <c r="AU938" s="92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</row>
    <row r="939" spans="1:64" ht="15.75" customHeight="1" x14ac:dyDescent="0.2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0"/>
      <c r="U939" s="90"/>
      <c r="V939" s="90"/>
      <c r="W939" s="90"/>
      <c r="X939" s="90"/>
      <c r="Y939" s="90"/>
      <c r="Z939" s="90"/>
      <c r="AA939" s="90"/>
      <c r="AB939" s="91"/>
      <c r="AC939" s="91"/>
      <c r="AD939" s="91"/>
      <c r="AE939" s="91"/>
      <c r="AF939" s="92"/>
      <c r="AG939" s="92"/>
      <c r="AH939" s="92"/>
      <c r="AI939" s="92"/>
      <c r="AJ939" s="92"/>
      <c r="AK939" s="92"/>
      <c r="AL939" s="92"/>
      <c r="AM939" s="92"/>
      <c r="AN939" s="92"/>
      <c r="AO939" s="92"/>
      <c r="AP939" s="92"/>
      <c r="AQ939" s="92"/>
      <c r="AR939" s="92"/>
      <c r="AS939" s="92"/>
      <c r="AT939" s="92"/>
      <c r="AU939" s="92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</row>
    <row r="940" spans="1:64" ht="15.75" customHeight="1" x14ac:dyDescent="0.2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0"/>
      <c r="U940" s="90"/>
      <c r="V940" s="90"/>
      <c r="W940" s="90"/>
      <c r="X940" s="90"/>
      <c r="Y940" s="90"/>
      <c r="Z940" s="90"/>
      <c r="AA940" s="90"/>
      <c r="AB940" s="91"/>
      <c r="AC940" s="91"/>
      <c r="AD940" s="91"/>
      <c r="AE940" s="91"/>
      <c r="AF940" s="92"/>
      <c r="AG940" s="92"/>
      <c r="AH940" s="92"/>
      <c r="AI940" s="92"/>
      <c r="AJ940" s="92"/>
      <c r="AK940" s="92"/>
      <c r="AL940" s="92"/>
      <c r="AM940" s="92"/>
      <c r="AN940" s="92"/>
      <c r="AO940" s="92"/>
      <c r="AP940" s="92"/>
      <c r="AQ940" s="92"/>
      <c r="AR940" s="92"/>
      <c r="AS940" s="92"/>
      <c r="AT940" s="92"/>
      <c r="AU940" s="92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</row>
    <row r="941" spans="1:64" ht="15.75" customHeight="1" x14ac:dyDescent="0.2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0"/>
      <c r="U941" s="90"/>
      <c r="V941" s="90"/>
      <c r="W941" s="90"/>
      <c r="X941" s="90"/>
      <c r="Y941" s="90"/>
      <c r="Z941" s="90"/>
      <c r="AA941" s="90"/>
      <c r="AB941" s="91"/>
      <c r="AC941" s="91"/>
      <c r="AD941" s="91"/>
      <c r="AE941" s="91"/>
      <c r="AF941" s="92"/>
      <c r="AG941" s="92"/>
      <c r="AH941" s="92"/>
      <c r="AI941" s="92"/>
      <c r="AJ941" s="92"/>
      <c r="AK941" s="92"/>
      <c r="AL941" s="92"/>
      <c r="AM941" s="92"/>
      <c r="AN941" s="92"/>
      <c r="AO941" s="92"/>
      <c r="AP941" s="92"/>
      <c r="AQ941" s="92"/>
      <c r="AR941" s="92"/>
      <c r="AS941" s="92"/>
      <c r="AT941" s="92"/>
      <c r="AU941" s="92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</row>
    <row r="942" spans="1:64" ht="15.75" customHeight="1" x14ac:dyDescent="0.2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0"/>
      <c r="U942" s="90"/>
      <c r="V942" s="90"/>
      <c r="W942" s="90"/>
      <c r="X942" s="90"/>
      <c r="Y942" s="90"/>
      <c r="Z942" s="90"/>
      <c r="AA942" s="90"/>
      <c r="AB942" s="91"/>
      <c r="AC942" s="91"/>
      <c r="AD942" s="91"/>
      <c r="AE942" s="91"/>
      <c r="AF942" s="92"/>
      <c r="AG942" s="92"/>
      <c r="AH942" s="92"/>
      <c r="AI942" s="92"/>
      <c r="AJ942" s="92"/>
      <c r="AK942" s="92"/>
      <c r="AL942" s="92"/>
      <c r="AM942" s="92"/>
      <c r="AN942" s="92"/>
      <c r="AO942" s="92"/>
      <c r="AP942" s="92"/>
      <c r="AQ942" s="92"/>
      <c r="AR942" s="92"/>
      <c r="AS942" s="92"/>
      <c r="AT942" s="92"/>
      <c r="AU942" s="92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</row>
    <row r="943" spans="1:64" ht="15.75" customHeight="1" x14ac:dyDescent="0.2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0"/>
      <c r="U943" s="90"/>
      <c r="V943" s="90"/>
      <c r="W943" s="90"/>
      <c r="X943" s="90"/>
      <c r="Y943" s="90"/>
      <c r="Z943" s="90"/>
      <c r="AA943" s="90"/>
      <c r="AB943" s="91"/>
      <c r="AC943" s="91"/>
      <c r="AD943" s="91"/>
      <c r="AE943" s="91"/>
      <c r="AF943" s="92"/>
      <c r="AG943" s="92"/>
      <c r="AH943" s="92"/>
      <c r="AI943" s="92"/>
      <c r="AJ943" s="92"/>
      <c r="AK943" s="92"/>
      <c r="AL943" s="92"/>
      <c r="AM943" s="92"/>
      <c r="AN943" s="92"/>
      <c r="AO943" s="92"/>
      <c r="AP943" s="92"/>
      <c r="AQ943" s="92"/>
      <c r="AR943" s="92"/>
      <c r="AS943" s="92"/>
      <c r="AT943" s="92"/>
      <c r="AU943" s="92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</row>
    <row r="944" spans="1:64" ht="15.75" customHeight="1" x14ac:dyDescent="0.2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0"/>
      <c r="U944" s="90"/>
      <c r="V944" s="90"/>
      <c r="W944" s="90"/>
      <c r="X944" s="90"/>
      <c r="Y944" s="90"/>
      <c r="Z944" s="90"/>
      <c r="AA944" s="90"/>
      <c r="AB944" s="91"/>
      <c r="AC944" s="91"/>
      <c r="AD944" s="91"/>
      <c r="AE944" s="91"/>
      <c r="AF944" s="92"/>
      <c r="AG944" s="92"/>
      <c r="AH944" s="92"/>
      <c r="AI944" s="92"/>
      <c r="AJ944" s="92"/>
      <c r="AK944" s="92"/>
      <c r="AL944" s="92"/>
      <c r="AM944" s="92"/>
      <c r="AN944" s="92"/>
      <c r="AO944" s="92"/>
      <c r="AP944" s="92"/>
      <c r="AQ944" s="92"/>
      <c r="AR944" s="92"/>
      <c r="AS944" s="92"/>
      <c r="AT944" s="92"/>
      <c r="AU944" s="92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</row>
    <row r="945" spans="1:64" ht="15.75" customHeight="1" x14ac:dyDescent="0.2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0"/>
      <c r="U945" s="90"/>
      <c r="V945" s="90"/>
      <c r="W945" s="90"/>
      <c r="X945" s="90"/>
      <c r="Y945" s="90"/>
      <c r="Z945" s="90"/>
      <c r="AA945" s="90"/>
      <c r="AB945" s="91"/>
      <c r="AC945" s="91"/>
      <c r="AD945" s="91"/>
      <c r="AE945" s="91"/>
      <c r="AF945" s="92"/>
      <c r="AG945" s="92"/>
      <c r="AH945" s="92"/>
      <c r="AI945" s="92"/>
      <c r="AJ945" s="92"/>
      <c r="AK945" s="92"/>
      <c r="AL945" s="92"/>
      <c r="AM945" s="92"/>
      <c r="AN945" s="92"/>
      <c r="AO945" s="92"/>
      <c r="AP945" s="92"/>
      <c r="AQ945" s="92"/>
      <c r="AR945" s="92"/>
      <c r="AS945" s="92"/>
      <c r="AT945" s="92"/>
      <c r="AU945" s="92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</row>
    <row r="946" spans="1:64" ht="15.75" customHeight="1" x14ac:dyDescent="0.2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0"/>
      <c r="U946" s="90"/>
      <c r="V946" s="90"/>
      <c r="W946" s="90"/>
      <c r="X946" s="90"/>
      <c r="Y946" s="90"/>
      <c r="Z946" s="90"/>
      <c r="AA946" s="90"/>
      <c r="AB946" s="91"/>
      <c r="AC946" s="91"/>
      <c r="AD946" s="91"/>
      <c r="AE946" s="91"/>
      <c r="AF946" s="92"/>
      <c r="AG946" s="92"/>
      <c r="AH946" s="92"/>
      <c r="AI946" s="92"/>
      <c r="AJ946" s="92"/>
      <c r="AK946" s="92"/>
      <c r="AL946" s="92"/>
      <c r="AM946" s="92"/>
      <c r="AN946" s="92"/>
      <c r="AO946" s="92"/>
      <c r="AP946" s="92"/>
      <c r="AQ946" s="92"/>
      <c r="AR946" s="92"/>
      <c r="AS946" s="92"/>
      <c r="AT946" s="92"/>
      <c r="AU946" s="92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</row>
    <row r="947" spans="1:64" ht="15.75" customHeight="1" x14ac:dyDescent="0.2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0"/>
      <c r="U947" s="90"/>
      <c r="V947" s="90"/>
      <c r="W947" s="90"/>
      <c r="X947" s="90"/>
      <c r="Y947" s="90"/>
      <c r="Z947" s="90"/>
      <c r="AA947" s="90"/>
      <c r="AB947" s="91"/>
      <c r="AC947" s="91"/>
      <c r="AD947" s="91"/>
      <c r="AE947" s="91"/>
      <c r="AF947" s="92"/>
      <c r="AG947" s="92"/>
      <c r="AH947" s="92"/>
      <c r="AI947" s="92"/>
      <c r="AJ947" s="92"/>
      <c r="AK947" s="92"/>
      <c r="AL947" s="92"/>
      <c r="AM947" s="92"/>
      <c r="AN947" s="92"/>
      <c r="AO947" s="92"/>
      <c r="AP947" s="92"/>
      <c r="AQ947" s="92"/>
      <c r="AR947" s="92"/>
      <c r="AS947" s="92"/>
      <c r="AT947" s="92"/>
      <c r="AU947" s="92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</row>
    <row r="948" spans="1:64" ht="15.75" customHeight="1" x14ac:dyDescent="0.2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0"/>
      <c r="U948" s="90"/>
      <c r="V948" s="90"/>
      <c r="W948" s="90"/>
      <c r="X948" s="90"/>
      <c r="Y948" s="90"/>
      <c r="Z948" s="90"/>
      <c r="AA948" s="90"/>
      <c r="AB948" s="91"/>
      <c r="AC948" s="91"/>
      <c r="AD948" s="91"/>
      <c r="AE948" s="91"/>
      <c r="AF948" s="92"/>
      <c r="AG948" s="92"/>
      <c r="AH948" s="92"/>
      <c r="AI948" s="92"/>
      <c r="AJ948" s="92"/>
      <c r="AK948" s="92"/>
      <c r="AL948" s="92"/>
      <c r="AM948" s="92"/>
      <c r="AN948" s="92"/>
      <c r="AO948" s="92"/>
      <c r="AP948" s="92"/>
      <c r="AQ948" s="92"/>
      <c r="AR948" s="92"/>
      <c r="AS948" s="92"/>
      <c r="AT948" s="92"/>
      <c r="AU948" s="92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</row>
    <row r="949" spans="1:64" ht="15.75" customHeight="1" x14ac:dyDescent="0.2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0"/>
      <c r="U949" s="90"/>
      <c r="V949" s="90"/>
      <c r="W949" s="90"/>
      <c r="X949" s="90"/>
      <c r="Y949" s="90"/>
      <c r="Z949" s="90"/>
      <c r="AA949" s="90"/>
      <c r="AB949" s="91"/>
      <c r="AC949" s="91"/>
      <c r="AD949" s="91"/>
      <c r="AE949" s="91"/>
      <c r="AF949" s="92"/>
      <c r="AG949" s="92"/>
      <c r="AH949" s="92"/>
      <c r="AI949" s="92"/>
      <c r="AJ949" s="92"/>
      <c r="AK949" s="92"/>
      <c r="AL949" s="92"/>
      <c r="AM949" s="92"/>
      <c r="AN949" s="92"/>
      <c r="AO949" s="92"/>
      <c r="AP949" s="92"/>
      <c r="AQ949" s="92"/>
      <c r="AR949" s="92"/>
      <c r="AS949" s="92"/>
      <c r="AT949" s="92"/>
      <c r="AU949" s="92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</row>
    <row r="950" spans="1:64" ht="15.75" customHeight="1" x14ac:dyDescent="0.2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0"/>
      <c r="U950" s="90"/>
      <c r="V950" s="90"/>
      <c r="W950" s="90"/>
      <c r="X950" s="90"/>
      <c r="Y950" s="90"/>
      <c r="Z950" s="90"/>
      <c r="AA950" s="90"/>
      <c r="AB950" s="91"/>
      <c r="AC950" s="91"/>
      <c r="AD950" s="91"/>
      <c r="AE950" s="91"/>
      <c r="AF950" s="92"/>
      <c r="AG950" s="92"/>
      <c r="AH950" s="92"/>
      <c r="AI950" s="92"/>
      <c r="AJ950" s="92"/>
      <c r="AK950" s="92"/>
      <c r="AL950" s="92"/>
      <c r="AM950" s="92"/>
      <c r="AN950" s="92"/>
      <c r="AO950" s="92"/>
      <c r="AP950" s="92"/>
      <c r="AQ950" s="92"/>
      <c r="AR950" s="92"/>
      <c r="AS950" s="92"/>
      <c r="AT950" s="92"/>
      <c r="AU950" s="92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</row>
    <row r="951" spans="1:64" ht="15.75" customHeight="1" x14ac:dyDescent="0.2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0"/>
      <c r="U951" s="90"/>
      <c r="V951" s="90"/>
      <c r="W951" s="90"/>
      <c r="X951" s="90"/>
      <c r="Y951" s="90"/>
      <c r="Z951" s="90"/>
      <c r="AA951" s="90"/>
      <c r="AB951" s="91"/>
      <c r="AC951" s="91"/>
      <c r="AD951" s="91"/>
      <c r="AE951" s="91"/>
      <c r="AF951" s="92"/>
      <c r="AG951" s="92"/>
      <c r="AH951" s="92"/>
      <c r="AI951" s="92"/>
      <c r="AJ951" s="92"/>
      <c r="AK951" s="92"/>
      <c r="AL951" s="92"/>
      <c r="AM951" s="92"/>
      <c r="AN951" s="92"/>
      <c r="AO951" s="92"/>
      <c r="AP951" s="92"/>
      <c r="AQ951" s="92"/>
      <c r="AR951" s="92"/>
      <c r="AS951" s="92"/>
      <c r="AT951" s="92"/>
      <c r="AU951" s="92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</row>
    <row r="952" spans="1:64" ht="15.75" customHeight="1" x14ac:dyDescent="0.2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0"/>
      <c r="U952" s="90"/>
      <c r="V952" s="90"/>
      <c r="W952" s="90"/>
      <c r="X952" s="90"/>
      <c r="Y952" s="90"/>
      <c r="Z952" s="90"/>
      <c r="AA952" s="90"/>
      <c r="AB952" s="91"/>
      <c r="AC952" s="91"/>
      <c r="AD952" s="91"/>
      <c r="AE952" s="91"/>
      <c r="AF952" s="92"/>
      <c r="AG952" s="92"/>
      <c r="AH952" s="92"/>
      <c r="AI952" s="92"/>
      <c r="AJ952" s="92"/>
      <c r="AK952" s="92"/>
      <c r="AL952" s="92"/>
      <c r="AM952" s="92"/>
      <c r="AN952" s="92"/>
      <c r="AO952" s="92"/>
      <c r="AP952" s="92"/>
      <c r="AQ952" s="92"/>
      <c r="AR952" s="92"/>
      <c r="AS952" s="92"/>
      <c r="AT952" s="92"/>
      <c r="AU952" s="92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</row>
    <row r="953" spans="1:64" ht="15.75" customHeight="1" x14ac:dyDescent="0.2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0"/>
      <c r="U953" s="90"/>
      <c r="V953" s="90"/>
      <c r="W953" s="90"/>
      <c r="X953" s="90"/>
      <c r="Y953" s="90"/>
      <c r="Z953" s="90"/>
      <c r="AA953" s="90"/>
      <c r="AB953" s="91"/>
      <c r="AC953" s="91"/>
      <c r="AD953" s="91"/>
      <c r="AE953" s="91"/>
      <c r="AF953" s="92"/>
      <c r="AG953" s="92"/>
      <c r="AH953" s="92"/>
      <c r="AI953" s="92"/>
      <c r="AJ953" s="92"/>
      <c r="AK953" s="92"/>
      <c r="AL953" s="92"/>
      <c r="AM953" s="92"/>
      <c r="AN953" s="92"/>
      <c r="AO953" s="92"/>
      <c r="AP953" s="92"/>
      <c r="AQ953" s="92"/>
      <c r="AR953" s="92"/>
      <c r="AS953" s="92"/>
      <c r="AT953" s="92"/>
      <c r="AU953" s="92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</row>
    <row r="954" spans="1:64" ht="15.75" customHeight="1" x14ac:dyDescent="0.2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0"/>
      <c r="U954" s="90"/>
      <c r="V954" s="90"/>
      <c r="W954" s="90"/>
      <c r="X954" s="90"/>
      <c r="Y954" s="90"/>
      <c r="Z954" s="90"/>
      <c r="AA954" s="90"/>
      <c r="AB954" s="91"/>
      <c r="AC954" s="91"/>
      <c r="AD954" s="91"/>
      <c r="AE954" s="91"/>
      <c r="AF954" s="92"/>
      <c r="AG954" s="92"/>
      <c r="AH954" s="92"/>
      <c r="AI954" s="92"/>
      <c r="AJ954" s="92"/>
      <c r="AK954" s="92"/>
      <c r="AL954" s="92"/>
      <c r="AM954" s="92"/>
      <c r="AN954" s="92"/>
      <c r="AO954" s="92"/>
      <c r="AP954" s="92"/>
      <c r="AQ954" s="92"/>
      <c r="AR954" s="92"/>
      <c r="AS954" s="92"/>
      <c r="AT954" s="92"/>
      <c r="AU954" s="92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</row>
    <row r="955" spans="1:64" ht="15.75" customHeight="1" x14ac:dyDescent="0.2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0"/>
      <c r="U955" s="90"/>
      <c r="V955" s="90"/>
      <c r="W955" s="90"/>
      <c r="X955" s="90"/>
      <c r="Y955" s="90"/>
      <c r="Z955" s="90"/>
      <c r="AA955" s="90"/>
      <c r="AB955" s="91"/>
      <c r="AC955" s="91"/>
      <c r="AD955" s="91"/>
      <c r="AE955" s="91"/>
      <c r="AF955" s="92"/>
      <c r="AG955" s="92"/>
      <c r="AH955" s="92"/>
      <c r="AI955" s="92"/>
      <c r="AJ955" s="92"/>
      <c r="AK955" s="92"/>
      <c r="AL955" s="92"/>
      <c r="AM955" s="92"/>
      <c r="AN955" s="92"/>
      <c r="AO955" s="92"/>
      <c r="AP955" s="92"/>
      <c r="AQ955" s="92"/>
      <c r="AR955" s="92"/>
      <c r="AS955" s="92"/>
      <c r="AT955" s="92"/>
      <c r="AU955" s="92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</row>
    <row r="956" spans="1:64" ht="15.75" customHeight="1" x14ac:dyDescent="0.2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1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92"/>
      <c r="AG956" s="92"/>
      <c r="AH956" s="92"/>
      <c r="AI956" s="92"/>
      <c r="AJ956" s="92"/>
      <c r="AK956" s="92"/>
      <c r="AL956" s="92"/>
      <c r="AM956" s="92"/>
      <c r="AN956" s="92"/>
      <c r="AO956" s="92"/>
      <c r="AP956" s="92"/>
      <c r="AQ956" s="92"/>
      <c r="AR956" s="92"/>
      <c r="AS956" s="92"/>
      <c r="AT956" s="92"/>
      <c r="AU956" s="92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</row>
    <row r="957" spans="1:64" ht="15.75" customHeight="1" x14ac:dyDescent="0.2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1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92"/>
      <c r="AG957" s="92"/>
      <c r="AH957" s="92"/>
      <c r="AI957" s="92"/>
      <c r="AJ957" s="92"/>
      <c r="AK957" s="92"/>
      <c r="AL957" s="92"/>
      <c r="AM957" s="92"/>
      <c r="AN957" s="92"/>
      <c r="AO957" s="92"/>
      <c r="AP957" s="92"/>
      <c r="AQ957" s="92"/>
      <c r="AR957" s="92"/>
      <c r="AS957" s="92"/>
      <c r="AT957" s="92"/>
      <c r="AU957" s="92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</row>
  </sheetData>
  <mergeCells count="16">
    <mergeCell ref="AE3:AG3"/>
    <mergeCell ref="AJ3:AL3"/>
    <mergeCell ref="AM3:AO3"/>
    <mergeCell ref="A1:H4"/>
    <mergeCell ref="I1:AU1"/>
    <mergeCell ref="I2:L2"/>
    <mergeCell ref="O2:V2"/>
    <mergeCell ref="W2:AH2"/>
    <mergeCell ref="AJ2:AQ2"/>
    <mergeCell ref="AR2:AU2"/>
    <mergeCell ref="AR3:AU3"/>
    <mergeCell ref="I3:L3"/>
    <mergeCell ref="O3:R3"/>
    <mergeCell ref="S3:U3"/>
    <mergeCell ref="W3:Y3"/>
    <mergeCell ref="Z3:AB3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S989"/>
  <sheetViews>
    <sheetView workbookViewId="0">
      <pane xSplit="8" topLeftCell="I1" activePane="topRight" state="frozen"/>
      <selection pane="topRight" activeCell="D27" sqref="D27"/>
    </sheetView>
  </sheetViews>
  <sheetFormatPr defaultColWidth="12.5703125" defaultRowHeight="15" customHeight="1" x14ac:dyDescent="0.2"/>
  <cols>
    <col min="1" max="1" width="4.140625" customWidth="1"/>
    <col min="6" max="6" width="15.85546875" customWidth="1"/>
    <col min="9" max="10" width="9.140625" customWidth="1"/>
    <col min="11" max="14" width="9.42578125" customWidth="1"/>
    <col min="15" max="19" width="11.28515625" customWidth="1"/>
    <col min="20" max="20" width="12" customWidth="1"/>
    <col min="21" max="21" width="10.42578125" customWidth="1"/>
    <col min="22" max="22" width="12" customWidth="1"/>
    <col min="23" max="24" width="11.42578125" customWidth="1"/>
    <col min="25" max="28" width="13.28515625" customWidth="1"/>
    <col min="29" max="32" width="10.7109375" customWidth="1"/>
    <col min="33" max="33" width="7.5703125" customWidth="1"/>
    <col min="34" max="34" width="8.42578125" customWidth="1"/>
    <col min="35" max="35" width="12.5703125" customWidth="1"/>
    <col min="36" max="36" width="9" customWidth="1"/>
    <col min="37" max="41" width="11.140625" customWidth="1"/>
    <col min="42" max="42" width="8.7109375" customWidth="1"/>
    <col min="43" max="43" width="11.140625" customWidth="1"/>
    <col min="44" max="44" width="8.28515625" customWidth="1"/>
    <col min="45" max="45" width="10.28515625" customWidth="1"/>
    <col min="46" max="46" width="9.42578125" customWidth="1"/>
    <col min="47" max="47" width="8.85546875" customWidth="1"/>
  </cols>
  <sheetData>
    <row r="1" spans="1:71" ht="15.75" customHeight="1" x14ac:dyDescent="0.2">
      <c r="A1" s="139" t="s">
        <v>51</v>
      </c>
      <c r="B1" s="140"/>
      <c r="C1" s="140"/>
      <c r="D1" s="140"/>
      <c r="E1" s="140"/>
      <c r="F1" s="140"/>
      <c r="G1" s="140"/>
      <c r="H1" s="140"/>
      <c r="I1" s="148" t="s">
        <v>1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4"/>
      <c r="AH1" s="134"/>
      <c r="AI1" s="134"/>
      <c r="AJ1" s="134"/>
      <c r="AK1" s="134"/>
      <c r="AL1" s="134"/>
      <c r="AM1" s="134"/>
      <c r="AN1" s="134"/>
      <c r="AO1" s="134"/>
      <c r="AP1" s="134"/>
      <c r="AQ1" s="134"/>
      <c r="AR1" s="134"/>
      <c r="AS1" s="136"/>
      <c r="AT1" s="157"/>
      <c r="AU1" s="136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</row>
    <row r="2" spans="1:71" ht="56.25" customHeight="1" x14ac:dyDescent="0.2">
      <c r="A2" s="142"/>
      <c r="B2" s="143"/>
      <c r="C2" s="143"/>
      <c r="D2" s="143"/>
      <c r="E2" s="143"/>
      <c r="F2" s="143"/>
      <c r="G2" s="143"/>
      <c r="H2" s="143"/>
      <c r="I2" s="133" t="s">
        <v>2</v>
      </c>
      <c r="J2" s="134"/>
      <c r="K2" s="134"/>
      <c r="L2" s="134"/>
      <c r="M2" s="2"/>
      <c r="N2" s="2"/>
      <c r="O2" s="150" t="s">
        <v>3</v>
      </c>
      <c r="P2" s="134"/>
      <c r="Q2" s="134"/>
      <c r="R2" s="134"/>
      <c r="S2" s="134"/>
      <c r="T2" s="134"/>
      <c r="U2" s="134"/>
      <c r="V2" s="134"/>
      <c r="W2" s="151" t="s">
        <v>37</v>
      </c>
      <c r="X2" s="134"/>
      <c r="Y2" s="134"/>
      <c r="Z2" s="134"/>
      <c r="AA2" s="134"/>
      <c r="AB2" s="134"/>
      <c r="AC2" s="134"/>
      <c r="AD2" s="134"/>
      <c r="AE2" s="134"/>
      <c r="AF2" s="134"/>
      <c r="AG2" s="136"/>
      <c r="AH2" s="14"/>
      <c r="AI2" s="156" t="s">
        <v>52</v>
      </c>
      <c r="AJ2" s="134"/>
      <c r="AK2" s="134"/>
      <c r="AL2" s="134"/>
      <c r="AM2" s="134"/>
      <c r="AN2" s="134"/>
      <c r="AO2" s="134"/>
      <c r="AP2" s="136"/>
      <c r="AQ2" s="93"/>
      <c r="AR2" s="152" t="s">
        <v>5</v>
      </c>
      <c r="AS2" s="134"/>
      <c r="AT2" s="134"/>
      <c r="AU2" s="134"/>
      <c r="AV2" s="58"/>
      <c r="AW2" s="58"/>
      <c r="AX2" s="58"/>
      <c r="AY2" s="58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</row>
    <row r="3" spans="1:71" ht="25.5" x14ac:dyDescent="0.2">
      <c r="A3" s="142"/>
      <c r="B3" s="143"/>
      <c r="C3" s="143"/>
      <c r="D3" s="143"/>
      <c r="E3" s="143"/>
      <c r="F3" s="143"/>
      <c r="G3" s="143"/>
      <c r="H3" s="143"/>
      <c r="I3" s="133" t="s">
        <v>2</v>
      </c>
      <c r="J3" s="134"/>
      <c r="K3" s="134"/>
      <c r="L3" s="134"/>
      <c r="M3" s="2"/>
      <c r="N3" s="2"/>
      <c r="O3" s="135" t="s">
        <v>6</v>
      </c>
      <c r="P3" s="134"/>
      <c r="Q3" s="134"/>
      <c r="R3" s="137"/>
      <c r="S3" s="135" t="s">
        <v>7</v>
      </c>
      <c r="T3" s="134"/>
      <c r="U3" s="137"/>
      <c r="V3" s="5"/>
      <c r="W3" s="138" t="s">
        <v>39</v>
      </c>
      <c r="X3" s="134"/>
      <c r="Y3" s="136"/>
      <c r="Z3" s="6"/>
      <c r="AA3" s="6"/>
      <c r="AB3" s="138" t="s">
        <v>40</v>
      </c>
      <c r="AC3" s="134"/>
      <c r="AD3" s="134"/>
      <c r="AE3" s="6"/>
      <c r="AF3" s="6"/>
      <c r="AG3" s="7"/>
      <c r="AH3" s="7"/>
      <c r="AI3" s="94" t="s">
        <v>53</v>
      </c>
      <c r="AJ3" s="95" t="s">
        <v>54</v>
      </c>
      <c r="AK3" s="158" t="s">
        <v>55</v>
      </c>
      <c r="AL3" s="134"/>
      <c r="AM3" s="136"/>
      <c r="AN3" s="59"/>
      <c r="AO3" s="59"/>
      <c r="AP3" s="59"/>
      <c r="AQ3" s="59"/>
      <c r="AR3" s="153" t="s">
        <v>13</v>
      </c>
      <c r="AS3" s="134"/>
      <c r="AT3" s="134"/>
      <c r="AU3" s="136"/>
      <c r="AV3" s="58"/>
      <c r="AW3" s="58"/>
      <c r="AX3" s="58"/>
      <c r="AY3" s="58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</row>
    <row r="4" spans="1:71" ht="15.75" customHeight="1" x14ac:dyDescent="0.2">
      <c r="A4" s="145"/>
      <c r="B4" s="146"/>
      <c r="C4" s="146"/>
      <c r="D4" s="146"/>
      <c r="E4" s="146"/>
      <c r="F4" s="146"/>
      <c r="G4" s="146"/>
      <c r="H4" s="146"/>
      <c r="I4" s="8">
        <v>1</v>
      </c>
      <c r="J4" s="8">
        <v>2</v>
      </c>
      <c r="K4" s="9">
        <v>3</v>
      </c>
      <c r="L4" s="9">
        <v>6</v>
      </c>
      <c r="M4" s="9"/>
      <c r="N4" s="9"/>
      <c r="O4" s="10">
        <v>1</v>
      </c>
      <c r="P4" s="10">
        <v>1</v>
      </c>
      <c r="Q4" s="10">
        <v>1</v>
      </c>
      <c r="R4" s="10">
        <v>1</v>
      </c>
      <c r="S4" s="10">
        <v>2</v>
      </c>
      <c r="T4" s="12">
        <v>1</v>
      </c>
      <c r="U4" s="10">
        <v>1</v>
      </c>
      <c r="V4" s="13">
        <v>6</v>
      </c>
      <c r="W4" s="14">
        <v>1</v>
      </c>
      <c r="X4" s="14">
        <v>2</v>
      </c>
      <c r="Y4" s="14">
        <v>1</v>
      </c>
      <c r="Z4" s="14"/>
      <c r="AA4" s="14"/>
      <c r="AB4" s="14">
        <v>1</v>
      </c>
      <c r="AC4" s="14">
        <v>2</v>
      </c>
      <c r="AD4" s="14">
        <v>1</v>
      </c>
      <c r="AE4" s="14"/>
      <c r="AF4" s="14"/>
      <c r="AG4" s="7">
        <v>6</v>
      </c>
      <c r="AH4" s="7"/>
      <c r="AI4" s="60">
        <v>1</v>
      </c>
      <c r="AJ4" s="62">
        <v>1</v>
      </c>
      <c r="AK4" s="15">
        <v>1</v>
      </c>
      <c r="AL4" s="15">
        <v>2</v>
      </c>
      <c r="AM4" s="15">
        <v>2</v>
      </c>
      <c r="AN4" s="15"/>
      <c r="AO4" s="15"/>
      <c r="AP4" s="15">
        <v>9</v>
      </c>
      <c r="AQ4" s="15"/>
      <c r="AR4" s="15">
        <v>2</v>
      </c>
      <c r="AS4" s="15">
        <v>3</v>
      </c>
      <c r="AT4" s="15">
        <v>3</v>
      </c>
      <c r="AU4" s="15">
        <v>3</v>
      </c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</row>
    <row r="5" spans="1:71" ht="39" customHeight="1" x14ac:dyDescent="0.2">
      <c r="A5" s="63"/>
      <c r="B5" s="63" t="s">
        <v>17</v>
      </c>
      <c r="C5" s="17" t="s">
        <v>18</v>
      </c>
      <c r="D5" s="17" t="s">
        <v>19</v>
      </c>
      <c r="E5" s="18" t="s">
        <v>20</v>
      </c>
      <c r="F5" s="96" t="s">
        <v>21</v>
      </c>
      <c r="G5" s="18" t="s">
        <v>22</v>
      </c>
      <c r="H5" s="18" t="s">
        <v>23</v>
      </c>
      <c r="I5" s="19" t="s">
        <v>24</v>
      </c>
      <c r="J5" s="19" t="s">
        <v>25</v>
      </c>
      <c r="K5" s="19" t="s">
        <v>26</v>
      </c>
      <c r="L5" s="9" t="s">
        <v>27</v>
      </c>
      <c r="M5" s="9" t="s">
        <v>28</v>
      </c>
      <c r="N5" s="9" t="s">
        <v>56</v>
      </c>
      <c r="O5" s="10" t="s">
        <v>30</v>
      </c>
      <c r="P5" s="10" t="s">
        <v>31</v>
      </c>
      <c r="Q5" s="10" t="s">
        <v>32</v>
      </c>
      <c r="R5" s="10" t="s">
        <v>33</v>
      </c>
      <c r="S5" s="10" t="s">
        <v>30</v>
      </c>
      <c r="T5" s="10" t="s">
        <v>31</v>
      </c>
      <c r="U5" s="10" t="s">
        <v>33</v>
      </c>
      <c r="V5" s="13" t="s">
        <v>27</v>
      </c>
      <c r="W5" s="7" t="s">
        <v>30</v>
      </c>
      <c r="X5" s="14" t="s">
        <v>31</v>
      </c>
      <c r="Y5" s="14" t="s">
        <v>33</v>
      </c>
      <c r="Z5" s="14" t="s">
        <v>28</v>
      </c>
      <c r="AA5" s="14" t="s">
        <v>57</v>
      </c>
      <c r="AB5" s="7" t="s">
        <v>30</v>
      </c>
      <c r="AC5" s="14" t="s">
        <v>31</v>
      </c>
      <c r="AD5" s="14" t="s">
        <v>33</v>
      </c>
      <c r="AE5" s="14" t="s">
        <v>28</v>
      </c>
      <c r="AF5" s="14" t="s">
        <v>58</v>
      </c>
      <c r="AG5" s="7" t="s">
        <v>49</v>
      </c>
      <c r="AH5" s="7" t="s">
        <v>58</v>
      </c>
      <c r="AI5" s="60" t="s">
        <v>30</v>
      </c>
      <c r="AJ5" s="64" t="s">
        <v>30</v>
      </c>
      <c r="AK5" s="15" t="s">
        <v>30</v>
      </c>
      <c r="AL5" s="15" t="s">
        <v>31</v>
      </c>
      <c r="AM5" s="15" t="s">
        <v>33</v>
      </c>
      <c r="AN5" s="15" t="s">
        <v>28</v>
      </c>
      <c r="AO5" s="15" t="s">
        <v>57</v>
      </c>
      <c r="AP5" s="15" t="s">
        <v>27</v>
      </c>
      <c r="AQ5" s="97" t="s">
        <v>35</v>
      </c>
      <c r="AR5" s="15" t="s">
        <v>30</v>
      </c>
      <c r="AS5" s="15" t="s">
        <v>31</v>
      </c>
      <c r="AT5" s="15" t="s">
        <v>32</v>
      </c>
      <c r="AU5" s="15" t="s">
        <v>27</v>
      </c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</row>
    <row r="6" spans="1:71" ht="13.5" customHeight="1" x14ac:dyDescent="0.2">
      <c r="A6" s="53">
        <v>1</v>
      </c>
      <c r="B6" s="98">
        <v>22221965</v>
      </c>
      <c r="C6" s="32">
        <v>3.3226190476190478</v>
      </c>
      <c r="D6" s="22"/>
      <c r="E6" s="32">
        <f t="shared" ref="E6:E10" si="0">((L6*6)+(V6*6)+(AG6*6)+(AP6*9)+(AU6*3))/30</f>
        <v>1.4776999999999998</v>
      </c>
      <c r="F6" s="32"/>
      <c r="G6" s="33">
        <f t="shared" ref="G6:G39" si="1">(C6+E6)/2</f>
        <v>2.4001595238095237</v>
      </c>
      <c r="H6" s="22"/>
      <c r="I6" s="67">
        <v>10</v>
      </c>
      <c r="J6" s="26">
        <v>2.25</v>
      </c>
      <c r="K6" s="23">
        <v>0</v>
      </c>
      <c r="L6" s="99">
        <v>0</v>
      </c>
      <c r="M6" s="99"/>
      <c r="N6" s="99"/>
      <c r="O6" s="26">
        <v>0</v>
      </c>
      <c r="P6" s="28">
        <v>0</v>
      </c>
      <c r="Q6" s="26">
        <v>0</v>
      </c>
      <c r="R6" s="33">
        <f t="shared" ref="R6:R10" si="2">(O6+P6+Q6)/3</f>
        <v>0</v>
      </c>
      <c r="S6" s="22"/>
      <c r="T6" s="22"/>
      <c r="U6" s="22">
        <v>14.776999999999999</v>
      </c>
      <c r="V6" s="23">
        <f t="shared" ref="V6:V10" si="3">(R6+U6)/2</f>
        <v>7.3884999999999996</v>
      </c>
      <c r="W6" s="28">
        <v>0</v>
      </c>
      <c r="X6" s="28">
        <v>0</v>
      </c>
      <c r="Y6" s="99">
        <f t="shared" ref="Y6:Y7" si="4">(W6+(X6*2))/3</f>
        <v>0</v>
      </c>
      <c r="Z6" s="99"/>
      <c r="AA6" s="23"/>
      <c r="AB6" s="26">
        <v>5.3</v>
      </c>
      <c r="AC6" s="26">
        <v>0</v>
      </c>
      <c r="AD6" s="33">
        <v>0</v>
      </c>
      <c r="AE6" s="33"/>
      <c r="AF6" s="33"/>
      <c r="AG6" s="23">
        <f t="shared" ref="AG6:AG10" si="5">(Y6+AD6)/2</f>
        <v>0</v>
      </c>
      <c r="AH6" s="23"/>
      <c r="AI6" s="99">
        <v>0</v>
      </c>
      <c r="AJ6" s="100">
        <v>0</v>
      </c>
      <c r="AK6" s="23">
        <v>0</v>
      </c>
      <c r="AL6" s="23">
        <v>0</v>
      </c>
      <c r="AM6" s="23">
        <f t="shared" ref="AM6:AM8" si="6">(AK6+(AL6*2))/3</f>
        <v>0</v>
      </c>
      <c r="AN6" s="23"/>
      <c r="AO6" s="23"/>
      <c r="AP6" s="23">
        <f t="shared" ref="AP6:AP8" si="7">(AI6+AJ6+(AM6*2))/4</f>
        <v>0</v>
      </c>
      <c r="AQ6" s="23"/>
      <c r="AR6" s="26">
        <v>0</v>
      </c>
      <c r="AS6" s="26">
        <v>0</v>
      </c>
      <c r="AT6" s="26">
        <v>0</v>
      </c>
      <c r="AU6" s="23">
        <f>((AR6*2)+(AS6*3)+(AT6*3))/8</f>
        <v>0</v>
      </c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</row>
    <row r="7" spans="1:71" ht="17.25" customHeight="1" x14ac:dyDescent="0.2">
      <c r="A7" s="53">
        <v>2</v>
      </c>
      <c r="B7" s="101">
        <v>22221959</v>
      </c>
      <c r="C7" s="72">
        <v>6.3187852634920629</v>
      </c>
      <c r="D7" s="72">
        <v>6.5188519301587302</v>
      </c>
      <c r="E7" s="32">
        <f t="shared" si="0"/>
        <v>5.5796333333333337</v>
      </c>
      <c r="F7" s="32">
        <f>((L7*6)+(V7*6)+(AH7*6)+(AP7*9)+(AU7*3))/30</f>
        <v>6.0416333333333343</v>
      </c>
      <c r="G7" s="33">
        <f t="shared" si="1"/>
        <v>5.9492092984126987</v>
      </c>
      <c r="H7" s="34">
        <f>(D7+F7)/2</f>
        <v>6.2802426317460327</v>
      </c>
      <c r="I7" s="102">
        <v>12</v>
      </c>
      <c r="J7" s="36">
        <v>0</v>
      </c>
      <c r="K7" s="103">
        <v>0.75</v>
      </c>
      <c r="L7" s="23">
        <f t="shared" ref="L7:L9" si="8">(I7+(J7*2)+(K7*3))/6</f>
        <v>2.375</v>
      </c>
      <c r="M7" s="39"/>
      <c r="N7" s="39"/>
      <c r="O7" s="35">
        <v>0.75</v>
      </c>
      <c r="P7" s="40">
        <v>0</v>
      </c>
      <c r="Q7" s="35">
        <v>1</v>
      </c>
      <c r="R7" s="22">
        <f t="shared" si="2"/>
        <v>0.58333333333333337</v>
      </c>
      <c r="S7" s="22"/>
      <c r="T7" s="22"/>
      <c r="U7" s="22">
        <v>14.157</v>
      </c>
      <c r="V7" s="23">
        <f t="shared" si="3"/>
        <v>7.370166666666667</v>
      </c>
      <c r="W7" s="40">
        <v>8.91</v>
      </c>
      <c r="X7" s="41">
        <v>1.17</v>
      </c>
      <c r="Y7" s="23">
        <f t="shared" si="4"/>
        <v>3.75</v>
      </c>
      <c r="Z7" s="39">
        <v>7</v>
      </c>
      <c r="AA7" s="39">
        <f>(W7+(Z7*2))/3</f>
        <v>7.6366666666666667</v>
      </c>
      <c r="AB7" s="35">
        <v>5.6</v>
      </c>
      <c r="AC7" s="36">
        <v>2</v>
      </c>
      <c r="AD7" s="22">
        <f t="shared" ref="AD7:AD10" si="9">(AB7+(AC7*2))/3</f>
        <v>3.1999999999999997</v>
      </c>
      <c r="AE7" s="22">
        <v>3.1</v>
      </c>
      <c r="AF7" s="22">
        <f>(AB7+(AE7*2))/3</f>
        <v>3.9333333333333336</v>
      </c>
      <c r="AG7" s="23">
        <f t="shared" si="5"/>
        <v>3.4749999999999996</v>
      </c>
      <c r="AH7" s="37">
        <f>(AA7+AF7)/2</f>
        <v>5.7850000000000001</v>
      </c>
      <c r="AI7" s="37">
        <v>5</v>
      </c>
      <c r="AJ7" s="102">
        <v>8</v>
      </c>
      <c r="AK7" s="39">
        <v>11.8</v>
      </c>
      <c r="AL7" s="23">
        <v>1.3</v>
      </c>
      <c r="AM7" s="23">
        <f t="shared" si="6"/>
        <v>4.8</v>
      </c>
      <c r="AN7" s="23"/>
      <c r="AO7" s="23"/>
      <c r="AP7" s="23">
        <f t="shared" si="7"/>
        <v>5.65</v>
      </c>
      <c r="AQ7" s="39"/>
      <c r="AR7" s="35"/>
      <c r="AS7" s="36"/>
      <c r="AT7" s="36"/>
      <c r="AU7" s="23">
        <v>12.406000000000001</v>
      </c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</row>
    <row r="8" spans="1:71" ht="17.25" customHeight="1" x14ac:dyDescent="0.2">
      <c r="A8" s="53">
        <v>3</v>
      </c>
      <c r="B8" s="81">
        <v>22322446</v>
      </c>
      <c r="C8" s="72">
        <v>6.8870661904761903</v>
      </c>
      <c r="D8" s="38"/>
      <c r="E8" s="32">
        <f t="shared" si="0"/>
        <v>5.9035833333333336</v>
      </c>
      <c r="F8" s="32">
        <f>((N8*6)+(V8*6)+(AG8*6)+(AQ8*9)+(AU8*3))/30</f>
        <v>5.5969166666666679</v>
      </c>
      <c r="G8" s="33">
        <f t="shared" si="1"/>
        <v>6.395324761904762</v>
      </c>
      <c r="H8" s="38">
        <f>(C8+F8)/2</f>
        <v>6.2419914285714295</v>
      </c>
      <c r="I8" s="102">
        <v>15</v>
      </c>
      <c r="J8" s="36">
        <v>1.75</v>
      </c>
      <c r="K8" s="103">
        <v>2.25</v>
      </c>
      <c r="L8" s="23">
        <f t="shared" si="8"/>
        <v>4.208333333333333</v>
      </c>
      <c r="M8" s="39">
        <v>1.5</v>
      </c>
      <c r="N8" s="39">
        <f>((I8*1)+(M8*2)+(K8*3))/6</f>
        <v>4.125</v>
      </c>
      <c r="O8" s="35">
        <v>1.75</v>
      </c>
      <c r="P8" s="40">
        <v>2.5</v>
      </c>
      <c r="Q8" s="35">
        <v>7</v>
      </c>
      <c r="R8" s="22">
        <f t="shared" si="2"/>
        <v>3.75</v>
      </c>
      <c r="S8" s="22">
        <v>17.3</v>
      </c>
      <c r="T8" s="22">
        <v>15.42</v>
      </c>
      <c r="U8" s="22">
        <f>((S8*2)+T8)/3</f>
        <v>16.673333333333336</v>
      </c>
      <c r="V8" s="23">
        <f t="shared" si="3"/>
        <v>10.211666666666668</v>
      </c>
      <c r="W8" s="40">
        <v>4.78</v>
      </c>
      <c r="X8" s="41">
        <v>3</v>
      </c>
      <c r="Y8" s="99">
        <v>0</v>
      </c>
      <c r="Z8" s="104"/>
      <c r="AA8" s="104"/>
      <c r="AB8" s="35">
        <v>3.7</v>
      </c>
      <c r="AC8" s="36">
        <v>2.1</v>
      </c>
      <c r="AD8" s="22">
        <f t="shared" si="9"/>
        <v>2.6333333333333333</v>
      </c>
      <c r="AE8" s="22"/>
      <c r="AF8" s="22"/>
      <c r="AG8" s="23">
        <f t="shared" si="5"/>
        <v>1.3166666666666667</v>
      </c>
      <c r="AH8" s="37"/>
      <c r="AI8" s="37">
        <v>8</v>
      </c>
      <c r="AJ8" s="76">
        <v>0</v>
      </c>
      <c r="AK8" s="39">
        <v>9.8000000000000007</v>
      </c>
      <c r="AL8" s="23">
        <v>5.0999999999999996</v>
      </c>
      <c r="AM8" s="23">
        <f t="shared" si="6"/>
        <v>6.666666666666667</v>
      </c>
      <c r="AN8" s="23">
        <v>2.2000000000000002</v>
      </c>
      <c r="AO8" s="23">
        <f>(AK8+(AN8*2))/3</f>
        <v>4.7333333333333334</v>
      </c>
      <c r="AP8" s="23">
        <f t="shared" si="7"/>
        <v>5.3333333333333339</v>
      </c>
      <c r="AQ8" s="39">
        <f>(AI8+AJ8+(AO8*2))/4</f>
        <v>4.3666666666666671</v>
      </c>
      <c r="AR8" s="35">
        <v>9.5</v>
      </c>
      <c r="AS8" s="36">
        <v>12.5</v>
      </c>
      <c r="AT8" s="36">
        <v>12</v>
      </c>
      <c r="AU8" s="23">
        <f>((AR8*2)+(AS8*3)+(AT8*3))/8</f>
        <v>11.5625</v>
      </c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</row>
    <row r="9" spans="1:71" ht="15.75" customHeight="1" x14ac:dyDescent="0.2">
      <c r="A9" s="53">
        <v>4</v>
      </c>
      <c r="B9" s="101">
        <v>22222001</v>
      </c>
      <c r="C9" s="72">
        <v>6.8631126984126984</v>
      </c>
      <c r="D9" s="72">
        <v>7.2631126984126988</v>
      </c>
      <c r="E9" s="32">
        <f t="shared" si="0"/>
        <v>9.5388333333333346</v>
      </c>
      <c r="F9" s="32">
        <f t="shared" ref="F9:F10" si="10">((L9*6)+(V9*6)+(AH9*6)+(AP9*9)+(AU9*3))/30</f>
        <v>9.8788333333333362</v>
      </c>
      <c r="G9" s="33">
        <f t="shared" si="1"/>
        <v>8.2009730158730161</v>
      </c>
      <c r="H9" s="34">
        <f t="shared" ref="H9:H10" si="11">(D9+F9)/2</f>
        <v>8.5709730158730171</v>
      </c>
      <c r="I9" s="102">
        <v>9</v>
      </c>
      <c r="J9" s="35">
        <v>4.75</v>
      </c>
      <c r="K9" s="35">
        <v>5.75</v>
      </c>
      <c r="L9" s="39">
        <f t="shared" si="8"/>
        <v>5.958333333333333</v>
      </c>
      <c r="M9" s="39"/>
      <c r="N9" s="39"/>
      <c r="O9" s="35">
        <v>0</v>
      </c>
      <c r="P9" s="40">
        <v>0</v>
      </c>
      <c r="Q9" s="35">
        <v>1</v>
      </c>
      <c r="R9" s="38">
        <f t="shared" si="2"/>
        <v>0.33333333333333331</v>
      </c>
      <c r="S9" s="38"/>
      <c r="T9" s="38"/>
      <c r="U9" s="38">
        <v>15.193</v>
      </c>
      <c r="V9" s="23">
        <f t="shared" si="3"/>
        <v>7.7631666666666668</v>
      </c>
      <c r="W9" s="40">
        <v>11.74</v>
      </c>
      <c r="X9" s="40">
        <v>10.17</v>
      </c>
      <c r="Y9" s="39">
        <f t="shared" ref="Y9:Y10" si="12">(W9+(X9*2))/3</f>
        <v>10.693333333333333</v>
      </c>
      <c r="Z9" s="39"/>
      <c r="AA9" s="39"/>
      <c r="AB9" s="35">
        <v>11.9</v>
      </c>
      <c r="AC9" s="35">
        <v>5.3</v>
      </c>
      <c r="AD9" s="38">
        <f t="shared" si="9"/>
        <v>7.5</v>
      </c>
      <c r="AE9" s="38">
        <v>10.4</v>
      </c>
      <c r="AF9" s="22">
        <f t="shared" ref="AF9:AF10" si="13">(AB9+(AE9*2))/3</f>
        <v>10.9</v>
      </c>
      <c r="AG9" s="39">
        <f t="shared" si="5"/>
        <v>9.0966666666666676</v>
      </c>
      <c r="AH9" s="37">
        <f>(Y9+AF9)/2</f>
        <v>10.796666666666667</v>
      </c>
      <c r="AI9" s="39"/>
      <c r="AJ9" s="76"/>
      <c r="AK9" s="39"/>
      <c r="AL9" s="39"/>
      <c r="AM9" s="39"/>
      <c r="AN9" s="23"/>
      <c r="AO9" s="23"/>
      <c r="AP9" s="39">
        <v>12.813000000000001</v>
      </c>
      <c r="AQ9" s="39"/>
      <c r="AR9" s="35"/>
      <c r="AS9" s="35"/>
      <c r="AT9" s="35"/>
      <c r="AU9" s="39">
        <v>11.313000000000001</v>
      </c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</row>
    <row r="10" spans="1:71" ht="15.75" customHeight="1" x14ac:dyDescent="0.2">
      <c r="A10" s="53">
        <v>5</v>
      </c>
      <c r="B10" s="101">
        <v>22222008</v>
      </c>
      <c r="C10" s="72">
        <v>8.1564031746031755</v>
      </c>
      <c r="D10" s="72">
        <v>8.2706888888888876</v>
      </c>
      <c r="E10" s="32">
        <f t="shared" si="0"/>
        <v>9.9936333333333316</v>
      </c>
      <c r="F10" s="32">
        <f t="shared" si="10"/>
        <v>10.3423</v>
      </c>
      <c r="G10" s="33">
        <f t="shared" si="1"/>
        <v>9.0750182539682527</v>
      </c>
      <c r="H10" s="34">
        <f t="shared" si="11"/>
        <v>9.3064944444444428</v>
      </c>
      <c r="I10" s="105"/>
      <c r="J10" s="106"/>
      <c r="K10" s="107"/>
      <c r="L10" s="23">
        <v>12.208</v>
      </c>
      <c r="M10" s="39"/>
      <c r="N10" s="39"/>
      <c r="O10" s="35">
        <v>2.75</v>
      </c>
      <c r="P10" s="40">
        <v>10</v>
      </c>
      <c r="Q10" s="35">
        <v>1</v>
      </c>
      <c r="R10" s="22">
        <f t="shared" si="2"/>
        <v>4.583333333333333</v>
      </c>
      <c r="S10" s="22"/>
      <c r="T10" s="22"/>
      <c r="U10" s="22">
        <v>14.782999999999999</v>
      </c>
      <c r="V10" s="23">
        <f t="shared" si="3"/>
        <v>9.6831666666666667</v>
      </c>
      <c r="W10" s="40">
        <v>9.7799999999999994</v>
      </c>
      <c r="X10" s="41">
        <v>4.67</v>
      </c>
      <c r="Y10" s="23">
        <f t="shared" si="12"/>
        <v>6.3733333333333322</v>
      </c>
      <c r="Z10" s="39">
        <v>14</v>
      </c>
      <c r="AA10" s="39">
        <f>(W10+(Z10*2))/3</f>
        <v>12.593333333333334</v>
      </c>
      <c r="AB10" s="35">
        <v>12.6</v>
      </c>
      <c r="AC10" s="36">
        <v>6.1</v>
      </c>
      <c r="AD10" s="22">
        <f t="shared" si="9"/>
        <v>8.2666666666666657</v>
      </c>
      <c r="AE10" s="22">
        <v>2</v>
      </c>
      <c r="AF10" s="22">
        <f t="shared" si="13"/>
        <v>5.5333333333333341</v>
      </c>
      <c r="AG10" s="23">
        <f t="shared" si="5"/>
        <v>7.3199999999999985</v>
      </c>
      <c r="AH10" s="37">
        <f>(AA10+AF10)/2</f>
        <v>9.0633333333333344</v>
      </c>
      <c r="AI10" s="37"/>
      <c r="AJ10" s="76"/>
      <c r="AK10" s="39"/>
      <c r="AL10" s="23"/>
      <c r="AM10" s="108"/>
      <c r="AN10" s="23"/>
      <c r="AO10" s="23"/>
      <c r="AP10" s="23">
        <v>10.087999999999999</v>
      </c>
      <c r="AQ10" s="39"/>
      <c r="AR10" s="35">
        <v>13.5</v>
      </c>
      <c r="AS10" s="36">
        <v>8</v>
      </c>
      <c r="AT10" s="36">
        <v>13</v>
      </c>
      <c r="AU10" s="23">
        <f>((AR10*2)+(AS10*3)+(AT10*3))/8</f>
        <v>11.25</v>
      </c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</row>
    <row r="11" spans="1:71" ht="15.75" customHeight="1" x14ac:dyDescent="0.2">
      <c r="A11" s="53">
        <v>6</v>
      </c>
      <c r="B11" s="101">
        <v>22122258</v>
      </c>
      <c r="C11" s="72">
        <v>8.0370380952380955</v>
      </c>
      <c r="D11" s="72">
        <v>8.6918000000000006</v>
      </c>
      <c r="E11" s="22">
        <v>10.4</v>
      </c>
      <c r="F11" s="22"/>
      <c r="G11" s="33">
        <f t="shared" si="1"/>
        <v>9.2185190476190471</v>
      </c>
      <c r="H11" s="34">
        <f t="shared" ref="H11:H14" si="14">(D11+E11)/2</f>
        <v>9.5458999999999996</v>
      </c>
      <c r="I11" s="102"/>
      <c r="J11" s="109"/>
      <c r="K11" s="110"/>
      <c r="L11" s="67"/>
      <c r="M11" s="67"/>
      <c r="N11" s="67"/>
      <c r="O11" s="67"/>
      <c r="P11" s="102"/>
      <c r="Q11" s="102"/>
      <c r="R11" s="67"/>
      <c r="S11" s="67"/>
      <c r="T11" s="67"/>
      <c r="U11" s="67"/>
      <c r="V11" s="67"/>
      <c r="W11" s="102"/>
      <c r="X11" s="109"/>
      <c r="Y11" s="67"/>
      <c r="Z11" s="102"/>
      <c r="AA11" s="39"/>
      <c r="AB11" s="102"/>
      <c r="AC11" s="109"/>
      <c r="AD11" s="67"/>
      <c r="AE11" s="67"/>
      <c r="AF11" s="22"/>
      <c r="AG11" s="67"/>
      <c r="AH11" s="109"/>
      <c r="AI11" s="109"/>
      <c r="AJ11" s="102"/>
      <c r="AK11" s="102"/>
      <c r="AL11" s="23"/>
      <c r="AM11" s="23"/>
      <c r="AN11" s="23"/>
      <c r="AO11" s="23"/>
      <c r="AP11" s="23"/>
      <c r="AQ11" s="39"/>
      <c r="AR11" s="39"/>
      <c r="AS11" s="37"/>
      <c r="AT11" s="37"/>
      <c r="AU11" s="23"/>
      <c r="AV11" s="58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</row>
    <row r="12" spans="1:71" ht="15.75" customHeight="1" x14ac:dyDescent="0.2">
      <c r="A12" s="53">
        <v>7</v>
      </c>
      <c r="B12" s="81">
        <v>22322394</v>
      </c>
      <c r="C12" s="72">
        <v>7.6513644190476198</v>
      </c>
      <c r="D12" s="72">
        <v>8.2942215619047612</v>
      </c>
      <c r="E12" s="22">
        <f t="shared" ref="E12:E18" si="15">((L12*6)+(V12*6)+(AG12*6)+(AP12*9)+(AU12*3))/30</f>
        <v>11.19675</v>
      </c>
      <c r="F12" s="22"/>
      <c r="G12" s="33">
        <f t="shared" si="1"/>
        <v>9.4240572095238093</v>
      </c>
      <c r="H12" s="34">
        <f t="shared" si="14"/>
        <v>9.7454857809523805</v>
      </c>
      <c r="I12" s="102">
        <v>17</v>
      </c>
      <c r="J12" s="35">
        <v>2</v>
      </c>
      <c r="K12" s="35">
        <v>14.75</v>
      </c>
      <c r="L12" s="23">
        <f t="shared" ref="L12:L17" si="16">(I12+(J12*2)+(K12*3))/6</f>
        <v>10.875</v>
      </c>
      <c r="M12" s="39"/>
      <c r="N12" s="39"/>
      <c r="O12" s="35">
        <v>1.75</v>
      </c>
      <c r="P12" s="40">
        <v>1.25</v>
      </c>
      <c r="Q12" s="35">
        <v>8</v>
      </c>
      <c r="R12" s="22">
        <f t="shared" ref="R12:R17" si="17">(O12+P12+Q12)/3</f>
        <v>3.6666666666666665</v>
      </c>
      <c r="S12" s="22">
        <v>16.23</v>
      </c>
      <c r="T12" s="22">
        <v>16.12</v>
      </c>
      <c r="U12" s="22">
        <f>((S12*2)+T12)/3</f>
        <v>16.193333333333332</v>
      </c>
      <c r="V12" s="23">
        <f t="shared" ref="V12:V17" si="18">(R12+U12)/2</f>
        <v>9.93</v>
      </c>
      <c r="W12" s="40">
        <v>10.220000000000001</v>
      </c>
      <c r="X12" s="41">
        <v>9.17</v>
      </c>
      <c r="Y12" s="23">
        <f t="shared" ref="Y12:Y18" si="19">(W12+(X12*2))/3</f>
        <v>9.5200000000000014</v>
      </c>
      <c r="Z12" s="39"/>
      <c r="AA12" s="39"/>
      <c r="AB12" s="35">
        <v>7</v>
      </c>
      <c r="AC12" s="36">
        <v>3.7</v>
      </c>
      <c r="AD12" s="22">
        <f t="shared" ref="AD12:AD18" si="20">(AB12+(AC12*2))/3</f>
        <v>4.8</v>
      </c>
      <c r="AE12" s="22"/>
      <c r="AF12" s="22"/>
      <c r="AG12" s="23">
        <f t="shared" ref="AG12:AG18" si="21">(Y12+AD12)/2</f>
        <v>7.16</v>
      </c>
      <c r="AH12" s="37"/>
      <c r="AI12" s="37">
        <v>17.5</v>
      </c>
      <c r="AJ12" s="102">
        <v>12</v>
      </c>
      <c r="AK12" s="39">
        <v>14.2</v>
      </c>
      <c r="AL12" s="23">
        <v>13</v>
      </c>
      <c r="AM12" s="23">
        <f>(AK12+(AL12*2))/3</f>
        <v>13.4</v>
      </c>
      <c r="AN12" s="23"/>
      <c r="AO12" s="23"/>
      <c r="AP12" s="23">
        <f>(AI12+AJ12+(AM12*2))/4</f>
        <v>14.074999999999999</v>
      </c>
      <c r="AQ12" s="39"/>
      <c r="AR12" s="35">
        <v>12.5</v>
      </c>
      <c r="AS12" s="36">
        <v>14.5</v>
      </c>
      <c r="AT12" s="36">
        <v>14</v>
      </c>
      <c r="AU12" s="23">
        <f t="shared" ref="AU12:AU18" si="22">((AR12*2)+(AS12*3)+(AT12*3))/8</f>
        <v>13.8125</v>
      </c>
      <c r="AV12" s="58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</row>
    <row r="13" spans="1:71" ht="15.75" customHeight="1" x14ac:dyDescent="0.2">
      <c r="A13" s="53">
        <v>8</v>
      </c>
      <c r="B13" s="101">
        <v>22222002</v>
      </c>
      <c r="C13" s="72">
        <v>9.2489444444444455</v>
      </c>
      <c r="D13" s="38">
        <v>10.220373015873015</v>
      </c>
      <c r="E13" s="32">
        <f t="shared" si="15"/>
        <v>9.986933333333333</v>
      </c>
      <c r="F13" s="32"/>
      <c r="G13" s="33">
        <f t="shared" si="1"/>
        <v>9.6179388888888901</v>
      </c>
      <c r="H13" s="38">
        <f t="shared" si="14"/>
        <v>10.103653174603174</v>
      </c>
      <c r="I13" s="102">
        <v>10</v>
      </c>
      <c r="J13" s="36">
        <v>1.5</v>
      </c>
      <c r="K13" s="103">
        <v>11</v>
      </c>
      <c r="L13" s="23">
        <f t="shared" si="16"/>
        <v>7.666666666666667</v>
      </c>
      <c r="M13" s="39"/>
      <c r="N13" s="39"/>
      <c r="O13" s="35">
        <v>8.5</v>
      </c>
      <c r="P13" s="40">
        <v>11</v>
      </c>
      <c r="Q13" s="35">
        <v>11</v>
      </c>
      <c r="R13" s="22">
        <f t="shared" si="17"/>
        <v>10.166666666666666</v>
      </c>
      <c r="S13" s="22"/>
      <c r="T13" s="22"/>
      <c r="U13" s="22">
        <v>14.417</v>
      </c>
      <c r="V13" s="23">
        <f t="shared" si="18"/>
        <v>12.291833333333333</v>
      </c>
      <c r="W13" s="40">
        <v>12.39</v>
      </c>
      <c r="X13" s="41">
        <v>10.33</v>
      </c>
      <c r="Y13" s="23">
        <f t="shared" si="19"/>
        <v>11.016666666666666</v>
      </c>
      <c r="Z13" s="39"/>
      <c r="AA13" s="39"/>
      <c r="AB13" s="35">
        <v>13.7</v>
      </c>
      <c r="AC13" s="36">
        <v>6.9</v>
      </c>
      <c r="AD13" s="22">
        <f t="shared" si="20"/>
        <v>9.1666666666666661</v>
      </c>
      <c r="AE13" s="22"/>
      <c r="AF13" s="22"/>
      <c r="AG13" s="23">
        <f t="shared" si="21"/>
        <v>10.091666666666665</v>
      </c>
      <c r="AH13" s="37"/>
      <c r="AI13" s="37"/>
      <c r="AJ13" s="76"/>
      <c r="AK13" s="39"/>
      <c r="AL13" s="23"/>
      <c r="AM13" s="111"/>
      <c r="AN13" s="111"/>
      <c r="AO13" s="111"/>
      <c r="AP13" s="23">
        <v>10.298</v>
      </c>
      <c r="AQ13" s="39"/>
      <c r="AR13" s="35">
        <v>2.5</v>
      </c>
      <c r="AS13" s="36">
        <v>10</v>
      </c>
      <c r="AT13" s="36">
        <v>12</v>
      </c>
      <c r="AU13" s="23">
        <f t="shared" si="22"/>
        <v>8.875</v>
      </c>
      <c r="AV13" s="58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</row>
    <row r="14" spans="1:71" ht="15.75" customHeight="1" x14ac:dyDescent="0.2">
      <c r="A14" s="53">
        <v>9</v>
      </c>
      <c r="B14" s="81">
        <v>22322420</v>
      </c>
      <c r="C14" s="72">
        <v>9.5925217206349203</v>
      </c>
      <c r="D14" s="72">
        <v>9.7175217206349203</v>
      </c>
      <c r="E14" s="22">
        <f t="shared" si="15"/>
        <v>10.083666666666666</v>
      </c>
      <c r="F14" s="22"/>
      <c r="G14" s="33">
        <f t="shared" si="1"/>
        <v>9.8380941936507931</v>
      </c>
      <c r="H14" s="34">
        <f t="shared" si="14"/>
        <v>9.9005941936507931</v>
      </c>
      <c r="I14" s="102">
        <v>17</v>
      </c>
      <c r="J14" s="36">
        <v>11.25</v>
      </c>
      <c r="K14" s="103">
        <v>9</v>
      </c>
      <c r="L14" s="23">
        <f t="shared" si="16"/>
        <v>11.083333333333334</v>
      </c>
      <c r="M14" s="39"/>
      <c r="N14" s="39"/>
      <c r="O14" s="35">
        <v>2.5</v>
      </c>
      <c r="P14" s="40">
        <v>0.5</v>
      </c>
      <c r="Q14" s="35">
        <v>6</v>
      </c>
      <c r="R14" s="22">
        <f t="shared" si="17"/>
        <v>3</v>
      </c>
      <c r="S14" s="22">
        <v>16.739999999999998</v>
      </c>
      <c r="T14" s="22">
        <v>16.239999999999998</v>
      </c>
      <c r="U14" s="22">
        <f t="shared" ref="U14:U17" si="23">((S14*2)+T14)/3</f>
        <v>16.573333333333334</v>
      </c>
      <c r="V14" s="23">
        <f t="shared" si="18"/>
        <v>9.7866666666666671</v>
      </c>
      <c r="W14" s="40">
        <v>4.13</v>
      </c>
      <c r="X14" s="41">
        <v>4.33</v>
      </c>
      <c r="Y14" s="23">
        <f t="shared" si="19"/>
        <v>4.2633333333333328</v>
      </c>
      <c r="Z14" s="39"/>
      <c r="AA14" s="39"/>
      <c r="AB14" s="35">
        <v>10.7</v>
      </c>
      <c r="AC14" s="36">
        <v>3.7</v>
      </c>
      <c r="AD14" s="22">
        <f t="shared" si="20"/>
        <v>6.0333333333333341</v>
      </c>
      <c r="AE14" s="22"/>
      <c r="AF14" s="22"/>
      <c r="AG14" s="23">
        <f t="shared" si="21"/>
        <v>5.1483333333333334</v>
      </c>
      <c r="AH14" s="37"/>
      <c r="AI14" s="37">
        <v>11.5</v>
      </c>
      <c r="AJ14" s="102">
        <v>13</v>
      </c>
      <c r="AK14" s="39">
        <v>10.8</v>
      </c>
      <c r="AL14" s="23">
        <v>7.4</v>
      </c>
      <c r="AM14" s="23">
        <f t="shared" ref="AM14:AM17" si="24">(AK14+(AL14*2))/3</f>
        <v>8.5333333333333332</v>
      </c>
      <c r="AN14" s="23"/>
      <c r="AO14" s="23"/>
      <c r="AP14" s="23">
        <f t="shared" ref="AP14:AP17" si="25">(AI14+AJ14+(AM14*2))/4</f>
        <v>10.391666666666666</v>
      </c>
      <c r="AQ14" s="39"/>
      <c r="AR14" s="35">
        <v>18</v>
      </c>
      <c r="AS14" s="36">
        <v>18</v>
      </c>
      <c r="AT14" s="36">
        <v>17</v>
      </c>
      <c r="AU14" s="23">
        <f t="shared" si="22"/>
        <v>17.625</v>
      </c>
      <c r="AV14" s="58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</row>
    <row r="15" spans="1:71" ht="15.75" customHeight="1" x14ac:dyDescent="0.2">
      <c r="A15" s="53">
        <v>10</v>
      </c>
      <c r="B15" s="81">
        <v>22322382</v>
      </c>
      <c r="C15" s="72">
        <v>9.6852593396825402</v>
      </c>
      <c r="D15" s="38"/>
      <c r="E15" s="22">
        <f t="shared" si="15"/>
        <v>10.548750000000002</v>
      </c>
      <c r="F15" s="22"/>
      <c r="G15" s="22">
        <f t="shared" si="1"/>
        <v>10.117004669841272</v>
      </c>
      <c r="H15" s="38"/>
      <c r="I15" s="102">
        <v>17</v>
      </c>
      <c r="J15" s="36">
        <v>3.25</v>
      </c>
      <c r="K15" s="103">
        <v>13</v>
      </c>
      <c r="L15" s="23">
        <f t="shared" si="16"/>
        <v>10.416666666666666</v>
      </c>
      <c r="M15" s="39"/>
      <c r="N15" s="39"/>
      <c r="O15" s="35">
        <v>3.75</v>
      </c>
      <c r="P15" s="40">
        <v>3</v>
      </c>
      <c r="Q15" s="35">
        <v>9</v>
      </c>
      <c r="R15" s="22">
        <f t="shared" si="17"/>
        <v>5.25</v>
      </c>
      <c r="S15" s="22">
        <v>16.5</v>
      </c>
      <c r="T15" s="22">
        <v>16.5</v>
      </c>
      <c r="U15" s="22">
        <f t="shared" si="23"/>
        <v>16.5</v>
      </c>
      <c r="V15" s="23">
        <f t="shared" si="18"/>
        <v>10.875</v>
      </c>
      <c r="W15" s="40">
        <v>8.26</v>
      </c>
      <c r="X15" s="41">
        <v>3.17</v>
      </c>
      <c r="Y15" s="23">
        <f t="shared" si="19"/>
        <v>4.8666666666666663</v>
      </c>
      <c r="Z15" s="39"/>
      <c r="AA15" s="39"/>
      <c r="AB15" s="35">
        <v>5.6</v>
      </c>
      <c r="AC15" s="36">
        <v>5.3</v>
      </c>
      <c r="AD15" s="22">
        <f t="shared" si="20"/>
        <v>5.3999999999999995</v>
      </c>
      <c r="AE15" s="22"/>
      <c r="AF15" s="22"/>
      <c r="AG15" s="23">
        <f t="shared" si="21"/>
        <v>5.1333333333333329</v>
      </c>
      <c r="AH15" s="37"/>
      <c r="AI15" s="37">
        <v>14</v>
      </c>
      <c r="AJ15" s="102">
        <v>12</v>
      </c>
      <c r="AK15" s="39">
        <v>15.3</v>
      </c>
      <c r="AL15" s="23">
        <v>12.3</v>
      </c>
      <c r="AM15" s="23">
        <f t="shared" si="24"/>
        <v>13.300000000000002</v>
      </c>
      <c r="AN15" s="23"/>
      <c r="AO15" s="23"/>
      <c r="AP15" s="23">
        <f t="shared" si="25"/>
        <v>13.150000000000002</v>
      </c>
      <c r="AQ15" s="39"/>
      <c r="AR15" s="35">
        <v>7</v>
      </c>
      <c r="AS15" s="36">
        <v>14</v>
      </c>
      <c r="AT15" s="36">
        <v>16.5</v>
      </c>
      <c r="AU15" s="23">
        <f t="shared" si="22"/>
        <v>13.1875</v>
      </c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</row>
    <row r="16" spans="1:71" ht="15.75" customHeight="1" x14ac:dyDescent="0.2">
      <c r="A16" s="53">
        <v>11</v>
      </c>
      <c r="B16" s="81">
        <v>22322418</v>
      </c>
      <c r="C16" s="72">
        <v>8.923972222222222</v>
      </c>
      <c r="D16" s="72">
        <v>9.6477817460317468</v>
      </c>
      <c r="E16" s="22">
        <f t="shared" si="15"/>
        <v>11.591249999999999</v>
      </c>
      <c r="F16" s="22"/>
      <c r="G16" s="22">
        <f t="shared" si="1"/>
        <v>10.25761111111111</v>
      </c>
      <c r="H16" s="38">
        <f>(D16+E16)/2</f>
        <v>10.619515873015873</v>
      </c>
      <c r="I16" s="102">
        <v>19</v>
      </c>
      <c r="J16" s="36">
        <v>7</v>
      </c>
      <c r="K16" s="103">
        <v>13.5</v>
      </c>
      <c r="L16" s="23">
        <f t="shared" si="16"/>
        <v>12.25</v>
      </c>
      <c r="M16" s="39"/>
      <c r="N16" s="39"/>
      <c r="O16" s="35">
        <v>7</v>
      </c>
      <c r="P16" s="40">
        <v>4</v>
      </c>
      <c r="Q16" s="35">
        <v>6</v>
      </c>
      <c r="R16" s="22">
        <f t="shared" si="17"/>
        <v>5.666666666666667</v>
      </c>
      <c r="S16" s="22">
        <v>18.55</v>
      </c>
      <c r="T16" s="22">
        <v>15.35</v>
      </c>
      <c r="U16" s="22">
        <f t="shared" si="23"/>
        <v>17.483333333333334</v>
      </c>
      <c r="V16" s="23">
        <f t="shared" si="18"/>
        <v>11.575000000000001</v>
      </c>
      <c r="W16" s="40">
        <v>12.39</v>
      </c>
      <c r="X16" s="41">
        <v>5.83</v>
      </c>
      <c r="Y16" s="23">
        <f t="shared" si="19"/>
        <v>8.0166666666666675</v>
      </c>
      <c r="Z16" s="39"/>
      <c r="AA16" s="39"/>
      <c r="AB16" s="35">
        <v>14.2</v>
      </c>
      <c r="AC16" s="36">
        <v>6.3</v>
      </c>
      <c r="AD16" s="22">
        <f t="shared" si="20"/>
        <v>8.9333333333333318</v>
      </c>
      <c r="AE16" s="22"/>
      <c r="AF16" s="22"/>
      <c r="AG16" s="23">
        <f t="shared" si="21"/>
        <v>8.4749999999999996</v>
      </c>
      <c r="AH16" s="37"/>
      <c r="AI16" s="37">
        <v>14.5</v>
      </c>
      <c r="AJ16" s="102">
        <v>16</v>
      </c>
      <c r="AK16" s="39">
        <v>8.6999999999999993</v>
      </c>
      <c r="AL16" s="23">
        <v>9.9</v>
      </c>
      <c r="AM16" s="23">
        <f t="shared" si="24"/>
        <v>9.5</v>
      </c>
      <c r="AN16" s="23"/>
      <c r="AO16" s="23"/>
      <c r="AP16" s="23">
        <f t="shared" si="25"/>
        <v>12.375</v>
      </c>
      <c r="AQ16" s="39"/>
      <c r="AR16" s="35">
        <v>14</v>
      </c>
      <c r="AS16" s="36">
        <v>14.5</v>
      </c>
      <c r="AT16" s="36">
        <v>14</v>
      </c>
      <c r="AU16" s="23">
        <f t="shared" si="22"/>
        <v>14.1875</v>
      </c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</row>
    <row r="17" spans="1:71" ht="15.75" customHeight="1" x14ac:dyDescent="0.2">
      <c r="A17" s="53">
        <v>12</v>
      </c>
      <c r="B17" s="81">
        <v>22322406</v>
      </c>
      <c r="C17" s="38">
        <v>10.939383555555557</v>
      </c>
      <c r="D17" s="38"/>
      <c r="E17" s="32">
        <f t="shared" si="15"/>
        <v>9.7371666666666652</v>
      </c>
      <c r="F17" s="32"/>
      <c r="G17" s="22">
        <f t="shared" si="1"/>
        <v>10.338275111111111</v>
      </c>
      <c r="H17" s="38"/>
      <c r="I17" s="102">
        <v>17</v>
      </c>
      <c r="J17" s="36">
        <v>1.75</v>
      </c>
      <c r="K17" s="103">
        <v>5</v>
      </c>
      <c r="L17" s="23">
        <f t="shared" si="16"/>
        <v>5.916666666666667</v>
      </c>
      <c r="M17" s="39"/>
      <c r="N17" s="39"/>
      <c r="O17" s="35">
        <v>3</v>
      </c>
      <c r="P17" s="40">
        <v>0.5</v>
      </c>
      <c r="Q17" s="35">
        <v>7</v>
      </c>
      <c r="R17" s="22">
        <f t="shared" si="17"/>
        <v>3.5</v>
      </c>
      <c r="S17" s="22">
        <v>14.5</v>
      </c>
      <c r="T17" s="22">
        <v>17.3</v>
      </c>
      <c r="U17" s="22">
        <f t="shared" si="23"/>
        <v>15.433333333333332</v>
      </c>
      <c r="V17" s="23">
        <f t="shared" si="18"/>
        <v>9.466666666666665</v>
      </c>
      <c r="W17" s="40">
        <v>10.65</v>
      </c>
      <c r="X17" s="41">
        <v>8.17</v>
      </c>
      <c r="Y17" s="23">
        <f t="shared" si="19"/>
        <v>8.9966666666666679</v>
      </c>
      <c r="Z17" s="39"/>
      <c r="AA17" s="39"/>
      <c r="AB17" s="35">
        <v>13.6</v>
      </c>
      <c r="AC17" s="36">
        <v>7.8</v>
      </c>
      <c r="AD17" s="22">
        <f t="shared" si="20"/>
        <v>9.7333333333333325</v>
      </c>
      <c r="AE17" s="22"/>
      <c r="AF17" s="22"/>
      <c r="AG17" s="23">
        <f t="shared" si="21"/>
        <v>9.3650000000000002</v>
      </c>
      <c r="AH17" s="37"/>
      <c r="AI17" s="37">
        <v>12.5</v>
      </c>
      <c r="AJ17" s="102">
        <v>11</v>
      </c>
      <c r="AK17" s="39">
        <v>11.7</v>
      </c>
      <c r="AL17" s="23">
        <v>9.4</v>
      </c>
      <c r="AM17" s="23">
        <f t="shared" si="24"/>
        <v>10.166666666666666</v>
      </c>
      <c r="AN17" s="23"/>
      <c r="AO17" s="23"/>
      <c r="AP17" s="23">
        <f t="shared" si="25"/>
        <v>10.958333333333332</v>
      </c>
      <c r="AQ17" s="39"/>
      <c r="AR17" s="35">
        <v>13.5</v>
      </c>
      <c r="AS17" s="36">
        <v>15</v>
      </c>
      <c r="AT17" s="36">
        <v>16</v>
      </c>
      <c r="AU17" s="23">
        <f t="shared" si="22"/>
        <v>15</v>
      </c>
      <c r="AV17" s="58"/>
      <c r="AW17" s="58"/>
      <c r="AX17" s="58"/>
      <c r="AY17" s="58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</row>
    <row r="18" spans="1:71" ht="15.75" customHeight="1" x14ac:dyDescent="0.2">
      <c r="A18" s="53">
        <v>13</v>
      </c>
      <c r="B18" s="101">
        <v>22222004</v>
      </c>
      <c r="C18" s="38">
        <v>10.477623809523809</v>
      </c>
      <c r="D18" s="38"/>
      <c r="E18" s="22">
        <f t="shared" si="15"/>
        <v>10.4008</v>
      </c>
      <c r="F18" s="22"/>
      <c r="G18" s="22">
        <f t="shared" si="1"/>
        <v>10.439211904761905</v>
      </c>
      <c r="H18" s="38"/>
      <c r="I18" s="102"/>
      <c r="J18" s="109"/>
      <c r="K18" s="110"/>
      <c r="L18" s="23">
        <v>10.917</v>
      </c>
      <c r="M18" s="39"/>
      <c r="N18" s="39"/>
      <c r="O18" s="35"/>
      <c r="P18" s="40"/>
      <c r="Q18" s="35"/>
      <c r="R18" s="22"/>
      <c r="S18" s="22"/>
      <c r="T18" s="22"/>
      <c r="U18" s="22"/>
      <c r="V18" s="23">
        <v>11.265000000000001</v>
      </c>
      <c r="W18" s="40">
        <v>7.61</v>
      </c>
      <c r="X18" s="41">
        <v>4</v>
      </c>
      <c r="Y18" s="23">
        <f t="shared" si="19"/>
        <v>5.2033333333333331</v>
      </c>
      <c r="Z18" s="39"/>
      <c r="AA18" s="39"/>
      <c r="AB18" s="35">
        <v>14</v>
      </c>
      <c r="AC18" s="36">
        <v>4.8</v>
      </c>
      <c r="AD18" s="22">
        <f t="shared" si="20"/>
        <v>7.8666666666666671</v>
      </c>
      <c r="AE18" s="22"/>
      <c r="AF18" s="22"/>
      <c r="AG18" s="23">
        <f t="shared" si="21"/>
        <v>6.5350000000000001</v>
      </c>
      <c r="AH18" s="37"/>
      <c r="AI18" s="37"/>
      <c r="AJ18" s="76"/>
      <c r="AK18" s="39"/>
      <c r="AL18" s="23"/>
      <c r="AM18" s="23"/>
      <c r="AN18" s="23"/>
      <c r="AO18" s="23"/>
      <c r="AP18" s="23">
        <v>11.108000000000001</v>
      </c>
      <c r="AQ18" s="39"/>
      <c r="AR18" s="35">
        <v>12.5</v>
      </c>
      <c r="AS18" s="36">
        <v>14</v>
      </c>
      <c r="AT18" s="36">
        <v>13</v>
      </c>
      <c r="AU18" s="23">
        <f t="shared" si="22"/>
        <v>13.25</v>
      </c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ht="15.75" customHeight="1" x14ac:dyDescent="0.2">
      <c r="A19" s="53">
        <v>14</v>
      </c>
      <c r="B19" s="98">
        <v>22221988</v>
      </c>
      <c r="C19" s="72">
        <v>9.197469841269843</v>
      </c>
      <c r="D19" s="38"/>
      <c r="E19" s="22">
        <v>11.882</v>
      </c>
      <c r="F19" s="22"/>
      <c r="G19" s="22">
        <f t="shared" si="1"/>
        <v>10.53973492063492</v>
      </c>
      <c r="H19" s="38"/>
      <c r="I19" s="102"/>
      <c r="J19" s="109"/>
      <c r="K19" s="110"/>
      <c r="L19" s="67"/>
      <c r="M19" s="102"/>
      <c r="N19" s="102"/>
      <c r="O19" s="102"/>
      <c r="P19" s="102"/>
      <c r="Q19" s="102"/>
      <c r="R19" s="67"/>
      <c r="S19" s="67"/>
      <c r="T19" s="67"/>
      <c r="U19" s="67"/>
      <c r="V19" s="67"/>
      <c r="W19" s="102"/>
      <c r="X19" s="109"/>
      <c r="Y19" s="67"/>
      <c r="Z19" s="102"/>
      <c r="AA19" s="39"/>
      <c r="AB19" s="102"/>
      <c r="AC19" s="109"/>
      <c r="AD19" s="67"/>
      <c r="AE19" s="67"/>
      <c r="AF19" s="67"/>
      <c r="AG19" s="67"/>
      <c r="AH19" s="109"/>
      <c r="AI19" s="109"/>
      <c r="AJ19" s="102"/>
      <c r="AK19" s="102"/>
      <c r="AL19" s="67"/>
      <c r="AM19" s="67"/>
      <c r="AN19" s="67"/>
      <c r="AO19" s="67"/>
      <c r="AP19" s="67"/>
      <c r="AQ19" s="102"/>
      <c r="AR19" s="102"/>
      <c r="AS19" s="109"/>
      <c r="AT19" s="109"/>
      <c r="AU19" s="67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ht="15.75" customHeight="1" x14ac:dyDescent="0.2">
      <c r="A20" s="53">
        <v>15</v>
      </c>
      <c r="B20" s="81">
        <v>22322390</v>
      </c>
      <c r="C20" s="38">
        <v>10.68444827936508</v>
      </c>
      <c r="D20" s="38"/>
      <c r="E20" s="22">
        <f t="shared" ref="E20:E39" si="26">((L20*6)+(V20*6)+(AG20*6)+(AP20*9)+(AU20*3))/30</f>
        <v>10.86575</v>
      </c>
      <c r="F20" s="22"/>
      <c r="G20" s="22">
        <f t="shared" si="1"/>
        <v>10.77509913968254</v>
      </c>
      <c r="H20" s="38"/>
      <c r="I20" s="102">
        <v>19</v>
      </c>
      <c r="J20" s="36">
        <v>4.75</v>
      </c>
      <c r="K20" s="103">
        <v>18.25</v>
      </c>
      <c r="L20" s="23">
        <f t="shared" ref="L20:L39" si="27">(I20+(J20*2)+(K20*3))/6</f>
        <v>13.875</v>
      </c>
      <c r="M20" s="39"/>
      <c r="N20" s="39"/>
      <c r="O20" s="35">
        <v>3</v>
      </c>
      <c r="P20" s="40">
        <v>5</v>
      </c>
      <c r="Q20" s="35">
        <v>6</v>
      </c>
      <c r="R20" s="22">
        <f t="shared" ref="R20:R39" si="28">(O20+P20+Q20)/3</f>
        <v>4.666666666666667</v>
      </c>
      <c r="S20" s="22">
        <v>16.8</v>
      </c>
      <c r="T20" s="22">
        <v>16.2</v>
      </c>
      <c r="U20" s="22">
        <f t="shared" ref="U20:U39" si="29">((S20*2)+T20)/3</f>
        <v>16.599999999999998</v>
      </c>
      <c r="V20" s="23">
        <f t="shared" ref="V20:V39" si="30">(R20+U20)/2</f>
        <v>10.633333333333333</v>
      </c>
      <c r="W20" s="40">
        <v>5.87</v>
      </c>
      <c r="X20" s="41">
        <v>3.67</v>
      </c>
      <c r="Y20" s="23">
        <f t="shared" ref="Y20:Y39" si="31">(W20+(X20*2))/3</f>
        <v>4.4033333333333333</v>
      </c>
      <c r="Z20" s="39"/>
      <c r="AA20" s="39"/>
      <c r="AB20" s="35">
        <v>12.7</v>
      </c>
      <c r="AC20" s="36">
        <v>5.2</v>
      </c>
      <c r="AD20" s="22">
        <f t="shared" ref="AD20:AD39" si="32">(AB20+(AC20*2))/3</f>
        <v>7.7</v>
      </c>
      <c r="AE20" s="22"/>
      <c r="AF20" s="22"/>
      <c r="AG20" s="23">
        <f t="shared" ref="AG20:AG39" si="33">(Y20+AD20)/2</f>
        <v>6.0516666666666667</v>
      </c>
      <c r="AH20" s="37"/>
      <c r="AI20" s="37">
        <v>11.5</v>
      </c>
      <c r="AJ20" s="102">
        <v>9</v>
      </c>
      <c r="AK20" s="39">
        <v>14.8</v>
      </c>
      <c r="AL20" s="37">
        <v>10.199999999999999</v>
      </c>
      <c r="AM20" s="23">
        <f t="shared" ref="AM20:AM39" si="34">(AK20+(AL20*2))/3</f>
        <v>11.733333333333334</v>
      </c>
      <c r="AN20" s="23"/>
      <c r="AO20" s="23"/>
      <c r="AP20" s="23">
        <f t="shared" ref="AP20:AP39" si="35">(AI20+AJ20+(AM20*2))/4</f>
        <v>10.991666666666667</v>
      </c>
      <c r="AQ20" s="39"/>
      <c r="AR20" s="35">
        <v>12.5</v>
      </c>
      <c r="AS20" s="36">
        <v>13.5</v>
      </c>
      <c r="AT20" s="36">
        <v>17</v>
      </c>
      <c r="AU20" s="23">
        <f t="shared" ref="AU20:AU39" si="36">((AR20*2)+(AS20*3)+(AT20*3))/8</f>
        <v>14.5625</v>
      </c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ht="15.75" customHeight="1" x14ac:dyDescent="0.2">
      <c r="A21" s="53">
        <v>16</v>
      </c>
      <c r="B21" s="81">
        <v>22322429</v>
      </c>
      <c r="C21" s="38">
        <v>11.390605873015874</v>
      </c>
      <c r="D21" s="38"/>
      <c r="E21" s="22">
        <f t="shared" si="26"/>
        <v>10.288</v>
      </c>
      <c r="F21" s="22"/>
      <c r="G21" s="22">
        <f t="shared" si="1"/>
        <v>10.839302936507938</v>
      </c>
      <c r="H21" s="38"/>
      <c r="I21" s="102">
        <v>17</v>
      </c>
      <c r="J21" s="36">
        <v>7.5</v>
      </c>
      <c r="K21" s="103">
        <v>8.25</v>
      </c>
      <c r="L21" s="23">
        <f t="shared" si="27"/>
        <v>9.4583333333333339</v>
      </c>
      <c r="M21" s="39"/>
      <c r="N21" s="39"/>
      <c r="O21" s="35">
        <v>6.25</v>
      </c>
      <c r="P21" s="40">
        <v>1.25</v>
      </c>
      <c r="Q21" s="35">
        <v>6</v>
      </c>
      <c r="R21" s="22">
        <f t="shared" si="28"/>
        <v>4.5</v>
      </c>
      <c r="S21" s="22">
        <v>14.11</v>
      </c>
      <c r="T21" s="22">
        <v>16.05</v>
      </c>
      <c r="U21" s="22">
        <f t="shared" si="29"/>
        <v>14.756666666666666</v>
      </c>
      <c r="V21" s="23">
        <f t="shared" si="30"/>
        <v>9.6283333333333339</v>
      </c>
      <c r="W21" s="40">
        <v>8.48</v>
      </c>
      <c r="X21" s="41">
        <v>4.17</v>
      </c>
      <c r="Y21" s="23">
        <f t="shared" si="31"/>
        <v>5.6066666666666665</v>
      </c>
      <c r="Z21" s="39"/>
      <c r="AA21" s="39"/>
      <c r="AB21" s="35">
        <v>8.8000000000000007</v>
      </c>
      <c r="AC21" s="36">
        <v>2.5</v>
      </c>
      <c r="AD21" s="22">
        <f t="shared" si="32"/>
        <v>4.6000000000000005</v>
      </c>
      <c r="AE21" s="22"/>
      <c r="AF21" s="22"/>
      <c r="AG21" s="23">
        <f t="shared" si="33"/>
        <v>5.1033333333333335</v>
      </c>
      <c r="AH21" s="37"/>
      <c r="AI21" s="37">
        <v>13</v>
      </c>
      <c r="AJ21" s="102">
        <v>17</v>
      </c>
      <c r="AK21" s="39">
        <v>13</v>
      </c>
      <c r="AL21" s="37">
        <v>11.5</v>
      </c>
      <c r="AM21" s="23">
        <f t="shared" si="34"/>
        <v>12</v>
      </c>
      <c r="AN21" s="23"/>
      <c r="AO21" s="23"/>
      <c r="AP21" s="23">
        <f t="shared" si="35"/>
        <v>13.5</v>
      </c>
      <c r="AQ21" s="39"/>
      <c r="AR21" s="35">
        <v>14</v>
      </c>
      <c r="AS21" s="36">
        <v>17</v>
      </c>
      <c r="AT21" s="36">
        <v>11</v>
      </c>
      <c r="AU21" s="23">
        <f t="shared" si="36"/>
        <v>14</v>
      </c>
      <c r="AV21" s="58"/>
      <c r="AW21" s="58"/>
      <c r="AX21" s="58"/>
      <c r="AY21" s="58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ht="15.75" customHeight="1" x14ac:dyDescent="0.2">
      <c r="A22" s="53">
        <v>17</v>
      </c>
      <c r="B22" s="81">
        <v>22322383</v>
      </c>
      <c r="C22" s="72">
        <v>9.0368267619047629</v>
      </c>
      <c r="D22" s="72">
        <v>9.1368267619047625</v>
      </c>
      <c r="E22" s="22">
        <f t="shared" si="26"/>
        <v>12.772083333333335</v>
      </c>
      <c r="F22" s="22"/>
      <c r="G22" s="22">
        <f t="shared" si="1"/>
        <v>10.904455047619049</v>
      </c>
      <c r="H22" s="38">
        <f>(D22+E22)/2</f>
        <v>10.954455047619049</v>
      </c>
      <c r="I22" s="102">
        <v>20</v>
      </c>
      <c r="J22" s="36">
        <v>8</v>
      </c>
      <c r="K22" s="103">
        <v>14.75</v>
      </c>
      <c r="L22" s="23">
        <f t="shared" si="27"/>
        <v>13.375</v>
      </c>
      <c r="M22" s="39"/>
      <c r="N22" s="39"/>
      <c r="O22" s="35">
        <v>5.5</v>
      </c>
      <c r="P22" s="40">
        <v>3</v>
      </c>
      <c r="Q22" s="35">
        <v>11</v>
      </c>
      <c r="R22" s="22">
        <f t="shared" si="28"/>
        <v>6.5</v>
      </c>
      <c r="S22" s="22">
        <v>16.649999999999999</v>
      </c>
      <c r="T22" s="22">
        <v>16.54</v>
      </c>
      <c r="U22" s="22">
        <f t="shared" si="29"/>
        <v>16.613333333333333</v>
      </c>
      <c r="V22" s="23">
        <f t="shared" si="30"/>
        <v>11.556666666666667</v>
      </c>
      <c r="W22" s="40">
        <v>8.26</v>
      </c>
      <c r="X22" s="41">
        <v>5.5</v>
      </c>
      <c r="Y22" s="23">
        <f t="shared" si="31"/>
        <v>6.419999999999999</v>
      </c>
      <c r="Z22" s="39"/>
      <c r="AA22" s="39"/>
      <c r="AB22" s="35">
        <v>14.4</v>
      </c>
      <c r="AC22" s="36">
        <v>9.3000000000000007</v>
      </c>
      <c r="AD22" s="22">
        <f t="shared" si="32"/>
        <v>11</v>
      </c>
      <c r="AE22" s="22"/>
      <c r="AF22" s="22"/>
      <c r="AG22" s="23">
        <f t="shared" si="33"/>
        <v>8.7099999999999991</v>
      </c>
      <c r="AH22" s="37"/>
      <c r="AI22" s="37">
        <v>18.5</v>
      </c>
      <c r="AJ22" s="102">
        <v>18</v>
      </c>
      <c r="AK22" s="39">
        <v>14.9</v>
      </c>
      <c r="AL22" s="37">
        <v>12.3</v>
      </c>
      <c r="AM22" s="23">
        <f t="shared" si="34"/>
        <v>13.166666666666666</v>
      </c>
      <c r="AN22" s="23"/>
      <c r="AO22" s="23"/>
      <c r="AP22" s="23">
        <f t="shared" si="35"/>
        <v>15.708333333333332</v>
      </c>
      <c r="AQ22" s="39"/>
      <c r="AR22" s="35">
        <v>12</v>
      </c>
      <c r="AS22" s="36">
        <v>15.5</v>
      </c>
      <c r="AT22" s="36">
        <v>12</v>
      </c>
      <c r="AU22" s="23">
        <f t="shared" si="36"/>
        <v>13.3125</v>
      </c>
      <c r="AV22" s="58"/>
      <c r="AW22" s="58"/>
      <c r="AX22" s="58"/>
      <c r="AY22" s="58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ht="15.75" customHeight="1" x14ac:dyDescent="0.2">
      <c r="A23" s="53">
        <v>18</v>
      </c>
      <c r="B23" s="81">
        <v>22322412</v>
      </c>
      <c r="C23" s="72">
        <v>9.8730779619047624</v>
      </c>
      <c r="D23" s="38"/>
      <c r="E23" s="22">
        <f t="shared" si="26"/>
        <v>12.352333333333332</v>
      </c>
      <c r="F23" s="22"/>
      <c r="G23" s="22">
        <f t="shared" si="1"/>
        <v>11.112705647619048</v>
      </c>
      <c r="H23" s="38"/>
      <c r="I23" s="102">
        <v>17</v>
      </c>
      <c r="J23" s="36">
        <v>8</v>
      </c>
      <c r="K23" s="103">
        <v>16</v>
      </c>
      <c r="L23" s="23">
        <f t="shared" si="27"/>
        <v>13.5</v>
      </c>
      <c r="M23" s="39"/>
      <c r="N23" s="39"/>
      <c r="O23" s="35">
        <v>5.75</v>
      </c>
      <c r="P23" s="40">
        <v>2.25</v>
      </c>
      <c r="Q23" s="35">
        <v>14</v>
      </c>
      <c r="R23" s="22">
        <f t="shared" si="28"/>
        <v>7.333333333333333</v>
      </c>
      <c r="S23" s="22">
        <v>16.68</v>
      </c>
      <c r="T23" s="22">
        <v>16.87</v>
      </c>
      <c r="U23" s="22">
        <f t="shared" si="29"/>
        <v>16.743333333333336</v>
      </c>
      <c r="V23" s="23">
        <f t="shared" si="30"/>
        <v>12.038333333333334</v>
      </c>
      <c r="W23" s="40">
        <v>9.7799999999999994</v>
      </c>
      <c r="X23" s="41">
        <v>5.33</v>
      </c>
      <c r="Y23" s="23">
        <f t="shared" si="31"/>
        <v>6.8133333333333326</v>
      </c>
      <c r="Z23" s="39"/>
      <c r="AA23" s="39"/>
      <c r="AB23" s="35">
        <v>10.8</v>
      </c>
      <c r="AC23" s="36">
        <v>3.8</v>
      </c>
      <c r="AD23" s="22">
        <f t="shared" si="32"/>
        <v>6.1333333333333329</v>
      </c>
      <c r="AE23" s="22"/>
      <c r="AF23" s="22"/>
      <c r="AG23" s="23">
        <f t="shared" si="33"/>
        <v>6.4733333333333327</v>
      </c>
      <c r="AH23" s="37"/>
      <c r="AI23" s="37">
        <v>15.5</v>
      </c>
      <c r="AJ23" s="102">
        <v>17</v>
      </c>
      <c r="AK23" s="39">
        <v>11.4</v>
      </c>
      <c r="AL23" s="37">
        <v>11.8</v>
      </c>
      <c r="AM23" s="23">
        <f t="shared" si="34"/>
        <v>11.666666666666666</v>
      </c>
      <c r="AN23" s="23"/>
      <c r="AO23" s="23"/>
      <c r="AP23" s="23">
        <f t="shared" si="35"/>
        <v>13.958333333333332</v>
      </c>
      <c r="AQ23" s="39"/>
      <c r="AR23" s="35">
        <v>15</v>
      </c>
      <c r="AS23" s="36">
        <v>19</v>
      </c>
      <c r="AT23" s="36">
        <v>18</v>
      </c>
      <c r="AU23" s="23">
        <f t="shared" si="36"/>
        <v>17.625</v>
      </c>
      <c r="AV23" s="58"/>
      <c r="AW23" s="58"/>
      <c r="AX23" s="58"/>
      <c r="AY23" s="58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ht="15.75" customHeight="1" x14ac:dyDescent="0.2">
      <c r="A24" s="53">
        <v>19</v>
      </c>
      <c r="B24" s="81">
        <v>22322409</v>
      </c>
      <c r="C24" s="38">
        <v>10.724911136507936</v>
      </c>
      <c r="D24" s="38"/>
      <c r="E24" s="22">
        <f t="shared" si="26"/>
        <v>12.30925</v>
      </c>
      <c r="F24" s="22"/>
      <c r="G24" s="22">
        <f t="shared" si="1"/>
        <v>11.517080568253968</v>
      </c>
      <c r="H24" s="38"/>
      <c r="I24" s="102">
        <v>18</v>
      </c>
      <c r="J24" s="36">
        <v>9.25</v>
      </c>
      <c r="K24" s="103">
        <v>11</v>
      </c>
      <c r="L24" s="23">
        <f t="shared" si="27"/>
        <v>11.583333333333334</v>
      </c>
      <c r="M24" s="39"/>
      <c r="N24" s="39"/>
      <c r="O24" s="35">
        <v>8.5</v>
      </c>
      <c r="P24" s="40">
        <v>10.75</v>
      </c>
      <c r="Q24" s="35">
        <v>9</v>
      </c>
      <c r="R24" s="22">
        <f t="shared" si="28"/>
        <v>9.4166666666666661</v>
      </c>
      <c r="S24" s="22">
        <v>16.04</v>
      </c>
      <c r="T24" s="22">
        <v>16.04</v>
      </c>
      <c r="U24" s="22">
        <f t="shared" si="29"/>
        <v>16.04</v>
      </c>
      <c r="V24" s="23">
        <f t="shared" si="30"/>
        <v>12.728333333333332</v>
      </c>
      <c r="W24" s="40">
        <v>8.26</v>
      </c>
      <c r="X24" s="41">
        <v>4.83</v>
      </c>
      <c r="Y24" s="23">
        <f t="shared" si="31"/>
        <v>5.9733333333333336</v>
      </c>
      <c r="Z24" s="39"/>
      <c r="AA24" s="39"/>
      <c r="AB24" s="35">
        <v>10.8</v>
      </c>
      <c r="AC24" s="36">
        <v>4.7</v>
      </c>
      <c r="AD24" s="22">
        <f t="shared" si="32"/>
        <v>6.7333333333333343</v>
      </c>
      <c r="AE24" s="22"/>
      <c r="AF24" s="22"/>
      <c r="AG24" s="23">
        <f t="shared" si="33"/>
        <v>6.3533333333333335</v>
      </c>
      <c r="AH24" s="37"/>
      <c r="AI24" s="37">
        <v>16.5</v>
      </c>
      <c r="AJ24" s="102">
        <v>19</v>
      </c>
      <c r="AK24" s="39">
        <v>14.3</v>
      </c>
      <c r="AL24" s="37">
        <v>13.3</v>
      </c>
      <c r="AM24" s="23">
        <f t="shared" si="34"/>
        <v>13.633333333333335</v>
      </c>
      <c r="AN24" s="23"/>
      <c r="AO24" s="23"/>
      <c r="AP24" s="23">
        <f t="shared" si="35"/>
        <v>15.691666666666666</v>
      </c>
      <c r="AQ24" s="39"/>
      <c r="AR24" s="35">
        <v>16</v>
      </c>
      <c r="AS24" s="36">
        <v>15.5</v>
      </c>
      <c r="AT24" s="36">
        <v>13</v>
      </c>
      <c r="AU24" s="23">
        <f t="shared" si="36"/>
        <v>14.6875</v>
      </c>
      <c r="AV24" s="58"/>
      <c r="AW24" s="58"/>
      <c r="AX24" s="58"/>
      <c r="AY24" s="58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</row>
    <row r="25" spans="1:71" ht="15.75" customHeight="1" x14ac:dyDescent="0.2">
      <c r="A25" s="53">
        <v>20</v>
      </c>
      <c r="B25" s="81">
        <v>22322388</v>
      </c>
      <c r="C25" s="38">
        <v>12.070169498412698</v>
      </c>
      <c r="D25" s="38"/>
      <c r="E25" s="22">
        <f t="shared" si="26"/>
        <v>11.729166666666666</v>
      </c>
      <c r="F25" s="22"/>
      <c r="G25" s="22">
        <f t="shared" si="1"/>
        <v>11.899668082539682</v>
      </c>
      <c r="H25" s="38"/>
      <c r="I25" s="102">
        <v>13</v>
      </c>
      <c r="J25" s="36">
        <v>8.5</v>
      </c>
      <c r="K25" s="103">
        <v>12.5</v>
      </c>
      <c r="L25" s="23">
        <f t="shared" si="27"/>
        <v>11.25</v>
      </c>
      <c r="M25" s="39"/>
      <c r="N25" s="39"/>
      <c r="O25" s="35">
        <v>12.25</v>
      </c>
      <c r="P25" s="40">
        <v>6.75</v>
      </c>
      <c r="Q25" s="35">
        <v>6</v>
      </c>
      <c r="R25" s="22">
        <f t="shared" si="28"/>
        <v>8.3333333333333339</v>
      </c>
      <c r="S25" s="22">
        <v>17.7</v>
      </c>
      <c r="T25" s="22">
        <v>14.7</v>
      </c>
      <c r="U25" s="22">
        <f t="shared" si="29"/>
        <v>16.7</v>
      </c>
      <c r="V25" s="23">
        <f t="shared" si="30"/>
        <v>12.516666666666666</v>
      </c>
      <c r="W25" s="40">
        <v>11.09</v>
      </c>
      <c r="X25" s="41">
        <v>8.83</v>
      </c>
      <c r="Y25" s="23">
        <f t="shared" si="31"/>
        <v>9.5833333333333339</v>
      </c>
      <c r="Z25" s="39"/>
      <c r="AA25" s="39"/>
      <c r="AB25" s="35">
        <v>12.5</v>
      </c>
      <c r="AC25" s="36">
        <v>6.8</v>
      </c>
      <c r="AD25" s="22">
        <f t="shared" si="32"/>
        <v>8.7000000000000011</v>
      </c>
      <c r="AE25" s="22"/>
      <c r="AF25" s="22"/>
      <c r="AG25" s="23">
        <f t="shared" si="33"/>
        <v>9.1416666666666675</v>
      </c>
      <c r="AH25" s="37"/>
      <c r="AI25" s="37">
        <v>15</v>
      </c>
      <c r="AJ25" s="102">
        <v>17</v>
      </c>
      <c r="AK25" s="39">
        <v>14.4</v>
      </c>
      <c r="AL25" s="37">
        <v>7.9</v>
      </c>
      <c r="AM25" s="23">
        <f t="shared" si="34"/>
        <v>10.066666666666668</v>
      </c>
      <c r="AN25" s="23"/>
      <c r="AO25" s="23"/>
      <c r="AP25" s="23">
        <f t="shared" si="35"/>
        <v>13.033333333333335</v>
      </c>
      <c r="AQ25" s="39"/>
      <c r="AR25" s="35">
        <v>10.5</v>
      </c>
      <c r="AS25" s="36">
        <v>11</v>
      </c>
      <c r="AT25" s="36">
        <v>15</v>
      </c>
      <c r="AU25" s="23">
        <f t="shared" si="36"/>
        <v>12.375</v>
      </c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</row>
    <row r="26" spans="1:71" ht="15.75" customHeight="1" x14ac:dyDescent="0.2">
      <c r="A26" s="53">
        <v>21</v>
      </c>
      <c r="B26" s="81">
        <v>22322377</v>
      </c>
      <c r="C26" s="38">
        <v>11.411015936507939</v>
      </c>
      <c r="D26" s="38"/>
      <c r="E26" s="22">
        <f t="shared" si="26"/>
        <v>12.891916666666667</v>
      </c>
      <c r="F26" s="22"/>
      <c r="G26" s="22">
        <f t="shared" si="1"/>
        <v>12.151466301587302</v>
      </c>
      <c r="H26" s="38"/>
      <c r="I26" s="102">
        <v>19</v>
      </c>
      <c r="J26" s="36">
        <v>15.75</v>
      </c>
      <c r="K26" s="103">
        <v>15</v>
      </c>
      <c r="L26" s="23">
        <f t="shared" si="27"/>
        <v>15.916666666666666</v>
      </c>
      <c r="M26" s="39"/>
      <c r="N26" s="39"/>
      <c r="O26" s="35">
        <v>6</v>
      </c>
      <c r="P26" s="40">
        <v>3.25</v>
      </c>
      <c r="Q26" s="35">
        <v>10</v>
      </c>
      <c r="R26" s="22">
        <f t="shared" si="28"/>
        <v>6.416666666666667</v>
      </c>
      <c r="S26" s="22">
        <v>16.920000000000002</v>
      </c>
      <c r="T26" s="22">
        <v>16.579999999999998</v>
      </c>
      <c r="U26" s="22">
        <f t="shared" si="29"/>
        <v>16.806666666666668</v>
      </c>
      <c r="V26" s="23">
        <f t="shared" si="30"/>
        <v>11.611666666666668</v>
      </c>
      <c r="W26" s="40">
        <v>13.26</v>
      </c>
      <c r="X26" s="41">
        <v>7.67</v>
      </c>
      <c r="Y26" s="23">
        <f t="shared" si="31"/>
        <v>9.5333333333333332</v>
      </c>
      <c r="Z26" s="39"/>
      <c r="AA26" s="39"/>
      <c r="AB26" s="35">
        <v>14.8</v>
      </c>
      <c r="AC26" s="36">
        <v>9.8000000000000007</v>
      </c>
      <c r="AD26" s="22">
        <f t="shared" si="32"/>
        <v>11.466666666666669</v>
      </c>
      <c r="AE26" s="22"/>
      <c r="AF26" s="22"/>
      <c r="AG26" s="23">
        <f t="shared" si="33"/>
        <v>10.5</v>
      </c>
      <c r="AH26" s="37"/>
      <c r="AI26" s="37">
        <v>14.5</v>
      </c>
      <c r="AJ26" s="102">
        <v>16.5</v>
      </c>
      <c r="AK26" s="39">
        <v>12.6</v>
      </c>
      <c r="AL26" s="37">
        <v>9.5</v>
      </c>
      <c r="AM26" s="23">
        <f t="shared" si="34"/>
        <v>10.533333333333333</v>
      </c>
      <c r="AN26" s="23"/>
      <c r="AO26" s="23"/>
      <c r="AP26" s="23">
        <f t="shared" si="35"/>
        <v>13.016666666666666</v>
      </c>
      <c r="AQ26" s="39"/>
      <c r="AR26" s="35">
        <v>12.5</v>
      </c>
      <c r="AS26" s="36">
        <v>14.5</v>
      </c>
      <c r="AT26" s="36">
        <v>14</v>
      </c>
      <c r="AU26" s="23">
        <f t="shared" si="36"/>
        <v>13.8125</v>
      </c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</row>
    <row r="27" spans="1:71" ht="15.75" customHeight="1" x14ac:dyDescent="0.2">
      <c r="A27" s="53">
        <v>22</v>
      </c>
      <c r="B27" s="81">
        <v>22322416</v>
      </c>
      <c r="C27" s="38">
        <v>11.100707206349206</v>
      </c>
      <c r="D27" s="38"/>
      <c r="E27" s="22">
        <f t="shared" si="26"/>
        <v>13.248250000000001</v>
      </c>
      <c r="F27" s="22"/>
      <c r="G27" s="22">
        <f t="shared" si="1"/>
        <v>12.174478603174602</v>
      </c>
      <c r="H27" s="38"/>
      <c r="I27" s="102">
        <v>19</v>
      </c>
      <c r="J27" s="36">
        <v>17.75</v>
      </c>
      <c r="K27" s="103">
        <v>14.5</v>
      </c>
      <c r="L27" s="23">
        <f t="shared" si="27"/>
        <v>16.333333333333332</v>
      </c>
      <c r="M27" s="39"/>
      <c r="N27" s="39"/>
      <c r="O27" s="35">
        <v>10</v>
      </c>
      <c r="P27" s="40">
        <v>13.5</v>
      </c>
      <c r="Q27" s="35">
        <v>11</v>
      </c>
      <c r="R27" s="22">
        <f t="shared" si="28"/>
        <v>11.5</v>
      </c>
      <c r="S27" s="22">
        <v>16.41</v>
      </c>
      <c r="T27" s="22">
        <v>16.760000000000002</v>
      </c>
      <c r="U27" s="22">
        <f t="shared" si="29"/>
        <v>16.526666666666667</v>
      </c>
      <c r="V27" s="23">
        <f t="shared" si="30"/>
        <v>14.013333333333334</v>
      </c>
      <c r="W27" s="40">
        <v>8.48</v>
      </c>
      <c r="X27" s="41">
        <v>7.5</v>
      </c>
      <c r="Y27" s="23">
        <f t="shared" si="31"/>
        <v>7.8266666666666671</v>
      </c>
      <c r="Z27" s="39"/>
      <c r="AA27" s="39"/>
      <c r="AB27" s="35">
        <v>15.9</v>
      </c>
      <c r="AC27" s="36">
        <v>10.8</v>
      </c>
      <c r="AD27" s="22">
        <f t="shared" si="32"/>
        <v>12.5</v>
      </c>
      <c r="AE27" s="22"/>
      <c r="AF27" s="22"/>
      <c r="AG27" s="23">
        <f t="shared" si="33"/>
        <v>10.163333333333334</v>
      </c>
      <c r="AH27" s="37"/>
      <c r="AI27" s="37">
        <v>12.5</v>
      </c>
      <c r="AJ27" s="102">
        <v>11</v>
      </c>
      <c r="AK27" s="39">
        <v>13.6</v>
      </c>
      <c r="AL27" s="37">
        <v>11.6</v>
      </c>
      <c r="AM27" s="23">
        <f t="shared" si="34"/>
        <v>12.266666666666666</v>
      </c>
      <c r="AN27" s="23"/>
      <c r="AO27" s="23"/>
      <c r="AP27" s="23">
        <f t="shared" si="35"/>
        <v>12.008333333333333</v>
      </c>
      <c r="AQ27" s="39"/>
      <c r="AR27" s="35">
        <v>16</v>
      </c>
      <c r="AS27" s="36">
        <v>16.5</v>
      </c>
      <c r="AT27" s="36">
        <v>14</v>
      </c>
      <c r="AU27" s="23">
        <f t="shared" si="36"/>
        <v>15.4375</v>
      </c>
      <c r="AV27" s="58"/>
      <c r="AW27" s="58"/>
      <c r="AX27" s="58"/>
      <c r="AY27" s="58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</row>
    <row r="28" spans="1:71" ht="15.75" customHeight="1" x14ac:dyDescent="0.2">
      <c r="A28" s="53">
        <v>23</v>
      </c>
      <c r="B28" s="81">
        <v>22322230</v>
      </c>
      <c r="C28" s="38">
        <v>11.141261968253968</v>
      </c>
      <c r="D28" s="38"/>
      <c r="E28" s="22">
        <f t="shared" si="26"/>
        <v>13.604249999999999</v>
      </c>
      <c r="F28" s="22"/>
      <c r="G28" s="22">
        <f t="shared" si="1"/>
        <v>12.372755984126982</v>
      </c>
      <c r="H28" s="38"/>
      <c r="I28" s="102">
        <v>19</v>
      </c>
      <c r="J28" s="36">
        <v>16</v>
      </c>
      <c r="K28" s="103">
        <v>16</v>
      </c>
      <c r="L28" s="23">
        <f t="shared" si="27"/>
        <v>16.5</v>
      </c>
      <c r="M28" s="39"/>
      <c r="N28" s="39"/>
      <c r="O28" s="35">
        <v>10</v>
      </c>
      <c r="P28" s="40">
        <v>3.25</v>
      </c>
      <c r="Q28" s="35">
        <v>6</v>
      </c>
      <c r="R28" s="22">
        <f t="shared" si="28"/>
        <v>6.416666666666667</v>
      </c>
      <c r="S28" s="22">
        <v>16.3</v>
      </c>
      <c r="T28" s="22">
        <v>14</v>
      </c>
      <c r="U28" s="22">
        <f t="shared" si="29"/>
        <v>15.533333333333333</v>
      </c>
      <c r="V28" s="23">
        <f t="shared" si="30"/>
        <v>10.975</v>
      </c>
      <c r="W28" s="40">
        <v>14.35</v>
      </c>
      <c r="X28" s="41">
        <v>6.67</v>
      </c>
      <c r="Y28" s="23">
        <f t="shared" si="31"/>
        <v>9.2299999999999986</v>
      </c>
      <c r="Z28" s="39"/>
      <c r="AA28" s="39"/>
      <c r="AB28" s="35">
        <v>15.5</v>
      </c>
      <c r="AC28" s="36">
        <v>10.4</v>
      </c>
      <c r="AD28" s="22">
        <f t="shared" si="32"/>
        <v>12.1</v>
      </c>
      <c r="AE28" s="22"/>
      <c r="AF28" s="22"/>
      <c r="AG28" s="23">
        <f t="shared" si="33"/>
        <v>10.664999999999999</v>
      </c>
      <c r="AH28" s="37"/>
      <c r="AI28" s="37">
        <v>16</v>
      </c>
      <c r="AJ28" s="102">
        <v>14</v>
      </c>
      <c r="AK28" s="39">
        <v>16.399999999999999</v>
      </c>
      <c r="AL28" s="37">
        <v>13</v>
      </c>
      <c r="AM28" s="23">
        <f t="shared" si="34"/>
        <v>14.133333333333333</v>
      </c>
      <c r="AN28" s="23"/>
      <c r="AO28" s="23"/>
      <c r="AP28" s="23">
        <f t="shared" si="35"/>
        <v>14.566666666666666</v>
      </c>
      <c r="AQ28" s="39"/>
      <c r="AR28" s="35">
        <v>15.5</v>
      </c>
      <c r="AS28" s="36">
        <v>18.5</v>
      </c>
      <c r="AT28" s="36">
        <v>14</v>
      </c>
      <c r="AU28" s="23">
        <f t="shared" si="36"/>
        <v>16.0625</v>
      </c>
      <c r="AV28" s="58"/>
      <c r="AW28" s="58"/>
      <c r="AX28" s="58"/>
      <c r="AY28" s="58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</row>
    <row r="29" spans="1:71" ht="15.75" customHeight="1" x14ac:dyDescent="0.2">
      <c r="A29" s="53">
        <v>24</v>
      </c>
      <c r="B29" s="81">
        <v>22322386</v>
      </c>
      <c r="C29" s="38">
        <v>11.262847644444445</v>
      </c>
      <c r="D29" s="38"/>
      <c r="E29" s="22">
        <f t="shared" si="26"/>
        <v>14.049666666666667</v>
      </c>
      <c r="F29" s="22"/>
      <c r="G29" s="22">
        <f t="shared" si="1"/>
        <v>12.656257155555556</v>
      </c>
      <c r="H29" s="38"/>
      <c r="I29" s="102">
        <v>18</v>
      </c>
      <c r="J29" s="36">
        <v>15.5</v>
      </c>
      <c r="K29" s="103">
        <v>19.25</v>
      </c>
      <c r="L29" s="23">
        <f t="shared" si="27"/>
        <v>17.791666666666668</v>
      </c>
      <c r="M29" s="39"/>
      <c r="N29" s="39"/>
      <c r="O29" s="35">
        <v>7.75</v>
      </c>
      <c r="P29" s="40">
        <v>7</v>
      </c>
      <c r="Q29" s="35">
        <v>10</v>
      </c>
      <c r="R29" s="22">
        <f t="shared" si="28"/>
        <v>8.25</v>
      </c>
      <c r="S29" s="22">
        <v>16.079999999999998</v>
      </c>
      <c r="T29" s="22">
        <v>16.02</v>
      </c>
      <c r="U29" s="22">
        <f t="shared" si="29"/>
        <v>16.059999999999999</v>
      </c>
      <c r="V29" s="23">
        <f t="shared" si="30"/>
        <v>12.154999999999999</v>
      </c>
      <c r="W29" s="40">
        <v>12.17</v>
      </c>
      <c r="X29" s="41">
        <v>10.17</v>
      </c>
      <c r="Y29" s="23">
        <f t="shared" si="31"/>
        <v>10.836666666666666</v>
      </c>
      <c r="Z29" s="39"/>
      <c r="AA29" s="39"/>
      <c r="AB29" s="35">
        <v>15.7</v>
      </c>
      <c r="AC29" s="36">
        <v>12.5</v>
      </c>
      <c r="AD29" s="22">
        <f t="shared" si="32"/>
        <v>13.566666666666668</v>
      </c>
      <c r="AE29" s="22"/>
      <c r="AF29" s="22"/>
      <c r="AG29" s="23">
        <f t="shared" si="33"/>
        <v>12.201666666666668</v>
      </c>
      <c r="AH29" s="23"/>
      <c r="AI29" s="23">
        <v>12</v>
      </c>
      <c r="AJ29" s="102">
        <v>16</v>
      </c>
      <c r="AK29" s="23">
        <v>14.8</v>
      </c>
      <c r="AL29" s="23">
        <v>11.8</v>
      </c>
      <c r="AM29" s="23">
        <f t="shared" si="34"/>
        <v>12.800000000000002</v>
      </c>
      <c r="AN29" s="23"/>
      <c r="AO29" s="23"/>
      <c r="AP29" s="23">
        <f t="shared" si="35"/>
        <v>13.400000000000002</v>
      </c>
      <c r="AQ29" s="39"/>
      <c r="AR29" s="35">
        <v>17.5</v>
      </c>
      <c r="AS29" s="36">
        <v>17</v>
      </c>
      <c r="AT29" s="36">
        <v>14</v>
      </c>
      <c r="AU29" s="23">
        <f t="shared" si="36"/>
        <v>16</v>
      </c>
      <c r="AV29" s="58"/>
      <c r="AW29" s="58"/>
      <c r="AX29" s="58"/>
      <c r="AY29" s="58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</row>
    <row r="30" spans="1:71" ht="15.75" customHeight="1" x14ac:dyDescent="0.2">
      <c r="A30" s="53">
        <v>25</v>
      </c>
      <c r="B30" s="81">
        <v>22322404</v>
      </c>
      <c r="C30" s="38">
        <v>11.721474380952381</v>
      </c>
      <c r="D30" s="38"/>
      <c r="E30" s="22">
        <f t="shared" si="26"/>
        <v>13.880916666666668</v>
      </c>
      <c r="F30" s="22"/>
      <c r="G30" s="22">
        <f t="shared" si="1"/>
        <v>12.801195523809525</v>
      </c>
      <c r="H30" s="38"/>
      <c r="I30" s="102">
        <v>20</v>
      </c>
      <c r="J30" s="36">
        <v>15.5</v>
      </c>
      <c r="K30" s="103">
        <v>14.25</v>
      </c>
      <c r="L30" s="23">
        <f t="shared" si="27"/>
        <v>15.625</v>
      </c>
      <c r="M30" s="39"/>
      <c r="N30" s="39"/>
      <c r="O30" s="35">
        <v>15.5</v>
      </c>
      <c r="P30" s="40">
        <v>13.5</v>
      </c>
      <c r="Q30" s="35">
        <v>10</v>
      </c>
      <c r="R30" s="22">
        <f t="shared" si="28"/>
        <v>13</v>
      </c>
      <c r="S30" s="22">
        <v>16.41</v>
      </c>
      <c r="T30" s="22">
        <v>16.760000000000002</v>
      </c>
      <c r="U30" s="22">
        <f t="shared" si="29"/>
        <v>16.526666666666667</v>
      </c>
      <c r="V30" s="23">
        <f t="shared" si="30"/>
        <v>14.763333333333334</v>
      </c>
      <c r="W30" s="40">
        <v>8.91</v>
      </c>
      <c r="X30" s="41">
        <v>6.5</v>
      </c>
      <c r="Y30" s="23">
        <f t="shared" si="31"/>
        <v>7.3033333333333337</v>
      </c>
      <c r="Z30" s="39"/>
      <c r="AA30" s="39"/>
      <c r="AB30" s="35">
        <v>14.7</v>
      </c>
      <c r="AC30" s="36">
        <v>10</v>
      </c>
      <c r="AD30" s="22">
        <f t="shared" si="32"/>
        <v>11.566666666666668</v>
      </c>
      <c r="AE30" s="22"/>
      <c r="AF30" s="22"/>
      <c r="AG30" s="23">
        <f t="shared" si="33"/>
        <v>9.4350000000000005</v>
      </c>
      <c r="AH30" s="23"/>
      <c r="AI30" s="23">
        <v>15</v>
      </c>
      <c r="AJ30" s="102">
        <v>15</v>
      </c>
      <c r="AK30" s="23">
        <v>16</v>
      </c>
      <c r="AL30" s="23">
        <v>13.6</v>
      </c>
      <c r="AM30" s="23">
        <f t="shared" si="34"/>
        <v>14.4</v>
      </c>
      <c r="AN30" s="23"/>
      <c r="AO30" s="23"/>
      <c r="AP30" s="23">
        <f t="shared" si="35"/>
        <v>14.7</v>
      </c>
      <c r="AQ30" s="39"/>
      <c r="AR30" s="35">
        <v>17.5</v>
      </c>
      <c r="AS30" s="36">
        <v>14.5</v>
      </c>
      <c r="AT30" s="36">
        <v>14</v>
      </c>
      <c r="AU30" s="23">
        <f t="shared" si="36"/>
        <v>15.0625</v>
      </c>
      <c r="AV30" s="58"/>
      <c r="AW30" s="58"/>
      <c r="AX30" s="58"/>
      <c r="AY30" s="58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</row>
    <row r="31" spans="1:71" ht="15.75" customHeight="1" x14ac:dyDescent="0.2">
      <c r="A31" s="53">
        <v>26</v>
      </c>
      <c r="B31" s="81">
        <v>22322401</v>
      </c>
      <c r="C31" s="38">
        <v>11.886572355555556</v>
      </c>
      <c r="D31" s="38"/>
      <c r="E31" s="22">
        <f t="shared" si="26"/>
        <v>14.667166666666667</v>
      </c>
      <c r="F31" s="22"/>
      <c r="G31" s="22">
        <f t="shared" si="1"/>
        <v>13.276869511111112</v>
      </c>
      <c r="H31" s="38"/>
      <c r="I31" s="102">
        <v>18</v>
      </c>
      <c r="J31" s="36">
        <v>8.75</v>
      </c>
      <c r="K31" s="103">
        <v>15.5</v>
      </c>
      <c r="L31" s="23">
        <f t="shared" si="27"/>
        <v>13.666666666666666</v>
      </c>
      <c r="M31" s="39"/>
      <c r="N31" s="39"/>
      <c r="O31" s="35">
        <v>10.25</v>
      </c>
      <c r="P31" s="40">
        <v>10</v>
      </c>
      <c r="Q31" s="35">
        <v>12</v>
      </c>
      <c r="R31" s="22">
        <f t="shared" si="28"/>
        <v>10.75</v>
      </c>
      <c r="S31" s="22">
        <v>17.14</v>
      </c>
      <c r="T31" s="22">
        <v>17.03</v>
      </c>
      <c r="U31" s="22">
        <f t="shared" si="29"/>
        <v>17.103333333333335</v>
      </c>
      <c r="V31" s="23">
        <f t="shared" si="30"/>
        <v>13.926666666666668</v>
      </c>
      <c r="W31" s="40">
        <v>9.1300000000000008</v>
      </c>
      <c r="X31" s="41">
        <v>13</v>
      </c>
      <c r="Y31" s="23">
        <f t="shared" si="31"/>
        <v>11.71</v>
      </c>
      <c r="Z31" s="39"/>
      <c r="AA31" s="39"/>
      <c r="AB31" s="35">
        <v>16.399999999999999</v>
      </c>
      <c r="AC31" s="36">
        <v>6.8</v>
      </c>
      <c r="AD31" s="22">
        <f t="shared" si="32"/>
        <v>10</v>
      </c>
      <c r="AE31" s="22"/>
      <c r="AF31" s="22"/>
      <c r="AG31" s="23">
        <f t="shared" si="33"/>
        <v>10.855</v>
      </c>
      <c r="AH31" s="23"/>
      <c r="AI31" s="23">
        <v>20</v>
      </c>
      <c r="AJ31" s="102">
        <v>18.5</v>
      </c>
      <c r="AK31" s="23">
        <v>17.100000000000001</v>
      </c>
      <c r="AL31" s="23">
        <v>14.1</v>
      </c>
      <c r="AM31" s="23">
        <f t="shared" si="34"/>
        <v>15.1</v>
      </c>
      <c r="AN31" s="23"/>
      <c r="AO31" s="23"/>
      <c r="AP31" s="23">
        <f t="shared" si="35"/>
        <v>17.175000000000001</v>
      </c>
      <c r="AQ31" s="39"/>
      <c r="AR31" s="35">
        <v>19</v>
      </c>
      <c r="AS31" s="36">
        <v>18</v>
      </c>
      <c r="AT31" s="36">
        <v>18</v>
      </c>
      <c r="AU31" s="23">
        <f t="shared" si="36"/>
        <v>18.25</v>
      </c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</row>
    <row r="32" spans="1:71" ht="15.75" customHeight="1" x14ac:dyDescent="0.2">
      <c r="A32" s="53">
        <v>27</v>
      </c>
      <c r="B32" s="82">
        <v>22322395</v>
      </c>
      <c r="C32" s="50">
        <v>12.749933149206349</v>
      </c>
      <c r="D32" s="50"/>
      <c r="E32" s="22">
        <f t="shared" si="26"/>
        <v>13.907</v>
      </c>
      <c r="F32" s="22"/>
      <c r="G32" s="22">
        <f t="shared" si="1"/>
        <v>13.328466574603175</v>
      </c>
      <c r="H32" s="38"/>
      <c r="I32" s="102">
        <v>19</v>
      </c>
      <c r="J32" s="45">
        <v>15</v>
      </c>
      <c r="K32" s="52">
        <v>17.75</v>
      </c>
      <c r="L32" s="23">
        <f t="shared" si="27"/>
        <v>17.041666666666668</v>
      </c>
      <c r="M32" s="112"/>
      <c r="N32" s="112"/>
      <c r="O32" s="46">
        <v>7.5</v>
      </c>
      <c r="P32" s="113">
        <v>5</v>
      </c>
      <c r="Q32" s="35">
        <v>10</v>
      </c>
      <c r="R32" s="22">
        <f t="shared" si="28"/>
        <v>7.5</v>
      </c>
      <c r="S32" s="22">
        <v>16.48</v>
      </c>
      <c r="T32" s="22">
        <v>16.440000000000001</v>
      </c>
      <c r="U32" s="22">
        <f t="shared" si="29"/>
        <v>16.466666666666669</v>
      </c>
      <c r="V32" s="23">
        <f t="shared" si="30"/>
        <v>11.983333333333334</v>
      </c>
      <c r="W32" s="40">
        <v>12.17</v>
      </c>
      <c r="X32" s="41">
        <v>6.17</v>
      </c>
      <c r="Y32" s="23">
        <f t="shared" si="31"/>
        <v>8.17</v>
      </c>
      <c r="Z32" s="39"/>
      <c r="AA32" s="39"/>
      <c r="AB32" s="35">
        <v>15.6</v>
      </c>
      <c r="AC32" s="36">
        <v>10.5</v>
      </c>
      <c r="AD32" s="22">
        <f t="shared" si="32"/>
        <v>12.200000000000001</v>
      </c>
      <c r="AE32" s="22"/>
      <c r="AF32" s="22"/>
      <c r="AG32" s="23">
        <f t="shared" si="33"/>
        <v>10.185</v>
      </c>
      <c r="AH32" s="23"/>
      <c r="AI32" s="23">
        <v>14</v>
      </c>
      <c r="AJ32" s="102">
        <v>16</v>
      </c>
      <c r="AK32" s="23">
        <v>14.2</v>
      </c>
      <c r="AL32" s="23">
        <v>14.3</v>
      </c>
      <c r="AM32" s="23">
        <f t="shared" si="34"/>
        <v>14.266666666666666</v>
      </c>
      <c r="AN32" s="23"/>
      <c r="AO32" s="23"/>
      <c r="AP32" s="23">
        <f t="shared" si="35"/>
        <v>14.633333333333333</v>
      </c>
      <c r="AQ32" s="39"/>
      <c r="AR32" s="35">
        <v>17.5</v>
      </c>
      <c r="AS32" s="36">
        <v>18</v>
      </c>
      <c r="AT32" s="36">
        <v>15</v>
      </c>
      <c r="AU32" s="23">
        <f t="shared" si="36"/>
        <v>16.75</v>
      </c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</row>
    <row r="33" spans="1:71" ht="15.75" customHeight="1" x14ac:dyDescent="0.2">
      <c r="A33" s="53">
        <v>28</v>
      </c>
      <c r="B33" s="82">
        <v>22322413</v>
      </c>
      <c r="C33" s="50">
        <v>11.744813834920636</v>
      </c>
      <c r="D33" s="50"/>
      <c r="E33" s="22">
        <f t="shared" si="26"/>
        <v>15.006250000000001</v>
      </c>
      <c r="F33" s="22"/>
      <c r="G33" s="22">
        <f t="shared" si="1"/>
        <v>13.375531917460318</v>
      </c>
      <c r="H33" s="38"/>
      <c r="I33" s="102">
        <v>19</v>
      </c>
      <c r="J33" s="44">
        <v>17.25</v>
      </c>
      <c r="K33" s="114">
        <v>16.25</v>
      </c>
      <c r="L33" s="23">
        <f t="shared" si="27"/>
        <v>17.041666666666668</v>
      </c>
      <c r="M33" s="24"/>
      <c r="N33" s="24"/>
      <c r="O33" s="44">
        <v>10</v>
      </c>
      <c r="P33" s="28">
        <v>7.5</v>
      </c>
      <c r="Q33" s="46">
        <v>13</v>
      </c>
      <c r="R33" s="22">
        <f t="shared" si="28"/>
        <v>10.166666666666666</v>
      </c>
      <c r="S33" s="22">
        <v>16.11</v>
      </c>
      <c r="T33" s="22">
        <v>16.23</v>
      </c>
      <c r="U33" s="22">
        <f t="shared" si="29"/>
        <v>16.150000000000002</v>
      </c>
      <c r="V33" s="23">
        <f t="shared" si="30"/>
        <v>13.158333333333335</v>
      </c>
      <c r="W33" s="113">
        <v>14.35</v>
      </c>
      <c r="X33" s="115">
        <v>13.5</v>
      </c>
      <c r="Y33" s="23">
        <f t="shared" si="31"/>
        <v>13.783333333333333</v>
      </c>
      <c r="Z33" s="112"/>
      <c r="AA33" s="39"/>
      <c r="AB33" s="46">
        <v>15.8</v>
      </c>
      <c r="AC33" s="45">
        <v>12.3</v>
      </c>
      <c r="AD33" s="22">
        <f t="shared" si="32"/>
        <v>13.466666666666669</v>
      </c>
      <c r="AE33" s="22"/>
      <c r="AF33" s="22"/>
      <c r="AG33" s="23">
        <f t="shared" si="33"/>
        <v>13.625</v>
      </c>
      <c r="AH33" s="23"/>
      <c r="AI33" s="23">
        <v>20</v>
      </c>
      <c r="AJ33" s="102">
        <v>14.5</v>
      </c>
      <c r="AK33" s="23">
        <v>15.8</v>
      </c>
      <c r="AL33" s="23">
        <v>14.7</v>
      </c>
      <c r="AM33" s="23">
        <f t="shared" si="34"/>
        <v>15.066666666666668</v>
      </c>
      <c r="AN33" s="23"/>
      <c r="AO33" s="23"/>
      <c r="AP33" s="23">
        <f t="shared" si="35"/>
        <v>16.158333333333335</v>
      </c>
      <c r="AQ33" s="39"/>
      <c r="AR33" s="35">
        <v>16</v>
      </c>
      <c r="AS33" s="36">
        <v>14.5</v>
      </c>
      <c r="AT33" s="36">
        <v>12</v>
      </c>
      <c r="AU33" s="23">
        <f t="shared" si="36"/>
        <v>13.9375</v>
      </c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</row>
    <row r="34" spans="1:71" ht="15.75" customHeight="1" x14ac:dyDescent="0.2">
      <c r="A34" s="53">
        <v>29</v>
      </c>
      <c r="B34" s="82">
        <v>22322397</v>
      </c>
      <c r="C34" s="50">
        <v>14.122621682539682</v>
      </c>
      <c r="D34" s="50"/>
      <c r="E34" s="22">
        <f t="shared" si="26"/>
        <v>13.056000000000003</v>
      </c>
      <c r="F34" s="22"/>
      <c r="G34" s="22">
        <f t="shared" si="1"/>
        <v>13.589310841269842</v>
      </c>
      <c r="H34" s="38"/>
      <c r="I34" s="102">
        <v>18</v>
      </c>
      <c r="J34" s="36">
        <v>14.5</v>
      </c>
      <c r="K34" s="36">
        <v>12.75</v>
      </c>
      <c r="L34" s="23">
        <f t="shared" si="27"/>
        <v>14.208333333333334</v>
      </c>
      <c r="M34" s="37"/>
      <c r="N34" s="37"/>
      <c r="O34" s="36">
        <v>8.25</v>
      </c>
      <c r="P34" s="40">
        <v>14.75</v>
      </c>
      <c r="Q34" s="44">
        <v>13</v>
      </c>
      <c r="R34" s="22">
        <f t="shared" si="28"/>
        <v>12</v>
      </c>
      <c r="S34" s="22">
        <v>16.48</v>
      </c>
      <c r="T34" s="22">
        <v>16.440000000000001</v>
      </c>
      <c r="U34" s="22">
        <f t="shared" si="29"/>
        <v>16.466666666666669</v>
      </c>
      <c r="V34" s="23">
        <f t="shared" si="30"/>
        <v>14.233333333333334</v>
      </c>
      <c r="W34" s="29">
        <v>10.87</v>
      </c>
      <c r="X34" s="29">
        <v>6.83</v>
      </c>
      <c r="Y34" s="23">
        <f t="shared" si="31"/>
        <v>8.1766666666666676</v>
      </c>
      <c r="Z34" s="24"/>
      <c r="AA34" s="39"/>
      <c r="AB34" s="44">
        <v>12.3</v>
      </c>
      <c r="AC34" s="44">
        <v>8.4</v>
      </c>
      <c r="AD34" s="22">
        <f t="shared" si="32"/>
        <v>9.7000000000000011</v>
      </c>
      <c r="AE34" s="22"/>
      <c r="AF34" s="22"/>
      <c r="AG34" s="23">
        <f t="shared" si="33"/>
        <v>8.9383333333333344</v>
      </c>
      <c r="AH34" s="23"/>
      <c r="AI34" s="23">
        <v>13</v>
      </c>
      <c r="AJ34" s="102">
        <v>17</v>
      </c>
      <c r="AK34" s="23">
        <v>9.1999999999999993</v>
      </c>
      <c r="AL34" s="23">
        <v>10.199999999999999</v>
      </c>
      <c r="AM34" s="23">
        <f t="shared" si="34"/>
        <v>9.8666666666666654</v>
      </c>
      <c r="AN34" s="23"/>
      <c r="AO34" s="23"/>
      <c r="AP34" s="23">
        <f t="shared" si="35"/>
        <v>12.433333333333334</v>
      </c>
      <c r="AQ34" s="24"/>
      <c r="AR34" s="44">
        <v>20</v>
      </c>
      <c r="AS34" s="35">
        <v>19</v>
      </c>
      <c r="AT34" s="36">
        <v>17</v>
      </c>
      <c r="AU34" s="23">
        <f t="shared" si="36"/>
        <v>18.5</v>
      </c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</row>
    <row r="35" spans="1:71" ht="15.75" customHeight="1" x14ac:dyDescent="0.2">
      <c r="A35" s="53">
        <v>30</v>
      </c>
      <c r="B35" s="82">
        <v>22322392</v>
      </c>
      <c r="C35" s="50">
        <v>13.198832000000001</v>
      </c>
      <c r="D35" s="50"/>
      <c r="E35" s="22">
        <f t="shared" si="26"/>
        <v>14.264166666666664</v>
      </c>
      <c r="F35" s="22"/>
      <c r="G35" s="22">
        <f t="shared" si="1"/>
        <v>13.731499333333332</v>
      </c>
      <c r="H35" s="38"/>
      <c r="I35" s="102">
        <v>19</v>
      </c>
      <c r="J35" s="36">
        <v>18.75</v>
      </c>
      <c r="K35" s="36">
        <v>15</v>
      </c>
      <c r="L35" s="23">
        <f t="shared" si="27"/>
        <v>16.916666666666668</v>
      </c>
      <c r="M35" s="37"/>
      <c r="N35" s="37"/>
      <c r="O35" s="36">
        <v>7.25</v>
      </c>
      <c r="P35" s="40">
        <v>15.45</v>
      </c>
      <c r="Q35" s="36">
        <v>7</v>
      </c>
      <c r="R35" s="22">
        <f t="shared" si="28"/>
        <v>9.9</v>
      </c>
      <c r="S35" s="22">
        <v>19.04</v>
      </c>
      <c r="T35" s="22">
        <v>15</v>
      </c>
      <c r="U35" s="22">
        <f t="shared" si="29"/>
        <v>17.693333333333332</v>
      </c>
      <c r="V35" s="23">
        <f t="shared" si="30"/>
        <v>13.796666666666667</v>
      </c>
      <c r="W35" s="41">
        <v>12.18</v>
      </c>
      <c r="X35" s="41">
        <v>10.17</v>
      </c>
      <c r="Y35" s="23">
        <f t="shared" si="31"/>
        <v>10.839999999999998</v>
      </c>
      <c r="Z35" s="37"/>
      <c r="AA35" s="39"/>
      <c r="AB35" s="36">
        <v>14.5</v>
      </c>
      <c r="AC35" s="36">
        <v>9.4</v>
      </c>
      <c r="AD35" s="22">
        <f t="shared" si="32"/>
        <v>11.1</v>
      </c>
      <c r="AE35" s="22"/>
      <c r="AF35" s="22"/>
      <c r="AG35" s="23">
        <f t="shared" si="33"/>
        <v>10.969999999999999</v>
      </c>
      <c r="AH35" s="23"/>
      <c r="AI35" s="23">
        <v>17.5</v>
      </c>
      <c r="AJ35" s="102">
        <v>18.5</v>
      </c>
      <c r="AK35" s="23">
        <v>12.4</v>
      </c>
      <c r="AL35" s="23">
        <v>11.7</v>
      </c>
      <c r="AM35" s="23">
        <f t="shared" si="34"/>
        <v>11.933333333333332</v>
      </c>
      <c r="AN35" s="23"/>
      <c r="AO35" s="23"/>
      <c r="AP35" s="23">
        <f t="shared" si="35"/>
        <v>14.966666666666665</v>
      </c>
      <c r="AQ35" s="37"/>
      <c r="AR35" s="36">
        <v>17</v>
      </c>
      <c r="AS35" s="35">
        <v>13</v>
      </c>
      <c r="AT35" s="36">
        <v>14</v>
      </c>
      <c r="AU35" s="23">
        <f t="shared" si="36"/>
        <v>14.375</v>
      </c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</row>
    <row r="36" spans="1:71" ht="15.75" customHeight="1" x14ac:dyDescent="0.2">
      <c r="A36" s="53">
        <v>31</v>
      </c>
      <c r="B36" s="82">
        <v>22322402</v>
      </c>
      <c r="C36" s="50">
        <v>13.478808158730157</v>
      </c>
      <c r="D36" s="50"/>
      <c r="E36" s="22">
        <f t="shared" si="26"/>
        <v>14.165333333333335</v>
      </c>
      <c r="F36" s="22"/>
      <c r="G36" s="22">
        <f t="shared" si="1"/>
        <v>13.822070746031745</v>
      </c>
      <c r="H36" s="38"/>
      <c r="I36" s="102">
        <v>18</v>
      </c>
      <c r="J36" s="36">
        <v>15.25</v>
      </c>
      <c r="K36" s="36">
        <v>13.5</v>
      </c>
      <c r="L36" s="23">
        <f t="shared" si="27"/>
        <v>14.833333333333334</v>
      </c>
      <c r="M36" s="37"/>
      <c r="N36" s="37"/>
      <c r="O36" s="36">
        <v>15.25</v>
      </c>
      <c r="P36" s="40">
        <v>12.25</v>
      </c>
      <c r="Q36" s="36">
        <v>12</v>
      </c>
      <c r="R36" s="22">
        <f t="shared" si="28"/>
        <v>13.166666666666666</v>
      </c>
      <c r="S36" s="22">
        <v>18.100000000000001</v>
      </c>
      <c r="T36" s="22">
        <v>15.58</v>
      </c>
      <c r="U36" s="22">
        <f t="shared" si="29"/>
        <v>17.260000000000002</v>
      </c>
      <c r="V36" s="23">
        <f t="shared" si="30"/>
        <v>15.213333333333335</v>
      </c>
      <c r="W36" s="41">
        <v>10.87</v>
      </c>
      <c r="X36" s="41">
        <v>6.33</v>
      </c>
      <c r="Y36" s="23">
        <f t="shared" si="31"/>
        <v>7.8433333333333337</v>
      </c>
      <c r="Z36" s="37"/>
      <c r="AA36" s="39"/>
      <c r="AB36" s="36">
        <v>17.5</v>
      </c>
      <c r="AC36" s="36">
        <v>8.6</v>
      </c>
      <c r="AD36" s="22">
        <f t="shared" si="32"/>
        <v>11.566666666666668</v>
      </c>
      <c r="AE36" s="22"/>
      <c r="AF36" s="22"/>
      <c r="AG36" s="23">
        <f t="shared" si="33"/>
        <v>9.7050000000000018</v>
      </c>
      <c r="AH36" s="23"/>
      <c r="AI36" s="23">
        <v>13</v>
      </c>
      <c r="AJ36" s="102">
        <v>15</v>
      </c>
      <c r="AK36" s="23">
        <v>14</v>
      </c>
      <c r="AL36" s="23">
        <v>16.399999999999999</v>
      </c>
      <c r="AM36" s="23">
        <f t="shared" si="34"/>
        <v>15.6</v>
      </c>
      <c r="AN36" s="23"/>
      <c r="AO36" s="23"/>
      <c r="AP36" s="23">
        <f t="shared" si="35"/>
        <v>14.8</v>
      </c>
      <c r="AQ36" s="37"/>
      <c r="AR36" s="36">
        <v>20</v>
      </c>
      <c r="AS36" s="35">
        <v>17</v>
      </c>
      <c r="AT36" s="36">
        <v>17</v>
      </c>
      <c r="AU36" s="23">
        <f t="shared" si="36"/>
        <v>17.75</v>
      </c>
      <c r="AV36" s="116"/>
      <c r="AW36" s="116"/>
      <c r="AX36" s="116"/>
      <c r="AY36" s="116"/>
      <c r="AZ36" s="116"/>
      <c r="BA36" s="116"/>
      <c r="BB36" s="116"/>
      <c r="BC36" s="116"/>
      <c r="BD36" s="116"/>
      <c r="BE36" s="116"/>
      <c r="BF36" s="116"/>
      <c r="BG36" s="116"/>
      <c r="BH36" s="116"/>
      <c r="BI36" s="116"/>
      <c r="BJ36" s="116"/>
      <c r="BK36" s="116"/>
      <c r="BL36" s="116"/>
      <c r="BM36" s="116"/>
      <c r="BN36" s="116"/>
      <c r="BO36" s="116"/>
      <c r="BP36" s="116"/>
      <c r="BQ36" s="116"/>
      <c r="BR36" s="116"/>
      <c r="BS36" s="116"/>
    </row>
    <row r="37" spans="1:71" ht="15.75" customHeight="1" x14ac:dyDescent="0.2">
      <c r="A37" s="53">
        <v>32</v>
      </c>
      <c r="B37" s="82">
        <v>22322408</v>
      </c>
      <c r="C37" s="50">
        <v>13.092471365079366</v>
      </c>
      <c r="D37" s="50"/>
      <c r="E37" s="22">
        <f t="shared" si="26"/>
        <v>15.166666666666666</v>
      </c>
      <c r="F37" s="22"/>
      <c r="G37" s="22">
        <f t="shared" si="1"/>
        <v>14.129569015873017</v>
      </c>
      <c r="H37" s="38"/>
      <c r="I37" s="102">
        <v>15</v>
      </c>
      <c r="J37" s="36">
        <v>8</v>
      </c>
      <c r="K37" s="36">
        <v>14.5</v>
      </c>
      <c r="L37" s="23">
        <f t="shared" si="27"/>
        <v>12.416666666666666</v>
      </c>
      <c r="M37" s="37"/>
      <c r="N37" s="37"/>
      <c r="O37" s="36">
        <v>8.5</v>
      </c>
      <c r="P37" s="40">
        <v>12.25</v>
      </c>
      <c r="Q37" s="36">
        <v>14</v>
      </c>
      <c r="R37" s="22">
        <f t="shared" si="28"/>
        <v>11.583333333333334</v>
      </c>
      <c r="S37" s="22">
        <v>16.63</v>
      </c>
      <c r="T37" s="22">
        <v>16.850000000000001</v>
      </c>
      <c r="U37" s="22">
        <f t="shared" si="29"/>
        <v>16.703333333333333</v>
      </c>
      <c r="V37" s="23">
        <f t="shared" si="30"/>
        <v>14.143333333333334</v>
      </c>
      <c r="W37" s="41">
        <v>13.48</v>
      </c>
      <c r="X37" s="41">
        <v>12.33</v>
      </c>
      <c r="Y37" s="23">
        <f t="shared" si="31"/>
        <v>12.713333333333333</v>
      </c>
      <c r="Z37" s="37"/>
      <c r="AA37" s="39"/>
      <c r="AB37" s="36">
        <v>19.899999999999999</v>
      </c>
      <c r="AC37" s="36">
        <v>10.5</v>
      </c>
      <c r="AD37" s="22">
        <f t="shared" si="32"/>
        <v>13.633333333333333</v>
      </c>
      <c r="AE37" s="22"/>
      <c r="AF37" s="22"/>
      <c r="AG37" s="23">
        <f t="shared" si="33"/>
        <v>13.173333333333332</v>
      </c>
      <c r="AH37" s="37"/>
      <c r="AI37" s="37">
        <v>20</v>
      </c>
      <c r="AJ37" s="102">
        <v>17.5</v>
      </c>
      <c r="AK37" s="39">
        <v>19.100000000000001</v>
      </c>
      <c r="AL37" s="37">
        <v>17.399999999999999</v>
      </c>
      <c r="AM37" s="23">
        <f t="shared" si="34"/>
        <v>17.966666666666665</v>
      </c>
      <c r="AN37" s="23"/>
      <c r="AO37" s="23"/>
      <c r="AP37" s="23">
        <f t="shared" si="35"/>
        <v>18.358333333333334</v>
      </c>
      <c r="AQ37" s="37"/>
      <c r="AR37" s="36">
        <v>17.5</v>
      </c>
      <c r="AS37" s="35">
        <v>18</v>
      </c>
      <c r="AT37" s="36">
        <v>16</v>
      </c>
      <c r="AU37" s="23">
        <f t="shared" si="36"/>
        <v>17.125</v>
      </c>
      <c r="AV37" s="116"/>
      <c r="AW37" s="116"/>
      <c r="AX37" s="116"/>
      <c r="AY37" s="116"/>
      <c r="AZ37" s="116"/>
      <c r="BA37" s="116"/>
      <c r="BB37" s="116"/>
      <c r="BC37" s="116"/>
      <c r="BD37" s="116"/>
      <c r="BE37" s="116"/>
      <c r="BF37" s="116"/>
      <c r="BG37" s="116"/>
      <c r="BH37" s="116"/>
      <c r="BI37" s="116"/>
      <c r="BJ37" s="116"/>
      <c r="BK37" s="116"/>
      <c r="BL37" s="116"/>
      <c r="BM37" s="116"/>
      <c r="BN37" s="116"/>
      <c r="BO37" s="116"/>
      <c r="BP37" s="116"/>
      <c r="BQ37" s="116"/>
      <c r="BR37" s="116"/>
      <c r="BS37" s="116"/>
    </row>
    <row r="38" spans="1:71" ht="15.75" customHeight="1" x14ac:dyDescent="0.2">
      <c r="A38" s="53">
        <v>33</v>
      </c>
      <c r="B38" s="82">
        <v>22322405</v>
      </c>
      <c r="C38" s="50">
        <v>14.152183625396825</v>
      </c>
      <c r="D38" s="50"/>
      <c r="E38" s="22">
        <f t="shared" si="26"/>
        <v>15.300999999999998</v>
      </c>
      <c r="F38" s="22"/>
      <c r="G38" s="22">
        <f t="shared" si="1"/>
        <v>14.726591812698413</v>
      </c>
      <c r="H38" s="38"/>
      <c r="I38" s="102">
        <v>19</v>
      </c>
      <c r="J38" s="36">
        <v>17.25</v>
      </c>
      <c r="K38" s="103">
        <v>17.5</v>
      </c>
      <c r="L38" s="23">
        <f t="shared" si="27"/>
        <v>17.666666666666668</v>
      </c>
      <c r="M38" s="37"/>
      <c r="N38" s="37"/>
      <c r="O38" s="36">
        <v>5.5</v>
      </c>
      <c r="P38" s="40">
        <v>16</v>
      </c>
      <c r="Q38" s="36">
        <v>14</v>
      </c>
      <c r="R38" s="22">
        <f t="shared" si="28"/>
        <v>11.833333333333334</v>
      </c>
      <c r="S38" s="22">
        <v>16.29</v>
      </c>
      <c r="T38" s="22">
        <v>16.440000000000001</v>
      </c>
      <c r="U38" s="22">
        <f t="shared" si="29"/>
        <v>16.34</v>
      </c>
      <c r="V38" s="23">
        <f t="shared" si="30"/>
        <v>14.086666666666666</v>
      </c>
      <c r="W38" s="41">
        <v>16.96</v>
      </c>
      <c r="X38" s="41">
        <v>14.5</v>
      </c>
      <c r="Y38" s="23">
        <f t="shared" si="31"/>
        <v>15.32</v>
      </c>
      <c r="Z38" s="37"/>
      <c r="AA38" s="39"/>
      <c r="AB38" s="36">
        <v>16.899999999999999</v>
      </c>
      <c r="AC38" s="36">
        <v>13.5</v>
      </c>
      <c r="AD38" s="22">
        <f t="shared" si="32"/>
        <v>14.633333333333333</v>
      </c>
      <c r="AE38" s="22"/>
      <c r="AF38" s="22"/>
      <c r="AG38" s="23">
        <f t="shared" si="33"/>
        <v>14.976666666666667</v>
      </c>
      <c r="AH38" s="37"/>
      <c r="AI38" s="37">
        <v>17</v>
      </c>
      <c r="AJ38" s="102">
        <v>11.5</v>
      </c>
      <c r="AK38" s="39">
        <v>16</v>
      </c>
      <c r="AL38" s="37">
        <v>13.8</v>
      </c>
      <c r="AM38" s="23">
        <f t="shared" si="34"/>
        <v>14.533333333333333</v>
      </c>
      <c r="AN38" s="23"/>
      <c r="AO38" s="23"/>
      <c r="AP38" s="23">
        <f t="shared" si="35"/>
        <v>14.391666666666666</v>
      </c>
      <c r="AQ38" s="37"/>
      <c r="AR38" s="36">
        <v>17.5</v>
      </c>
      <c r="AS38" s="35">
        <v>18</v>
      </c>
      <c r="AT38" s="36">
        <v>14</v>
      </c>
      <c r="AU38" s="23">
        <f t="shared" si="36"/>
        <v>16.375</v>
      </c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</row>
    <row r="39" spans="1:71" ht="15.75" customHeight="1" x14ac:dyDescent="0.2">
      <c r="A39" s="53">
        <v>34</v>
      </c>
      <c r="B39" s="85">
        <v>22322379</v>
      </c>
      <c r="C39" s="50">
        <v>14.440514920634921</v>
      </c>
      <c r="D39" s="50"/>
      <c r="E39" s="22">
        <f t="shared" si="26"/>
        <v>16.479916666666668</v>
      </c>
      <c r="F39" s="22"/>
      <c r="G39" s="22">
        <f t="shared" si="1"/>
        <v>15.460215793650795</v>
      </c>
      <c r="H39" s="38"/>
      <c r="I39" s="102">
        <v>20</v>
      </c>
      <c r="J39" s="36">
        <v>20</v>
      </c>
      <c r="K39" s="36">
        <v>16.25</v>
      </c>
      <c r="L39" s="23">
        <f t="shared" si="27"/>
        <v>18.125</v>
      </c>
      <c r="M39" s="39"/>
      <c r="N39" s="39"/>
      <c r="O39" s="35">
        <v>14.5</v>
      </c>
      <c r="P39" s="40">
        <v>15.5</v>
      </c>
      <c r="Q39" s="35">
        <v>16</v>
      </c>
      <c r="R39" s="22">
        <f t="shared" si="28"/>
        <v>15.333333333333334</v>
      </c>
      <c r="S39" s="22">
        <v>16.95</v>
      </c>
      <c r="T39" s="22">
        <v>16.940000000000001</v>
      </c>
      <c r="U39" s="22">
        <f t="shared" si="29"/>
        <v>16.946666666666669</v>
      </c>
      <c r="V39" s="23">
        <f t="shared" si="30"/>
        <v>16.14</v>
      </c>
      <c r="W39" s="40">
        <v>13.26</v>
      </c>
      <c r="X39" s="41">
        <v>11.33</v>
      </c>
      <c r="Y39" s="23">
        <f t="shared" si="31"/>
        <v>11.973333333333334</v>
      </c>
      <c r="Z39" s="39"/>
      <c r="AA39" s="39"/>
      <c r="AB39" s="35">
        <v>15.8</v>
      </c>
      <c r="AC39" s="36">
        <v>14.2</v>
      </c>
      <c r="AD39" s="22">
        <f t="shared" si="32"/>
        <v>14.733333333333334</v>
      </c>
      <c r="AE39" s="22"/>
      <c r="AF39" s="22"/>
      <c r="AG39" s="23">
        <f t="shared" si="33"/>
        <v>13.353333333333335</v>
      </c>
      <c r="AH39" s="37"/>
      <c r="AI39" s="37">
        <v>17</v>
      </c>
      <c r="AJ39" s="102">
        <v>18</v>
      </c>
      <c r="AK39" s="39">
        <v>19.100000000000001</v>
      </c>
      <c r="AL39" s="117">
        <v>16.7</v>
      </c>
      <c r="AM39" s="23">
        <f t="shared" si="34"/>
        <v>17.5</v>
      </c>
      <c r="AN39" s="23"/>
      <c r="AO39" s="23"/>
      <c r="AP39" s="23">
        <f t="shared" si="35"/>
        <v>17.5</v>
      </c>
      <c r="AQ39" s="23"/>
      <c r="AR39" s="26">
        <v>18</v>
      </c>
      <c r="AS39" s="36">
        <v>19</v>
      </c>
      <c r="AT39" s="36">
        <v>14.5</v>
      </c>
      <c r="AU39" s="23">
        <f t="shared" si="36"/>
        <v>17.0625</v>
      </c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</row>
    <row r="40" spans="1:71" ht="15.75" customHeight="1" x14ac:dyDescent="0.2">
      <c r="A40" s="87"/>
      <c r="B40" s="86"/>
      <c r="C40" s="87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</row>
    <row r="41" spans="1:71" ht="15.75" customHeight="1" x14ac:dyDescent="0.2">
      <c r="A41" s="87"/>
      <c r="B41" s="86"/>
      <c r="C41" s="87"/>
      <c r="D41" s="87"/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</row>
    <row r="42" spans="1:71" ht="15.75" customHeight="1" x14ac:dyDescent="0.2">
      <c r="A42" s="87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</row>
    <row r="43" spans="1:71" ht="15.75" customHeight="1" x14ac:dyDescent="0.2">
      <c r="A43" s="87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</row>
    <row r="44" spans="1:71" ht="15.75" customHeight="1" x14ac:dyDescent="0.2">
      <c r="A44" s="87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119"/>
      <c r="U44" s="119"/>
      <c r="V44" s="119"/>
      <c r="W44" s="119"/>
      <c r="X44" s="119"/>
      <c r="Y44" s="119"/>
      <c r="Z44" s="119"/>
      <c r="AA44" s="119"/>
      <c r="AB44" s="119"/>
      <c r="AC44" s="118"/>
      <c r="AD44" s="118"/>
      <c r="AE44" s="118"/>
      <c r="AF44" s="118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</row>
    <row r="45" spans="1:71" ht="15.75" customHeight="1" x14ac:dyDescent="0.2">
      <c r="A45" s="87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120"/>
      <c r="U45" s="120"/>
      <c r="V45" s="120"/>
      <c r="W45" s="120"/>
      <c r="X45" s="120"/>
      <c r="Y45" s="120"/>
      <c r="Z45" s="120"/>
      <c r="AA45" s="120"/>
      <c r="AB45" s="120"/>
      <c r="AC45" s="120"/>
      <c r="AD45" s="120"/>
      <c r="AE45" s="120"/>
      <c r="AF45" s="120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</row>
    <row r="46" spans="1:71" ht="15.75" customHeight="1" x14ac:dyDescent="0.2">
      <c r="A46" s="87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120"/>
      <c r="U46" s="120"/>
      <c r="V46" s="120"/>
      <c r="W46" s="120"/>
      <c r="X46" s="120"/>
      <c r="Y46" s="120"/>
      <c r="Z46" s="120"/>
      <c r="AA46" s="120"/>
      <c r="AB46" s="120"/>
      <c r="AC46" s="120"/>
      <c r="AD46" s="120"/>
      <c r="AE46" s="120"/>
      <c r="AF46" s="120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</row>
    <row r="47" spans="1:71" ht="15.75" customHeight="1" x14ac:dyDescent="0.2">
      <c r="A47" s="87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120"/>
      <c r="U47" s="120"/>
      <c r="V47" s="120"/>
      <c r="W47" s="120"/>
      <c r="X47" s="120"/>
      <c r="Y47" s="120"/>
      <c r="Z47" s="120"/>
      <c r="AA47" s="120"/>
      <c r="AB47" s="120"/>
      <c r="AC47" s="120"/>
      <c r="AD47" s="120"/>
      <c r="AE47" s="120"/>
      <c r="AF47" s="120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</row>
    <row r="48" spans="1:71" ht="15.75" customHeight="1" x14ac:dyDescent="0.2">
      <c r="A48" s="87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120"/>
      <c r="U48" s="120"/>
      <c r="V48" s="120"/>
      <c r="W48" s="120"/>
      <c r="X48" s="120"/>
      <c r="Y48" s="120"/>
      <c r="Z48" s="120"/>
      <c r="AA48" s="120"/>
      <c r="AB48" s="120"/>
      <c r="AC48" s="120"/>
      <c r="AD48" s="120"/>
      <c r="AE48" s="120"/>
      <c r="AF48" s="120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6"/>
      <c r="AU48" s="86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</row>
    <row r="49" spans="1:71" ht="15.75" customHeight="1" x14ac:dyDescent="0.2">
      <c r="A49" s="87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120"/>
      <c r="U49" s="120"/>
      <c r="V49" s="120"/>
      <c r="W49" s="120"/>
      <c r="X49" s="120"/>
      <c r="Y49" s="120"/>
      <c r="Z49" s="120"/>
      <c r="AA49" s="120"/>
      <c r="AB49" s="120"/>
      <c r="AC49" s="120"/>
      <c r="AD49" s="120"/>
      <c r="AE49" s="120"/>
      <c r="AF49" s="120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</row>
    <row r="50" spans="1:71" ht="15.75" customHeight="1" x14ac:dyDescent="0.2">
      <c r="A50" s="87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120"/>
      <c r="U50" s="120"/>
      <c r="V50" s="120"/>
      <c r="W50" s="120"/>
      <c r="X50" s="120"/>
      <c r="Y50" s="120"/>
      <c r="Z50" s="120"/>
      <c r="AA50" s="120"/>
      <c r="AB50" s="120"/>
      <c r="AC50" s="120"/>
      <c r="AD50" s="120"/>
      <c r="AE50" s="120"/>
      <c r="AF50" s="120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</row>
    <row r="51" spans="1:71" ht="15.75" customHeight="1" x14ac:dyDescent="0.2">
      <c r="A51" s="87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20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58"/>
      <c r="AW51" s="58"/>
      <c r="AX51" s="58"/>
      <c r="AY51" s="58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</row>
    <row r="52" spans="1:71" ht="15.75" customHeight="1" x14ac:dyDescent="0.2">
      <c r="A52" s="87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120"/>
      <c r="U52" s="120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20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58"/>
      <c r="AW52" s="58"/>
      <c r="AX52" s="58"/>
      <c r="AY52" s="58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</row>
    <row r="53" spans="1:71" ht="15.75" customHeight="1" x14ac:dyDescent="0.2">
      <c r="A53" s="87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7"/>
      <c r="U53" s="87"/>
      <c r="V53" s="87"/>
      <c r="W53" s="87"/>
      <c r="X53" s="87"/>
      <c r="Y53" s="87"/>
      <c r="Z53" s="87"/>
      <c r="AA53" s="87"/>
      <c r="AB53" s="87"/>
      <c r="AC53" s="88"/>
      <c r="AD53" s="88"/>
      <c r="AE53" s="88"/>
      <c r="AF53" s="88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</row>
    <row r="54" spans="1:71" ht="15.75" customHeight="1" x14ac:dyDescent="0.2">
      <c r="A54" s="87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7"/>
      <c r="U54" s="87"/>
      <c r="V54" s="87"/>
      <c r="W54" s="87"/>
      <c r="X54" s="87"/>
      <c r="Y54" s="87"/>
      <c r="Z54" s="87"/>
      <c r="AA54" s="87"/>
      <c r="AB54" s="87"/>
      <c r="AC54" s="88"/>
      <c r="AD54" s="88"/>
      <c r="AE54" s="88"/>
      <c r="AF54" s="88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58"/>
      <c r="AW54" s="58"/>
      <c r="AX54" s="58"/>
      <c r="AY54" s="58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</row>
    <row r="55" spans="1:71" ht="15.75" customHeight="1" x14ac:dyDescent="0.2">
      <c r="A55" s="87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7"/>
      <c r="U55" s="87"/>
      <c r="V55" s="87"/>
      <c r="W55" s="87"/>
      <c r="X55" s="87"/>
      <c r="Y55" s="87"/>
      <c r="Z55" s="87"/>
      <c r="AA55" s="87"/>
      <c r="AB55" s="87"/>
      <c r="AC55" s="88"/>
      <c r="AD55" s="88"/>
      <c r="AE55" s="88"/>
      <c r="AF55" s="88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</row>
    <row r="56" spans="1:71" ht="15.75" customHeight="1" x14ac:dyDescent="0.2">
      <c r="A56" s="87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7"/>
      <c r="U56" s="87"/>
      <c r="V56" s="87"/>
      <c r="W56" s="87"/>
      <c r="X56" s="87"/>
      <c r="Y56" s="87"/>
      <c r="Z56" s="87"/>
      <c r="AA56" s="87"/>
      <c r="AB56" s="87"/>
      <c r="AC56" s="88"/>
      <c r="AD56" s="88"/>
      <c r="AE56" s="88"/>
      <c r="AF56" s="88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58"/>
      <c r="AW56" s="58"/>
      <c r="AX56" s="58"/>
      <c r="AY56" s="58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</row>
    <row r="57" spans="1:71" ht="15.75" customHeight="1" x14ac:dyDescent="0.2">
      <c r="A57" s="87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7"/>
      <c r="U57" s="87"/>
      <c r="V57" s="87"/>
      <c r="W57" s="87"/>
      <c r="X57" s="87"/>
      <c r="Y57" s="87"/>
      <c r="Z57" s="87"/>
      <c r="AA57" s="87"/>
      <c r="AB57" s="87"/>
      <c r="AC57" s="88"/>
      <c r="AD57" s="88"/>
      <c r="AE57" s="88"/>
      <c r="AF57" s="88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</row>
    <row r="58" spans="1:71" ht="15.75" customHeight="1" x14ac:dyDescent="0.2">
      <c r="A58" s="87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7"/>
      <c r="U58" s="87"/>
      <c r="V58" s="87"/>
      <c r="W58" s="87"/>
      <c r="X58" s="87"/>
      <c r="Y58" s="87"/>
      <c r="Z58" s="87"/>
      <c r="AA58" s="87"/>
      <c r="AB58" s="87"/>
      <c r="AC58" s="88"/>
      <c r="AD58" s="88"/>
      <c r="AE58" s="88"/>
      <c r="AF58" s="88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AU58" s="86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</row>
    <row r="59" spans="1:71" ht="15.75" customHeight="1" x14ac:dyDescent="0.2">
      <c r="A59" s="87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7"/>
      <c r="U59" s="87"/>
      <c r="V59" s="87"/>
      <c r="W59" s="87"/>
      <c r="X59" s="87"/>
      <c r="Y59" s="87"/>
      <c r="Z59" s="87"/>
      <c r="AA59" s="87"/>
      <c r="AB59" s="87"/>
      <c r="AC59" s="88"/>
      <c r="AD59" s="88"/>
      <c r="AE59" s="88"/>
      <c r="AF59" s="88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AU59" s="86"/>
      <c r="AV59" s="58"/>
      <c r="AW59" s="58"/>
      <c r="AX59" s="58"/>
      <c r="AY59" s="58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</row>
    <row r="60" spans="1:71" ht="15.75" customHeight="1" x14ac:dyDescent="0.2">
      <c r="A60" s="87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7"/>
      <c r="U60" s="87"/>
      <c r="V60" s="87"/>
      <c r="W60" s="87"/>
      <c r="X60" s="87"/>
      <c r="Y60" s="87"/>
      <c r="Z60" s="87"/>
      <c r="AA60" s="87"/>
      <c r="AB60" s="87"/>
      <c r="AC60" s="88"/>
      <c r="AD60" s="88"/>
      <c r="AE60" s="88"/>
      <c r="AF60" s="88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58"/>
      <c r="AW60" s="58"/>
      <c r="AX60" s="58"/>
      <c r="AY60" s="58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</row>
    <row r="61" spans="1:71" ht="15.75" customHeight="1" x14ac:dyDescent="0.2">
      <c r="A61" s="87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7"/>
      <c r="U61" s="87"/>
      <c r="V61" s="87"/>
      <c r="W61" s="87"/>
      <c r="X61" s="87"/>
      <c r="Y61" s="87"/>
      <c r="Z61" s="87"/>
      <c r="AA61" s="87"/>
      <c r="AB61" s="87"/>
      <c r="AC61" s="88"/>
      <c r="AD61" s="88"/>
      <c r="AE61" s="88"/>
      <c r="AF61" s="88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58"/>
      <c r="AW61" s="58"/>
      <c r="AX61" s="58"/>
      <c r="AY61" s="58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</row>
    <row r="62" spans="1:71" ht="15.75" customHeight="1" x14ac:dyDescent="0.2">
      <c r="A62" s="87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7"/>
      <c r="U62" s="87"/>
      <c r="V62" s="87"/>
      <c r="W62" s="87"/>
      <c r="X62" s="87"/>
      <c r="Y62" s="87"/>
      <c r="Z62" s="87"/>
      <c r="AA62" s="87"/>
      <c r="AB62" s="87"/>
      <c r="AC62" s="88"/>
      <c r="AD62" s="88"/>
      <c r="AE62" s="88"/>
      <c r="AF62" s="88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</row>
    <row r="63" spans="1:71" ht="15.75" customHeight="1" x14ac:dyDescent="0.2">
      <c r="A63" s="87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7"/>
      <c r="U63" s="87"/>
      <c r="V63" s="87"/>
      <c r="W63" s="87"/>
      <c r="X63" s="87"/>
      <c r="Y63" s="87"/>
      <c r="Z63" s="87"/>
      <c r="AA63" s="87"/>
      <c r="AB63" s="87"/>
      <c r="AC63" s="88"/>
      <c r="AD63" s="88"/>
      <c r="AE63" s="88"/>
      <c r="AF63" s="88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</row>
    <row r="64" spans="1:71" ht="15.75" customHeight="1" x14ac:dyDescent="0.2">
      <c r="A64" s="87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7"/>
      <c r="U64" s="87"/>
      <c r="V64" s="87"/>
      <c r="W64" s="87"/>
      <c r="X64" s="87"/>
      <c r="Y64" s="87"/>
      <c r="Z64" s="87"/>
      <c r="AA64" s="87"/>
      <c r="AB64" s="87"/>
      <c r="AC64" s="88"/>
      <c r="AD64" s="88"/>
      <c r="AE64" s="88"/>
      <c r="AF64" s="88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</row>
    <row r="65" spans="1:71" ht="15.75" customHeight="1" x14ac:dyDescent="0.2">
      <c r="A65" s="87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7"/>
      <c r="U65" s="87"/>
      <c r="V65" s="87"/>
      <c r="W65" s="87"/>
      <c r="X65" s="87"/>
      <c r="Y65" s="87"/>
      <c r="Z65" s="87"/>
      <c r="AA65" s="87"/>
      <c r="AB65" s="87"/>
      <c r="AC65" s="88"/>
      <c r="AD65" s="88"/>
      <c r="AE65" s="88"/>
      <c r="AF65" s="88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</row>
    <row r="66" spans="1:71" ht="15.75" customHeight="1" x14ac:dyDescent="0.2">
      <c r="A66" s="87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7"/>
      <c r="U66" s="87"/>
      <c r="V66" s="87"/>
      <c r="W66" s="87"/>
      <c r="X66" s="87"/>
      <c r="Y66" s="87"/>
      <c r="Z66" s="87"/>
      <c r="AA66" s="87"/>
      <c r="AB66" s="87"/>
      <c r="AC66" s="88"/>
      <c r="AD66" s="88"/>
      <c r="AE66" s="88"/>
      <c r="AF66" s="88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</row>
    <row r="67" spans="1:71" ht="15.75" customHeight="1" x14ac:dyDescent="0.2">
      <c r="A67" s="87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7"/>
      <c r="U67" s="87"/>
      <c r="V67" s="87"/>
      <c r="W67" s="87"/>
      <c r="X67" s="87"/>
      <c r="Y67" s="87"/>
      <c r="Z67" s="87"/>
      <c r="AA67" s="87"/>
      <c r="AB67" s="87"/>
      <c r="AC67" s="88"/>
      <c r="AD67" s="88"/>
      <c r="AE67" s="88"/>
      <c r="AF67" s="88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58"/>
      <c r="AW67" s="58"/>
      <c r="AX67" s="58"/>
      <c r="AY67" s="58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</row>
    <row r="68" spans="1:71" ht="15.75" customHeight="1" x14ac:dyDescent="0.2">
      <c r="A68" s="87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7"/>
      <c r="U68" s="87"/>
      <c r="V68" s="87"/>
      <c r="W68" s="87"/>
      <c r="X68" s="87"/>
      <c r="Y68" s="87"/>
      <c r="Z68" s="87"/>
      <c r="AA68" s="87"/>
      <c r="AB68" s="87"/>
      <c r="AC68" s="88"/>
      <c r="AD68" s="88"/>
      <c r="AE68" s="88"/>
      <c r="AF68" s="88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AU68" s="86"/>
      <c r="AV68" s="58"/>
      <c r="AW68" s="58"/>
      <c r="AX68" s="58"/>
      <c r="AY68" s="58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</row>
    <row r="69" spans="1:71" ht="15.75" customHeight="1" x14ac:dyDescent="0.2">
      <c r="A69" s="87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7"/>
      <c r="U69" s="87"/>
      <c r="V69" s="87"/>
      <c r="W69" s="87"/>
      <c r="X69" s="87"/>
      <c r="Y69" s="87"/>
      <c r="Z69" s="87"/>
      <c r="AA69" s="87"/>
      <c r="AB69" s="87"/>
      <c r="AC69" s="88"/>
      <c r="AD69" s="88"/>
      <c r="AE69" s="88"/>
      <c r="AF69" s="88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58"/>
      <c r="AW69" s="58"/>
      <c r="AX69" s="58"/>
      <c r="AY69" s="58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</row>
    <row r="70" spans="1:71" ht="15.75" customHeight="1" x14ac:dyDescent="0.2">
      <c r="A70" s="87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7"/>
      <c r="U70" s="87"/>
      <c r="V70" s="87"/>
      <c r="W70" s="87"/>
      <c r="X70" s="87"/>
      <c r="Y70" s="87"/>
      <c r="Z70" s="87"/>
      <c r="AA70" s="87"/>
      <c r="AB70" s="87"/>
      <c r="AC70" s="88"/>
      <c r="AD70" s="88"/>
      <c r="AE70" s="88"/>
      <c r="AF70" s="88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58"/>
      <c r="AW70" s="58"/>
      <c r="AX70" s="58"/>
      <c r="AY70" s="58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</row>
    <row r="71" spans="1:71" ht="15.75" customHeight="1" x14ac:dyDescent="0.2">
      <c r="A71" s="87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7"/>
      <c r="U71" s="87"/>
      <c r="V71" s="87"/>
      <c r="W71" s="87"/>
      <c r="X71" s="87"/>
      <c r="Y71" s="87"/>
      <c r="Z71" s="87"/>
      <c r="AA71" s="87"/>
      <c r="AB71" s="87"/>
      <c r="AC71" s="88"/>
      <c r="AD71" s="88"/>
      <c r="AE71" s="88"/>
      <c r="AF71" s="88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58"/>
      <c r="AW71" s="58"/>
      <c r="AX71" s="58"/>
      <c r="AY71" s="58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</row>
    <row r="72" spans="1:71" ht="15.75" customHeight="1" x14ac:dyDescent="0.2">
      <c r="A72" s="87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7"/>
      <c r="U72" s="87"/>
      <c r="V72" s="87"/>
      <c r="W72" s="87"/>
      <c r="X72" s="87"/>
      <c r="Y72" s="87"/>
      <c r="Z72" s="87"/>
      <c r="AA72" s="87"/>
      <c r="AB72" s="87"/>
      <c r="AC72" s="88"/>
      <c r="AD72" s="88"/>
      <c r="AE72" s="88"/>
      <c r="AF72" s="88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58"/>
      <c r="AW72" s="58"/>
      <c r="AX72" s="58"/>
      <c r="AY72" s="58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</row>
    <row r="73" spans="1:71" ht="15.75" customHeight="1" x14ac:dyDescent="0.2">
      <c r="A73" s="87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7"/>
      <c r="U73" s="87"/>
      <c r="V73" s="87"/>
      <c r="W73" s="87"/>
      <c r="X73" s="87"/>
      <c r="Y73" s="87"/>
      <c r="Z73" s="87"/>
      <c r="AA73" s="87"/>
      <c r="AB73" s="87"/>
      <c r="AC73" s="88"/>
      <c r="AD73" s="88"/>
      <c r="AE73" s="88"/>
      <c r="AF73" s="88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58"/>
      <c r="AW73" s="58"/>
      <c r="AX73" s="58"/>
      <c r="AY73" s="58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</row>
    <row r="74" spans="1:71" ht="15.75" customHeight="1" x14ac:dyDescent="0.2">
      <c r="A74" s="87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7"/>
      <c r="U74" s="87"/>
      <c r="V74" s="87"/>
      <c r="W74" s="87"/>
      <c r="X74" s="87"/>
      <c r="Y74" s="87"/>
      <c r="Z74" s="87"/>
      <c r="AA74" s="87"/>
      <c r="AB74" s="87"/>
      <c r="AC74" s="88"/>
      <c r="AD74" s="88"/>
      <c r="AE74" s="88"/>
      <c r="AF74" s="88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58"/>
      <c r="AW74" s="58"/>
      <c r="AX74" s="58"/>
      <c r="AY74" s="58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</row>
    <row r="75" spans="1:71" ht="15.75" customHeight="1" x14ac:dyDescent="0.2">
      <c r="A75" s="87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7"/>
      <c r="U75" s="87"/>
      <c r="V75" s="87"/>
      <c r="W75" s="87"/>
      <c r="X75" s="87"/>
      <c r="Y75" s="87"/>
      <c r="Z75" s="87"/>
      <c r="AA75" s="87"/>
      <c r="AB75" s="87"/>
      <c r="AC75" s="88"/>
      <c r="AD75" s="88"/>
      <c r="AE75" s="88"/>
      <c r="AF75" s="88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</row>
    <row r="76" spans="1:71" ht="15.75" customHeight="1" x14ac:dyDescent="0.2">
      <c r="A76" s="87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7"/>
      <c r="U76" s="87"/>
      <c r="V76" s="87"/>
      <c r="W76" s="87"/>
      <c r="X76" s="87"/>
      <c r="Y76" s="87"/>
      <c r="Z76" s="87"/>
      <c r="AA76" s="87"/>
      <c r="AB76" s="87"/>
      <c r="AC76" s="88"/>
      <c r="AD76" s="88"/>
      <c r="AE76" s="88"/>
      <c r="AF76" s="88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AU76" s="86"/>
      <c r="AV76" s="58"/>
      <c r="AW76" s="58"/>
      <c r="AX76" s="58"/>
      <c r="AY76" s="58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</row>
    <row r="77" spans="1:71" ht="15.75" customHeight="1" x14ac:dyDescent="0.2">
      <c r="A77" s="87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7"/>
      <c r="U77" s="87"/>
      <c r="V77" s="87"/>
      <c r="W77" s="87"/>
      <c r="X77" s="87"/>
      <c r="Y77" s="87"/>
      <c r="Z77" s="87"/>
      <c r="AA77" s="87"/>
      <c r="AB77" s="87"/>
      <c r="AC77" s="88"/>
      <c r="AD77" s="88"/>
      <c r="AE77" s="88"/>
      <c r="AF77" s="88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58"/>
      <c r="AW77" s="58"/>
      <c r="AX77" s="58"/>
      <c r="AY77" s="58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</row>
    <row r="78" spans="1:71" ht="15.75" customHeight="1" x14ac:dyDescent="0.2">
      <c r="A78" s="87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7"/>
      <c r="U78" s="87"/>
      <c r="V78" s="87"/>
      <c r="W78" s="87"/>
      <c r="X78" s="87"/>
      <c r="Y78" s="87"/>
      <c r="Z78" s="87"/>
      <c r="AA78" s="87"/>
      <c r="AB78" s="87"/>
      <c r="AC78" s="88"/>
      <c r="AD78" s="88"/>
      <c r="AE78" s="88"/>
      <c r="AF78" s="88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58"/>
      <c r="AW78" s="58"/>
      <c r="AX78" s="58"/>
      <c r="AY78" s="58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</row>
    <row r="79" spans="1:71" ht="15.75" customHeight="1" x14ac:dyDescent="0.2">
      <c r="A79" s="87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7"/>
      <c r="U79" s="87"/>
      <c r="V79" s="87"/>
      <c r="W79" s="87"/>
      <c r="X79" s="87"/>
      <c r="Y79" s="87"/>
      <c r="Z79" s="87"/>
      <c r="AA79" s="87"/>
      <c r="AB79" s="87"/>
      <c r="AC79" s="88"/>
      <c r="AD79" s="88"/>
      <c r="AE79" s="88"/>
      <c r="AF79" s="88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58"/>
      <c r="AW79" s="58"/>
      <c r="AX79" s="58"/>
      <c r="AY79" s="58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</row>
    <row r="80" spans="1:71" ht="15.75" customHeight="1" x14ac:dyDescent="0.2">
      <c r="A80" s="87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7"/>
      <c r="U80" s="87"/>
      <c r="V80" s="87"/>
      <c r="W80" s="87"/>
      <c r="X80" s="87"/>
      <c r="Y80" s="87"/>
      <c r="Z80" s="87"/>
      <c r="AA80" s="87"/>
      <c r="AB80" s="87"/>
      <c r="AC80" s="88"/>
      <c r="AD80" s="88"/>
      <c r="AE80" s="88"/>
      <c r="AF80" s="88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</row>
    <row r="81" spans="1:71" ht="15.75" customHeight="1" x14ac:dyDescent="0.2">
      <c r="A81" s="87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7"/>
      <c r="U81" s="87"/>
      <c r="V81" s="87"/>
      <c r="W81" s="87"/>
      <c r="X81" s="87"/>
      <c r="Y81" s="87"/>
      <c r="Z81" s="87"/>
      <c r="AA81" s="87"/>
      <c r="AB81" s="87"/>
      <c r="AC81" s="88"/>
      <c r="AD81" s="88"/>
      <c r="AE81" s="88"/>
      <c r="AF81" s="88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58"/>
      <c r="AW81" s="58"/>
      <c r="AX81" s="58"/>
      <c r="AY81" s="58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</row>
    <row r="82" spans="1:71" ht="15.75" customHeight="1" x14ac:dyDescent="0.2">
      <c r="A82" s="87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7"/>
      <c r="U82" s="87"/>
      <c r="V82" s="87"/>
      <c r="W82" s="87"/>
      <c r="X82" s="87"/>
      <c r="Y82" s="87"/>
      <c r="Z82" s="87"/>
      <c r="AA82" s="87"/>
      <c r="AB82" s="87"/>
      <c r="AC82" s="88"/>
      <c r="AD82" s="88"/>
      <c r="AE82" s="88"/>
      <c r="AF82" s="88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58"/>
      <c r="AW82" s="58"/>
      <c r="AX82" s="58"/>
      <c r="AY82" s="58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</row>
    <row r="83" spans="1:71" ht="15.75" customHeight="1" x14ac:dyDescent="0.2">
      <c r="A83" s="87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7"/>
      <c r="U83" s="87"/>
      <c r="V83" s="87"/>
      <c r="W83" s="87"/>
      <c r="X83" s="87"/>
      <c r="Y83" s="87"/>
      <c r="Z83" s="87"/>
      <c r="AA83" s="87"/>
      <c r="AB83" s="87"/>
      <c r="AC83" s="88"/>
      <c r="AD83" s="88"/>
      <c r="AE83" s="88"/>
      <c r="AF83" s="88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58"/>
      <c r="AW83" s="58"/>
      <c r="AX83" s="58"/>
      <c r="AY83" s="58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</row>
    <row r="84" spans="1:71" ht="15.75" customHeight="1" x14ac:dyDescent="0.2">
      <c r="A84" s="87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7"/>
      <c r="U84" s="87"/>
      <c r="V84" s="87"/>
      <c r="W84" s="87"/>
      <c r="X84" s="87"/>
      <c r="Y84" s="87"/>
      <c r="Z84" s="87"/>
      <c r="AA84" s="87"/>
      <c r="AB84" s="87"/>
      <c r="AC84" s="88"/>
      <c r="AD84" s="88"/>
      <c r="AE84" s="88"/>
      <c r="AF84" s="88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58"/>
      <c r="AW84" s="58"/>
      <c r="AX84" s="58"/>
      <c r="AY84" s="58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</row>
    <row r="85" spans="1:71" ht="15.75" customHeight="1" x14ac:dyDescent="0.2">
      <c r="A85" s="87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7"/>
      <c r="U85" s="87"/>
      <c r="V85" s="87"/>
      <c r="W85" s="87"/>
      <c r="X85" s="87"/>
      <c r="Y85" s="87"/>
      <c r="Z85" s="87"/>
      <c r="AA85" s="87"/>
      <c r="AB85" s="87"/>
      <c r="AC85" s="88"/>
      <c r="AD85" s="88"/>
      <c r="AE85" s="88"/>
      <c r="AF85" s="88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58"/>
      <c r="AW85" s="58"/>
      <c r="AX85" s="58"/>
      <c r="AY85" s="58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</row>
    <row r="86" spans="1:71" ht="15.75" customHeight="1" x14ac:dyDescent="0.2">
      <c r="A86" s="87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7"/>
      <c r="U86" s="87"/>
      <c r="V86" s="87"/>
      <c r="W86" s="87"/>
      <c r="X86" s="87"/>
      <c r="Y86" s="87"/>
      <c r="Z86" s="87"/>
      <c r="AA86" s="87"/>
      <c r="AB86" s="87"/>
      <c r="AC86" s="88"/>
      <c r="AD86" s="88"/>
      <c r="AE86" s="88"/>
      <c r="AF86" s="88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58"/>
      <c r="AW86" s="58"/>
      <c r="AX86" s="58"/>
      <c r="AY86" s="58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</row>
    <row r="87" spans="1:71" ht="15.75" customHeight="1" x14ac:dyDescent="0.2">
      <c r="A87" s="87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7"/>
      <c r="U87" s="87"/>
      <c r="V87" s="87"/>
      <c r="W87" s="87"/>
      <c r="X87" s="87"/>
      <c r="Y87" s="87"/>
      <c r="Z87" s="87"/>
      <c r="AA87" s="87"/>
      <c r="AB87" s="87"/>
      <c r="AC87" s="88"/>
      <c r="AD87" s="88"/>
      <c r="AE87" s="88"/>
      <c r="AF87" s="88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58"/>
      <c r="AW87" s="58"/>
      <c r="AX87" s="58"/>
      <c r="AY87" s="58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</row>
    <row r="88" spans="1:71" ht="15.75" customHeight="1" x14ac:dyDescent="0.2">
      <c r="A88" s="87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7"/>
      <c r="U88" s="87"/>
      <c r="V88" s="87"/>
      <c r="W88" s="87"/>
      <c r="X88" s="87"/>
      <c r="Y88" s="87"/>
      <c r="Z88" s="87"/>
      <c r="AA88" s="87"/>
      <c r="AB88" s="87"/>
      <c r="AC88" s="88"/>
      <c r="AD88" s="88"/>
      <c r="AE88" s="88"/>
      <c r="AF88" s="88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58"/>
      <c r="AW88" s="58"/>
      <c r="AX88" s="58"/>
      <c r="AY88" s="58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</row>
    <row r="89" spans="1:71" ht="15.75" customHeight="1" x14ac:dyDescent="0.2">
      <c r="A89" s="87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7"/>
      <c r="U89" s="87"/>
      <c r="V89" s="87"/>
      <c r="W89" s="87"/>
      <c r="X89" s="87"/>
      <c r="Y89" s="87"/>
      <c r="Z89" s="87"/>
      <c r="AA89" s="87"/>
      <c r="AB89" s="87"/>
      <c r="AC89" s="88"/>
      <c r="AD89" s="88"/>
      <c r="AE89" s="88"/>
      <c r="AF89" s="88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58"/>
      <c r="AW89" s="58"/>
      <c r="AX89" s="58"/>
      <c r="AY89" s="58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</row>
    <row r="90" spans="1:71" ht="15.75" customHeight="1" x14ac:dyDescent="0.2">
      <c r="A90" s="87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7"/>
      <c r="U90" s="87"/>
      <c r="V90" s="87"/>
      <c r="W90" s="87"/>
      <c r="X90" s="87"/>
      <c r="Y90" s="87"/>
      <c r="Z90" s="87"/>
      <c r="AA90" s="87"/>
      <c r="AB90" s="87"/>
      <c r="AC90" s="88"/>
      <c r="AD90" s="88"/>
      <c r="AE90" s="88"/>
      <c r="AF90" s="88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AU90" s="86"/>
      <c r="AV90" s="58"/>
      <c r="AW90" s="58"/>
      <c r="AX90" s="58"/>
      <c r="AY90" s="58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</row>
    <row r="91" spans="1:71" ht="15.75" customHeight="1" x14ac:dyDescent="0.2">
      <c r="A91" s="87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7"/>
      <c r="U91" s="87"/>
      <c r="V91" s="87"/>
      <c r="W91" s="87"/>
      <c r="X91" s="87"/>
      <c r="Y91" s="87"/>
      <c r="Z91" s="87"/>
      <c r="AA91" s="87"/>
      <c r="AB91" s="87"/>
      <c r="AC91" s="88"/>
      <c r="AD91" s="88"/>
      <c r="AE91" s="88"/>
      <c r="AF91" s="88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AU91" s="86"/>
      <c r="AV91" s="58"/>
      <c r="AW91" s="58"/>
      <c r="AX91" s="58"/>
      <c r="AY91" s="58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</row>
    <row r="92" spans="1:71" ht="15.75" customHeight="1" x14ac:dyDescent="0.2">
      <c r="A92" s="87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7"/>
      <c r="U92" s="87"/>
      <c r="V92" s="87"/>
      <c r="W92" s="87"/>
      <c r="X92" s="87"/>
      <c r="Y92" s="87"/>
      <c r="Z92" s="87"/>
      <c r="AA92" s="87"/>
      <c r="AB92" s="87"/>
      <c r="AC92" s="88"/>
      <c r="AD92" s="88"/>
      <c r="AE92" s="88"/>
      <c r="AF92" s="88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AU92" s="86"/>
      <c r="AV92" s="58"/>
      <c r="AW92" s="58"/>
      <c r="AX92" s="58"/>
      <c r="AY92" s="58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</row>
    <row r="93" spans="1:71" ht="15.75" customHeight="1" x14ac:dyDescent="0.2">
      <c r="A93" s="87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7"/>
      <c r="U93" s="87"/>
      <c r="V93" s="87"/>
      <c r="W93" s="87"/>
      <c r="X93" s="87"/>
      <c r="Y93" s="87"/>
      <c r="Z93" s="87"/>
      <c r="AA93" s="87"/>
      <c r="AB93" s="87"/>
      <c r="AC93" s="88"/>
      <c r="AD93" s="88"/>
      <c r="AE93" s="88"/>
      <c r="AF93" s="88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AU93" s="86"/>
      <c r="AV93" s="58"/>
      <c r="AW93" s="58"/>
      <c r="AX93" s="58"/>
      <c r="AY93" s="58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</row>
    <row r="94" spans="1:71" ht="15.75" customHeight="1" x14ac:dyDescent="0.2">
      <c r="A94" s="87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7"/>
      <c r="U94" s="87"/>
      <c r="V94" s="87"/>
      <c r="W94" s="87"/>
      <c r="X94" s="87"/>
      <c r="Y94" s="87"/>
      <c r="Z94" s="87"/>
      <c r="AA94" s="87"/>
      <c r="AB94" s="87"/>
      <c r="AC94" s="88"/>
      <c r="AD94" s="88"/>
      <c r="AE94" s="88"/>
      <c r="AF94" s="88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AU94" s="86"/>
      <c r="AV94" s="58"/>
      <c r="AW94" s="58"/>
      <c r="AX94" s="58"/>
      <c r="AY94" s="58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</row>
    <row r="95" spans="1:71" ht="15.75" customHeight="1" x14ac:dyDescent="0.2">
      <c r="A95" s="87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7"/>
      <c r="U95" s="87"/>
      <c r="V95" s="87"/>
      <c r="W95" s="87"/>
      <c r="X95" s="87"/>
      <c r="Y95" s="87"/>
      <c r="Z95" s="87"/>
      <c r="AA95" s="87"/>
      <c r="AB95" s="87"/>
      <c r="AC95" s="88"/>
      <c r="AD95" s="88"/>
      <c r="AE95" s="88"/>
      <c r="AF95" s="88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AU95" s="86"/>
      <c r="AV95" s="58"/>
      <c r="AW95" s="58"/>
      <c r="AX95" s="58"/>
      <c r="AY95" s="58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</row>
    <row r="96" spans="1:71" ht="15.75" customHeight="1" x14ac:dyDescent="0.2">
      <c r="A96" s="87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7"/>
      <c r="U96" s="87"/>
      <c r="V96" s="87"/>
      <c r="W96" s="87"/>
      <c r="X96" s="87"/>
      <c r="Y96" s="87"/>
      <c r="Z96" s="87"/>
      <c r="AA96" s="87"/>
      <c r="AB96" s="87"/>
      <c r="AC96" s="88"/>
      <c r="AD96" s="88"/>
      <c r="AE96" s="88"/>
      <c r="AF96" s="88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AU96" s="86"/>
      <c r="AV96" s="58"/>
      <c r="AW96" s="58"/>
      <c r="AX96" s="58"/>
      <c r="AY96" s="58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</row>
    <row r="97" spans="1:71" ht="15.75" customHeight="1" x14ac:dyDescent="0.2">
      <c r="A97" s="87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7"/>
      <c r="U97" s="87"/>
      <c r="V97" s="87"/>
      <c r="W97" s="87"/>
      <c r="X97" s="87"/>
      <c r="Y97" s="87"/>
      <c r="Z97" s="87"/>
      <c r="AA97" s="87"/>
      <c r="AB97" s="87"/>
      <c r="AC97" s="88"/>
      <c r="AD97" s="88"/>
      <c r="AE97" s="88"/>
      <c r="AF97" s="88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AU97" s="86"/>
      <c r="AV97" s="58"/>
      <c r="AW97" s="58"/>
      <c r="AX97" s="58"/>
      <c r="AY97" s="58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</row>
    <row r="98" spans="1:71" ht="15.75" customHeight="1" x14ac:dyDescent="0.2">
      <c r="A98" s="87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7"/>
      <c r="U98" s="87"/>
      <c r="V98" s="87"/>
      <c r="W98" s="87"/>
      <c r="X98" s="87"/>
      <c r="Y98" s="87"/>
      <c r="Z98" s="87"/>
      <c r="AA98" s="87"/>
      <c r="AB98" s="87"/>
      <c r="AC98" s="88"/>
      <c r="AD98" s="88"/>
      <c r="AE98" s="88"/>
      <c r="AF98" s="88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AU98" s="86"/>
      <c r="AV98" s="58"/>
      <c r="AW98" s="58"/>
      <c r="AX98" s="58"/>
      <c r="AY98" s="58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</row>
    <row r="99" spans="1:71" ht="15.75" customHeight="1" x14ac:dyDescent="0.2">
      <c r="A99" s="87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7"/>
      <c r="U99" s="87"/>
      <c r="V99" s="87"/>
      <c r="W99" s="87"/>
      <c r="X99" s="87"/>
      <c r="Y99" s="87"/>
      <c r="Z99" s="87"/>
      <c r="AA99" s="87"/>
      <c r="AB99" s="87"/>
      <c r="AC99" s="88"/>
      <c r="AD99" s="88"/>
      <c r="AE99" s="88"/>
      <c r="AF99" s="88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AU99" s="86"/>
      <c r="AV99" s="58"/>
      <c r="AW99" s="58"/>
      <c r="AX99" s="58"/>
      <c r="AY99" s="58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</row>
    <row r="100" spans="1:71" ht="15.75" customHeight="1" x14ac:dyDescent="0.2">
      <c r="A100" s="87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7"/>
      <c r="U100" s="87"/>
      <c r="V100" s="87"/>
      <c r="W100" s="87"/>
      <c r="X100" s="87"/>
      <c r="Y100" s="87"/>
      <c r="Z100" s="87"/>
      <c r="AA100" s="87"/>
      <c r="AB100" s="87"/>
      <c r="AC100" s="88"/>
      <c r="AD100" s="88"/>
      <c r="AE100" s="88"/>
      <c r="AF100" s="88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AU100" s="86"/>
      <c r="AV100" s="58"/>
      <c r="AW100" s="58"/>
      <c r="AX100" s="58"/>
      <c r="AY100" s="58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</row>
    <row r="101" spans="1:71" ht="15.75" customHeight="1" x14ac:dyDescent="0.2">
      <c r="A101" s="87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7"/>
      <c r="U101" s="87"/>
      <c r="V101" s="87"/>
      <c r="W101" s="87"/>
      <c r="X101" s="87"/>
      <c r="Y101" s="87"/>
      <c r="Z101" s="87"/>
      <c r="AA101" s="87"/>
      <c r="AB101" s="87"/>
      <c r="AC101" s="88"/>
      <c r="AD101" s="88"/>
      <c r="AE101" s="88"/>
      <c r="AF101" s="88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AU101" s="86"/>
      <c r="AV101" s="58"/>
      <c r="AW101" s="58"/>
      <c r="AX101" s="58"/>
      <c r="AY101" s="58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</row>
    <row r="102" spans="1:71" ht="15.75" customHeight="1" x14ac:dyDescent="0.2">
      <c r="A102" s="87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7"/>
      <c r="U102" s="87"/>
      <c r="V102" s="87"/>
      <c r="W102" s="87"/>
      <c r="X102" s="87"/>
      <c r="Y102" s="87"/>
      <c r="Z102" s="87"/>
      <c r="AA102" s="87"/>
      <c r="AB102" s="87"/>
      <c r="AC102" s="88"/>
      <c r="AD102" s="88"/>
      <c r="AE102" s="88"/>
      <c r="AF102" s="88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AU102" s="86"/>
      <c r="AV102" s="58"/>
      <c r="AW102" s="58"/>
      <c r="AX102" s="58"/>
      <c r="AY102" s="58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</row>
    <row r="103" spans="1:71" ht="15.75" customHeight="1" x14ac:dyDescent="0.2">
      <c r="A103" s="87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7"/>
      <c r="U103" s="87"/>
      <c r="V103" s="87"/>
      <c r="W103" s="87"/>
      <c r="X103" s="87"/>
      <c r="Y103" s="87"/>
      <c r="Z103" s="87"/>
      <c r="AA103" s="87"/>
      <c r="AB103" s="87"/>
      <c r="AC103" s="88"/>
      <c r="AD103" s="88"/>
      <c r="AE103" s="88"/>
      <c r="AF103" s="88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AU103" s="86"/>
      <c r="AV103" s="58"/>
      <c r="AW103" s="58"/>
      <c r="AX103" s="58"/>
      <c r="AY103" s="58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</row>
    <row r="104" spans="1:71" ht="15.75" customHeight="1" x14ac:dyDescent="0.2">
      <c r="A104" s="87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7"/>
      <c r="U104" s="87"/>
      <c r="V104" s="87"/>
      <c r="W104" s="87"/>
      <c r="X104" s="87"/>
      <c r="Y104" s="87"/>
      <c r="Z104" s="87"/>
      <c r="AA104" s="87"/>
      <c r="AB104" s="87"/>
      <c r="AC104" s="88"/>
      <c r="AD104" s="88"/>
      <c r="AE104" s="88"/>
      <c r="AF104" s="88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AU104" s="86"/>
      <c r="AV104" s="58"/>
      <c r="AW104" s="58"/>
      <c r="AX104" s="58"/>
      <c r="AY104" s="58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</row>
    <row r="105" spans="1:71" ht="15.75" customHeight="1" x14ac:dyDescent="0.2">
      <c r="A105" s="87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7"/>
      <c r="U105" s="87"/>
      <c r="V105" s="87"/>
      <c r="W105" s="87"/>
      <c r="X105" s="87"/>
      <c r="Y105" s="87"/>
      <c r="Z105" s="87"/>
      <c r="AA105" s="87"/>
      <c r="AB105" s="87"/>
      <c r="AC105" s="88"/>
      <c r="AD105" s="88"/>
      <c r="AE105" s="88"/>
      <c r="AF105" s="88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AU105" s="86"/>
      <c r="AV105" s="58"/>
      <c r="AW105" s="58"/>
      <c r="AX105" s="58"/>
      <c r="AY105" s="58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</row>
    <row r="106" spans="1:71" ht="15.75" customHeight="1" x14ac:dyDescent="0.2">
      <c r="A106" s="87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7"/>
      <c r="U106" s="87"/>
      <c r="V106" s="87"/>
      <c r="W106" s="87"/>
      <c r="X106" s="87"/>
      <c r="Y106" s="87"/>
      <c r="Z106" s="87"/>
      <c r="AA106" s="87"/>
      <c r="AB106" s="87"/>
      <c r="AC106" s="88"/>
      <c r="AD106" s="88"/>
      <c r="AE106" s="88"/>
      <c r="AF106" s="88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AU106" s="86"/>
      <c r="AV106" s="58"/>
      <c r="AW106" s="58"/>
      <c r="AX106" s="58"/>
      <c r="AY106" s="58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</row>
    <row r="107" spans="1:71" ht="15.75" customHeight="1" x14ac:dyDescent="0.2">
      <c r="A107" s="87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7"/>
      <c r="U107" s="87"/>
      <c r="V107" s="87"/>
      <c r="W107" s="87"/>
      <c r="X107" s="87"/>
      <c r="Y107" s="87"/>
      <c r="Z107" s="87"/>
      <c r="AA107" s="87"/>
      <c r="AB107" s="87"/>
      <c r="AC107" s="88"/>
      <c r="AD107" s="88"/>
      <c r="AE107" s="88"/>
      <c r="AF107" s="88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AU107" s="86"/>
      <c r="AV107" s="58"/>
      <c r="AW107" s="58"/>
      <c r="AX107" s="58"/>
      <c r="AY107" s="58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</row>
    <row r="108" spans="1:71" ht="15.75" customHeight="1" x14ac:dyDescent="0.2">
      <c r="A108" s="87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7"/>
      <c r="U108" s="87"/>
      <c r="V108" s="87"/>
      <c r="W108" s="87"/>
      <c r="X108" s="87"/>
      <c r="Y108" s="87"/>
      <c r="Z108" s="87"/>
      <c r="AA108" s="87"/>
      <c r="AB108" s="87"/>
      <c r="AC108" s="88"/>
      <c r="AD108" s="88"/>
      <c r="AE108" s="88"/>
      <c r="AF108" s="88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AU108" s="86"/>
      <c r="AV108" s="58"/>
      <c r="AW108" s="58"/>
      <c r="AX108" s="58"/>
      <c r="AY108" s="58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</row>
    <row r="109" spans="1:71" ht="15.75" customHeight="1" x14ac:dyDescent="0.2">
      <c r="A109" s="87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7"/>
      <c r="U109" s="87"/>
      <c r="V109" s="87"/>
      <c r="W109" s="87"/>
      <c r="X109" s="87"/>
      <c r="Y109" s="87"/>
      <c r="Z109" s="87"/>
      <c r="AA109" s="87"/>
      <c r="AB109" s="87"/>
      <c r="AC109" s="88"/>
      <c r="AD109" s="88"/>
      <c r="AE109" s="88"/>
      <c r="AF109" s="88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AU109" s="86"/>
      <c r="AV109" s="58"/>
      <c r="AW109" s="58"/>
      <c r="AX109" s="58"/>
      <c r="AY109" s="58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</row>
    <row r="110" spans="1:71" ht="15.75" customHeight="1" x14ac:dyDescent="0.2">
      <c r="A110" s="87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7"/>
      <c r="U110" s="87"/>
      <c r="V110" s="87"/>
      <c r="W110" s="87"/>
      <c r="X110" s="87"/>
      <c r="Y110" s="87"/>
      <c r="Z110" s="87"/>
      <c r="AA110" s="87"/>
      <c r="AB110" s="87"/>
      <c r="AC110" s="88"/>
      <c r="AD110" s="88"/>
      <c r="AE110" s="88"/>
      <c r="AF110" s="88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AU110" s="86"/>
      <c r="AV110" s="58"/>
      <c r="AW110" s="58"/>
      <c r="AX110" s="58"/>
      <c r="AY110" s="58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</row>
    <row r="111" spans="1:71" ht="15.75" customHeight="1" x14ac:dyDescent="0.2">
      <c r="A111" s="87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7"/>
      <c r="U111" s="87"/>
      <c r="V111" s="87"/>
      <c r="W111" s="87"/>
      <c r="X111" s="87"/>
      <c r="Y111" s="87"/>
      <c r="Z111" s="87"/>
      <c r="AA111" s="87"/>
      <c r="AB111" s="87"/>
      <c r="AC111" s="88"/>
      <c r="AD111" s="88"/>
      <c r="AE111" s="88"/>
      <c r="AF111" s="88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  <c r="AU111" s="86"/>
      <c r="AV111" s="58"/>
      <c r="AW111" s="58"/>
      <c r="AX111" s="58"/>
      <c r="AY111" s="58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</row>
    <row r="112" spans="1:71" ht="15.75" customHeight="1" x14ac:dyDescent="0.2">
      <c r="A112" s="87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7"/>
      <c r="U112" s="87"/>
      <c r="V112" s="87"/>
      <c r="W112" s="87"/>
      <c r="X112" s="87"/>
      <c r="Y112" s="87"/>
      <c r="Z112" s="87"/>
      <c r="AA112" s="87"/>
      <c r="AB112" s="87"/>
      <c r="AC112" s="88"/>
      <c r="AD112" s="88"/>
      <c r="AE112" s="88"/>
      <c r="AF112" s="88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  <c r="AU112" s="86"/>
      <c r="AV112" s="58"/>
      <c r="AW112" s="58"/>
      <c r="AX112" s="58"/>
      <c r="AY112" s="58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</row>
    <row r="113" spans="1:71" ht="15.75" customHeight="1" x14ac:dyDescent="0.2">
      <c r="A113" s="87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7"/>
      <c r="U113" s="87"/>
      <c r="V113" s="87"/>
      <c r="W113" s="87"/>
      <c r="X113" s="87"/>
      <c r="Y113" s="87"/>
      <c r="Z113" s="87"/>
      <c r="AA113" s="87"/>
      <c r="AB113" s="87"/>
      <c r="AC113" s="88"/>
      <c r="AD113" s="88"/>
      <c r="AE113" s="88"/>
      <c r="AF113" s="88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  <c r="AU113" s="86"/>
      <c r="AV113" s="58"/>
      <c r="AW113" s="58"/>
      <c r="AX113" s="58"/>
      <c r="AY113" s="58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</row>
    <row r="114" spans="1:71" ht="15.75" customHeight="1" x14ac:dyDescent="0.2">
      <c r="A114" s="87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7"/>
      <c r="U114" s="87"/>
      <c r="V114" s="87"/>
      <c r="W114" s="87"/>
      <c r="X114" s="87"/>
      <c r="Y114" s="87"/>
      <c r="Z114" s="87"/>
      <c r="AA114" s="87"/>
      <c r="AB114" s="87"/>
      <c r="AC114" s="88"/>
      <c r="AD114" s="88"/>
      <c r="AE114" s="88"/>
      <c r="AF114" s="88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  <c r="AU114" s="86"/>
      <c r="AV114" s="58"/>
      <c r="AW114" s="58"/>
      <c r="AX114" s="58"/>
      <c r="AY114" s="58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</row>
    <row r="115" spans="1:71" ht="15.75" customHeight="1" x14ac:dyDescent="0.2">
      <c r="A115" s="87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7"/>
      <c r="U115" s="87"/>
      <c r="V115" s="87"/>
      <c r="W115" s="87"/>
      <c r="X115" s="87"/>
      <c r="Y115" s="87"/>
      <c r="Z115" s="87"/>
      <c r="AA115" s="87"/>
      <c r="AB115" s="87"/>
      <c r="AC115" s="88"/>
      <c r="AD115" s="88"/>
      <c r="AE115" s="88"/>
      <c r="AF115" s="88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86"/>
      <c r="AR115" s="86"/>
      <c r="AS115" s="86"/>
      <c r="AT115" s="86"/>
      <c r="AU115" s="86"/>
      <c r="AV115" s="58"/>
      <c r="AW115" s="58"/>
      <c r="AX115" s="58"/>
      <c r="AY115" s="58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</row>
    <row r="116" spans="1:71" ht="15.75" customHeight="1" x14ac:dyDescent="0.2">
      <c r="A116" s="87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7"/>
      <c r="U116" s="87"/>
      <c r="V116" s="87"/>
      <c r="W116" s="87"/>
      <c r="X116" s="87"/>
      <c r="Y116" s="87"/>
      <c r="Z116" s="87"/>
      <c r="AA116" s="87"/>
      <c r="AB116" s="87"/>
      <c r="AC116" s="88"/>
      <c r="AD116" s="88"/>
      <c r="AE116" s="88"/>
      <c r="AF116" s="88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86"/>
      <c r="AR116" s="86"/>
      <c r="AS116" s="86"/>
      <c r="AT116" s="86"/>
      <c r="AU116" s="86"/>
      <c r="AV116" s="58"/>
      <c r="AW116" s="58"/>
      <c r="AX116" s="58"/>
      <c r="AY116" s="58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</row>
    <row r="117" spans="1:71" ht="15.75" customHeight="1" x14ac:dyDescent="0.2">
      <c r="A117" s="87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7"/>
      <c r="U117" s="87"/>
      <c r="V117" s="87"/>
      <c r="W117" s="87"/>
      <c r="X117" s="87"/>
      <c r="Y117" s="87"/>
      <c r="Z117" s="87"/>
      <c r="AA117" s="87"/>
      <c r="AB117" s="87"/>
      <c r="AC117" s="88"/>
      <c r="AD117" s="88"/>
      <c r="AE117" s="88"/>
      <c r="AF117" s="88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58"/>
      <c r="AW117" s="58"/>
      <c r="AX117" s="58"/>
      <c r="AY117" s="58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</row>
    <row r="118" spans="1:71" ht="15.75" customHeight="1" x14ac:dyDescent="0.2">
      <c r="A118" s="87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7"/>
      <c r="U118" s="87"/>
      <c r="V118" s="87"/>
      <c r="W118" s="87"/>
      <c r="X118" s="87"/>
      <c r="Y118" s="87"/>
      <c r="Z118" s="87"/>
      <c r="AA118" s="87"/>
      <c r="AB118" s="87"/>
      <c r="AC118" s="88"/>
      <c r="AD118" s="88"/>
      <c r="AE118" s="88"/>
      <c r="AF118" s="88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  <c r="AU118" s="86"/>
      <c r="AV118" s="58"/>
      <c r="AW118" s="58"/>
      <c r="AX118" s="58"/>
      <c r="AY118" s="58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</row>
    <row r="119" spans="1:71" ht="15.75" customHeight="1" x14ac:dyDescent="0.2">
      <c r="A119" s="87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7"/>
      <c r="U119" s="87"/>
      <c r="V119" s="87"/>
      <c r="W119" s="87"/>
      <c r="X119" s="87"/>
      <c r="Y119" s="87"/>
      <c r="Z119" s="87"/>
      <c r="AA119" s="87"/>
      <c r="AB119" s="87"/>
      <c r="AC119" s="88"/>
      <c r="AD119" s="88"/>
      <c r="AE119" s="88"/>
      <c r="AF119" s="88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  <c r="AU119" s="86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</row>
    <row r="120" spans="1:71" ht="15.75" customHeight="1" x14ac:dyDescent="0.2">
      <c r="A120" s="87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7"/>
      <c r="U120" s="87"/>
      <c r="V120" s="87"/>
      <c r="W120" s="87"/>
      <c r="X120" s="87"/>
      <c r="Y120" s="87"/>
      <c r="Z120" s="87"/>
      <c r="AA120" s="87"/>
      <c r="AB120" s="87"/>
      <c r="AC120" s="88"/>
      <c r="AD120" s="88"/>
      <c r="AE120" s="88"/>
      <c r="AF120" s="88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  <c r="AU120" s="86"/>
      <c r="AV120" s="58"/>
      <c r="AW120" s="58"/>
      <c r="AX120" s="58"/>
      <c r="AY120" s="58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</row>
    <row r="121" spans="1:71" ht="15.75" customHeight="1" x14ac:dyDescent="0.2">
      <c r="A121" s="87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7"/>
      <c r="U121" s="87"/>
      <c r="V121" s="87"/>
      <c r="W121" s="87"/>
      <c r="X121" s="87"/>
      <c r="Y121" s="87"/>
      <c r="Z121" s="87"/>
      <c r="AA121" s="87"/>
      <c r="AB121" s="87"/>
      <c r="AC121" s="88"/>
      <c r="AD121" s="88"/>
      <c r="AE121" s="88"/>
      <c r="AF121" s="88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  <c r="AU121" s="86"/>
      <c r="AV121" s="58"/>
      <c r="AW121" s="58"/>
      <c r="AX121" s="58"/>
      <c r="AY121" s="58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</row>
    <row r="122" spans="1:71" ht="15.75" customHeight="1" x14ac:dyDescent="0.2">
      <c r="A122" s="87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7"/>
      <c r="U122" s="87"/>
      <c r="V122" s="87"/>
      <c r="W122" s="87"/>
      <c r="X122" s="87"/>
      <c r="Y122" s="87"/>
      <c r="Z122" s="87"/>
      <c r="AA122" s="87"/>
      <c r="AB122" s="87"/>
      <c r="AC122" s="88"/>
      <c r="AD122" s="88"/>
      <c r="AE122" s="88"/>
      <c r="AF122" s="88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  <c r="AU122" s="86"/>
      <c r="AV122" s="58"/>
      <c r="AW122" s="58"/>
      <c r="AX122" s="58"/>
      <c r="AY122" s="58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</row>
    <row r="123" spans="1:71" ht="15.75" customHeight="1" x14ac:dyDescent="0.2">
      <c r="A123" s="87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7"/>
      <c r="U123" s="87"/>
      <c r="V123" s="87"/>
      <c r="W123" s="87"/>
      <c r="X123" s="87"/>
      <c r="Y123" s="87"/>
      <c r="Z123" s="87"/>
      <c r="AA123" s="87"/>
      <c r="AB123" s="87"/>
      <c r="AC123" s="88"/>
      <c r="AD123" s="88"/>
      <c r="AE123" s="88"/>
      <c r="AF123" s="88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86"/>
      <c r="AR123" s="86"/>
      <c r="AS123" s="86"/>
      <c r="AT123" s="86"/>
      <c r="AU123" s="86"/>
      <c r="AV123" s="58"/>
      <c r="AW123" s="58"/>
      <c r="AX123" s="58"/>
      <c r="AY123" s="58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</row>
    <row r="124" spans="1:71" ht="15.75" customHeight="1" x14ac:dyDescent="0.2">
      <c r="A124" s="87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7"/>
      <c r="U124" s="87"/>
      <c r="V124" s="87"/>
      <c r="W124" s="87"/>
      <c r="X124" s="87"/>
      <c r="Y124" s="87"/>
      <c r="Z124" s="87"/>
      <c r="AA124" s="87"/>
      <c r="AB124" s="87"/>
      <c r="AC124" s="88"/>
      <c r="AD124" s="88"/>
      <c r="AE124" s="88"/>
      <c r="AF124" s="88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86"/>
      <c r="AR124" s="86"/>
      <c r="AS124" s="86"/>
      <c r="AT124" s="86"/>
      <c r="AU124" s="86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</row>
    <row r="125" spans="1:71" ht="15.75" customHeight="1" x14ac:dyDescent="0.2">
      <c r="A125" s="87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7"/>
      <c r="U125" s="87"/>
      <c r="V125" s="87"/>
      <c r="W125" s="87"/>
      <c r="X125" s="87"/>
      <c r="Y125" s="87"/>
      <c r="Z125" s="87"/>
      <c r="AA125" s="87"/>
      <c r="AB125" s="87"/>
      <c r="AC125" s="88"/>
      <c r="AD125" s="88"/>
      <c r="AE125" s="88"/>
      <c r="AF125" s="88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86"/>
      <c r="AR125" s="86"/>
      <c r="AS125" s="86"/>
      <c r="AT125" s="86"/>
      <c r="AU125" s="86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</row>
    <row r="126" spans="1:71" ht="15.75" customHeight="1" x14ac:dyDescent="0.2">
      <c r="A126" s="87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7"/>
      <c r="U126" s="87"/>
      <c r="V126" s="87"/>
      <c r="W126" s="87"/>
      <c r="X126" s="87"/>
      <c r="Y126" s="87"/>
      <c r="Z126" s="87"/>
      <c r="AA126" s="87"/>
      <c r="AB126" s="87"/>
      <c r="AC126" s="88"/>
      <c r="AD126" s="88"/>
      <c r="AE126" s="88"/>
      <c r="AF126" s="88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86"/>
      <c r="AR126" s="86"/>
      <c r="AS126" s="86"/>
      <c r="AT126" s="86"/>
      <c r="AU126" s="86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</row>
    <row r="127" spans="1:71" ht="15.75" customHeight="1" x14ac:dyDescent="0.2">
      <c r="A127" s="87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7"/>
      <c r="U127" s="87"/>
      <c r="V127" s="87"/>
      <c r="W127" s="87"/>
      <c r="X127" s="87"/>
      <c r="Y127" s="87"/>
      <c r="Z127" s="87"/>
      <c r="AA127" s="87"/>
      <c r="AB127" s="87"/>
      <c r="AC127" s="88"/>
      <c r="AD127" s="88"/>
      <c r="AE127" s="88"/>
      <c r="AF127" s="88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86"/>
      <c r="AR127" s="86"/>
      <c r="AS127" s="86"/>
      <c r="AT127" s="86"/>
      <c r="AU127" s="86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</row>
    <row r="128" spans="1:71" ht="15.75" customHeight="1" x14ac:dyDescent="0.2">
      <c r="A128" s="87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7"/>
      <c r="U128" s="87"/>
      <c r="V128" s="87"/>
      <c r="W128" s="87"/>
      <c r="X128" s="87"/>
      <c r="Y128" s="87"/>
      <c r="Z128" s="87"/>
      <c r="AA128" s="87"/>
      <c r="AB128" s="87"/>
      <c r="AC128" s="88"/>
      <c r="AD128" s="88"/>
      <c r="AE128" s="88"/>
      <c r="AF128" s="88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86"/>
      <c r="AT128" s="86"/>
      <c r="AU128" s="86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</row>
    <row r="129" spans="1:71" ht="15.75" customHeight="1" x14ac:dyDescent="0.2">
      <c r="A129" s="87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7"/>
      <c r="U129" s="87"/>
      <c r="V129" s="87"/>
      <c r="W129" s="87"/>
      <c r="X129" s="87"/>
      <c r="Y129" s="87"/>
      <c r="Z129" s="87"/>
      <c r="AA129" s="87"/>
      <c r="AB129" s="87"/>
      <c r="AC129" s="88"/>
      <c r="AD129" s="88"/>
      <c r="AE129" s="88"/>
      <c r="AF129" s="88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86"/>
      <c r="AR129" s="86"/>
      <c r="AS129" s="86"/>
      <c r="AT129" s="86"/>
      <c r="AU129" s="86"/>
      <c r="AV129" s="58"/>
      <c r="AW129" s="58"/>
      <c r="AX129" s="58"/>
      <c r="AY129" s="58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</row>
    <row r="130" spans="1:71" ht="15.75" customHeight="1" x14ac:dyDescent="0.2">
      <c r="A130" s="87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7"/>
      <c r="U130" s="87"/>
      <c r="V130" s="87"/>
      <c r="W130" s="87"/>
      <c r="X130" s="87"/>
      <c r="Y130" s="87"/>
      <c r="Z130" s="87"/>
      <c r="AA130" s="87"/>
      <c r="AB130" s="87"/>
      <c r="AC130" s="88"/>
      <c r="AD130" s="88"/>
      <c r="AE130" s="88"/>
      <c r="AF130" s="88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86"/>
      <c r="AR130" s="86"/>
      <c r="AS130" s="86"/>
      <c r="AT130" s="86"/>
      <c r="AU130" s="86"/>
      <c r="AV130" s="58"/>
      <c r="AW130" s="58"/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</row>
    <row r="131" spans="1:71" ht="15.75" customHeight="1" x14ac:dyDescent="0.2">
      <c r="A131" s="87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7"/>
      <c r="U131" s="87"/>
      <c r="V131" s="87"/>
      <c r="W131" s="87"/>
      <c r="X131" s="87"/>
      <c r="Y131" s="87"/>
      <c r="Z131" s="87"/>
      <c r="AA131" s="87"/>
      <c r="AB131" s="87"/>
      <c r="AC131" s="88"/>
      <c r="AD131" s="88"/>
      <c r="AE131" s="88"/>
      <c r="AF131" s="88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  <c r="AU131" s="86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</row>
    <row r="132" spans="1:71" ht="15.75" customHeight="1" x14ac:dyDescent="0.2">
      <c r="A132" s="87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7"/>
      <c r="U132" s="87"/>
      <c r="V132" s="87"/>
      <c r="W132" s="87"/>
      <c r="X132" s="87"/>
      <c r="Y132" s="87"/>
      <c r="Z132" s="87"/>
      <c r="AA132" s="87"/>
      <c r="AB132" s="87"/>
      <c r="AC132" s="88"/>
      <c r="AD132" s="88"/>
      <c r="AE132" s="88"/>
      <c r="AF132" s="88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86"/>
      <c r="AR132" s="86"/>
      <c r="AS132" s="86"/>
      <c r="AT132" s="86"/>
      <c r="AU132" s="86"/>
      <c r="AV132" s="58"/>
      <c r="AW132" s="58"/>
      <c r="AX132" s="58"/>
      <c r="AY132" s="58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</row>
    <row r="133" spans="1:71" ht="15.75" customHeight="1" x14ac:dyDescent="0.2">
      <c r="A133" s="87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7"/>
      <c r="U133" s="87"/>
      <c r="V133" s="87"/>
      <c r="W133" s="87"/>
      <c r="X133" s="87"/>
      <c r="Y133" s="87"/>
      <c r="Z133" s="87"/>
      <c r="AA133" s="87"/>
      <c r="AB133" s="87"/>
      <c r="AC133" s="88"/>
      <c r="AD133" s="88"/>
      <c r="AE133" s="88"/>
      <c r="AF133" s="88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86"/>
      <c r="AR133" s="86"/>
      <c r="AS133" s="86"/>
      <c r="AT133" s="86"/>
      <c r="AU133" s="86"/>
      <c r="AV133" s="58"/>
      <c r="AW133" s="58"/>
      <c r="AX133" s="58"/>
      <c r="AY133" s="58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</row>
    <row r="134" spans="1:71" ht="15.75" customHeight="1" x14ac:dyDescent="0.2">
      <c r="A134" s="87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7"/>
      <c r="U134" s="87"/>
      <c r="V134" s="87"/>
      <c r="W134" s="87"/>
      <c r="X134" s="87"/>
      <c r="Y134" s="87"/>
      <c r="Z134" s="87"/>
      <c r="AA134" s="87"/>
      <c r="AB134" s="87"/>
      <c r="AC134" s="88"/>
      <c r="AD134" s="88"/>
      <c r="AE134" s="88"/>
      <c r="AF134" s="88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58"/>
      <c r="AW134" s="58"/>
      <c r="AX134" s="58"/>
      <c r="AY134" s="58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</row>
    <row r="135" spans="1:71" ht="15.75" customHeight="1" x14ac:dyDescent="0.2">
      <c r="A135" s="87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7"/>
      <c r="U135" s="87"/>
      <c r="V135" s="87"/>
      <c r="W135" s="87"/>
      <c r="X135" s="87"/>
      <c r="Y135" s="87"/>
      <c r="Z135" s="87"/>
      <c r="AA135" s="87"/>
      <c r="AB135" s="87"/>
      <c r="AC135" s="88"/>
      <c r="AD135" s="88"/>
      <c r="AE135" s="88"/>
      <c r="AF135" s="88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86"/>
      <c r="AR135" s="86"/>
      <c r="AS135" s="86"/>
      <c r="AT135" s="86"/>
      <c r="AU135" s="86"/>
      <c r="AV135" s="58"/>
      <c r="AW135" s="58"/>
      <c r="AX135" s="58"/>
      <c r="AY135" s="58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</row>
    <row r="136" spans="1:71" ht="15.75" customHeight="1" x14ac:dyDescent="0.2">
      <c r="A136" s="87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7"/>
      <c r="U136" s="87"/>
      <c r="V136" s="87"/>
      <c r="W136" s="87"/>
      <c r="X136" s="87"/>
      <c r="Y136" s="87"/>
      <c r="Z136" s="87"/>
      <c r="AA136" s="87"/>
      <c r="AB136" s="87"/>
      <c r="AC136" s="88"/>
      <c r="AD136" s="88"/>
      <c r="AE136" s="88"/>
      <c r="AF136" s="88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86"/>
      <c r="AR136" s="86"/>
      <c r="AS136" s="86"/>
      <c r="AT136" s="86"/>
      <c r="AU136" s="86"/>
      <c r="AV136" s="58"/>
      <c r="AW136" s="58"/>
      <c r="AX136" s="58"/>
      <c r="AY136" s="58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</row>
    <row r="137" spans="1:71" ht="15.75" customHeight="1" x14ac:dyDescent="0.2">
      <c r="A137" s="87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7"/>
      <c r="U137" s="87"/>
      <c r="V137" s="87"/>
      <c r="W137" s="87"/>
      <c r="X137" s="87"/>
      <c r="Y137" s="87"/>
      <c r="Z137" s="87"/>
      <c r="AA137" s="87"/>
      <c r="AB137" s="87"/>
      <c r="AC137" s="88"/>
      <c r="AD137" s="88"/>
      <c r="AE137" s="88"/>
      <c r="AF137" s="88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86"/>
      <c r="AR137" s="86"/>
      <c r="AS137" s="86"/>
      <c r="AT137" s="86"/>
      <c r="AU137" s="86"/>
      <c r="AV137" s="58"/>
      <c r="AW137" s="58"/>
      <c r="AX137" s="58"/>
      <c r="AY137" s="58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</row>
    <row r="138" spans="1:71" ht="15.75" customHeight="1" x14ac:dyDescent="0.2">
      <c r="A138" s="87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7"/>
      <c r="U138" s="87"/>
      <c r="V138" s="87"/>
      <c r="W138" s="87"/>
      <c r="X138" s="87"/>
      <c r="Y138" s="87"/>
      <c r="Z138" s="87"/>
      <c r="AA138" s="87"/>
      <c r="AB138" s="87"/>
      <c r="AC138" s="88"/>
      <c r="AD138" s="88"/>
      <c r="AE138" s="88"/>
      <c r="AF138" s="88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86"/>
      <c r="AR138" s="86"/>
      <c r="AS138" s="86"/>
      <c r="AT138" s="86"/>
      <c r="AU138" s="86"/>
      <c r="AV138" s="58"/>
      <c r="AW138" s="58"/>
      <c r="AX138" s="58"/>
      <c r="AY138" s="58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</row>
    <row r="139" spans="1:71" ht="15.75" customHeight="1" x14ac:dyDescent="0.2">
      <c r="A139" s="87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7"/>
      <c r="U139" s="87"/>
      <c r="V139" s="87"/>
      <c r="W139" s="87"/>
      <c r="X139" s="87"/>
      <c r="Y139" s="87"/>
      <c r="Z139" s="87"/>
      <c r="AA139" s="87"/>
      <c r="AB139" s="87"/>
      <c r="AC139" s="88"/>
      <c r="AD139" s="88"/>
      <c r="AE139" s="88"/>
      <c r="AF139" s="88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6"/>
      <c r="AV139" s="58"/>
      <c r="AW139" s="58"/>
      <c r="AX139" s="58"/>
      <c r="AY139" s="58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</row>
    <row r="140" spans="1:71" ht="15.75" customHeight="1" x14ac:dyDescent="0.2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8"/>
      <c r="AD140" s="88"/>
      <c r="AE140" s="88"/>
      <c r="AF140" s="88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58"/>
      <c r="AW140" s="58"/>
      <c r="AX140" s="58"/>
      <c r="AY140" s="58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</row>
    <row r="141" spans="1:71" ht="15.75" customHeight="1" x14ac:dyDescent="0.2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88"/>
      <c r="AD141" s="88"/>
      <c r="AE141" s="88"/>
      <c r="AF141" s="88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58"/>
      <c r="AW141" s="58"/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</row>
    <row r="142" spans="1:71" ht="15.75" customHeight="1" x14ac:dyDescent="0.2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88"/>
      <c r="AD142" s="88"/>
      <c r="AE142" s="88"/>
      <c r="AF142" s="88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58"/>
      <c r="AW142" s="58"/>
      <c r="AX142" s="58"/>
      <c r="AY142" s="58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</row>
    <row r="143" spans="1:71" ht="15.75" customHeight="1" x14ac:dyDescent="0.2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88"/>
      <c r="AD143" s="88"/>
      <c r="AE143" s="88"/>
      <c r="AF143" s="88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</row>
    <row r="144" spans="1:71" ht="15.75" customHeight="1" x14ac:dyDescent="0.2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88"/>
      <c r="AD144" s="88"/>
      <c r="AE144" s="88"/>
      <c r="AF144" s="88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58"/>
      <c r="AW144" s="58"/>
      <c r="AX144" s="58"/>
      <c r="AY144" s="58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</row>
    <row r="145" spans="1:71" ht="15.75" customHeight="1" x14ac:dyDescent="0.2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88"/>
      <c r="AD145" s="88"/>
      <c r="AE145" s="88"/>
      <c r="AF145" s="88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58"/>
      <c r="AW145" s="58"/>
      <c r="AX145" s="58"/>
      <c r="AY145" s="58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</row>
    <row r="146" spans="1:71" ht="15.75" customHeight="1" x14ac:dyDescent="0.2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88"/>
      <c r="AD146" s="88"/>
      <c r="AE146" s="88"/>
      <c r="AF146" s="88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58"/>
      <c r="AW146" s="58"/>
      <c r="AX146" s="58"/>
      <c r="AY146" s="58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</row>
    <row r="147" spans="1:71" ht="15.75" customHeight="1" x14ac:dyDescent="0.2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88"/>
      <c r="AD147" s="88"/>
      <c r="AE147" s="88"/>
      <c r="AF147" s="88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58"/>
      <c r="AW147" s="58"/>
      <c r="AX147" s="58"/>
      <c r="AY147" s="58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</row>
    <row r="148" spans="1:71" ht="15.75" customHeight="1" x14ac:dyDescent="0.2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88"/>
      <c r="AD148" s="88"/>
      <c r="AE148" s="88"/>
      <c r="AF148" s="88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58"/>
      <c r="AW148" s="58"/>
      <c r="AX148" s="58"/>
      <c r="AY148" s="58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</row>
    <row r="149" spans="1:71" ht="15.75" customHeight="1" x14ac:dyDescent="0.2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88"/>
      <c r="AD149" s="88"/>
      <c r="AE149" s="88"/>
      <c r="AF149" s="88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58"/>
      <c r="AW149" s="58"/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</row>
    <row r="150" spans="1:71" ht="15.75" customHeight="1" x14ac:dyDescent="0.2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88"/>
      <c r="AD150" s="88"/>
      <c r="AE150" s="88"/>
      <c r="AF150" s="88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58"/>
      <c r="AW150" s="58"/>
      <c r="AX150" s="58"/>
      <c r="AY150" s="58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</row>
    <row r="151" spans="1:71" ht="15.75" customHeight="1" x14ac:dyDescent="0.2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88"/>
      <c r="AD151" s="88"/>
      <c r="AE151" s="88"/>
      <c r="AF151" s="88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58"/>
      <c r="AW151" s="58"/>
      <c r="AX151" s="58"/>
      <c r="AY151" s="58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</row>
    <row r="152" spans="1:71" ht="15.75" customHeight="1" x14ac:dyDescent="0.2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88"/>
      <c r="AD152" s="88"/>
      <c r="AE152" s="88"/>
      <c r="AF152" s="88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</row>
    <row r="153" spans="1:71" ht="15.75" customHeight="1" x14ac:dyDescent="0.2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88"/>
      <c r="AD153" s="88"/>
      <c r="AE153" s="88"/>
      <c r="AF153" s="88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58"/>
      <c r="AW153" s="58"/>
      <c r="AX153" s="58"/>
      <c r="AY153" s="58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</row>
    <row r="154" spans="1:71" ht="15.75" customHeight="1" x14ac:dyDescent="0.2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88"/>
      <c r="AD154" s="88"/>
      <c r="AE154" s="88"/>
      <c r="AF154" s="88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</row>
    <row r="155" spans="1:71" ht="15.75" customHeight="1" x14ac:dyDescent="0.2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88"/>
      <c r="AD155" s="88"/>
      <c r="AE155" s="88"/>
      <c r="AF155" s="88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58"/>
      <c r="AW155" s="58"/>
      <c r="AX155" s="58"/>
      <c r="AY155" s="58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</row>
    <row r="156" spans="1:71" ht="15.75" customHeight="1" x14ac:dyDescent="0.2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8"/>
      <c r="AD156" s="88"/>
      <c r="AE156" s="88"/>
      <c r="AF156" s="88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58"/>
      <c r="AW156" s="58"/>
      <c r="AX156" s="58"/>
      <c r="AY156" s="58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</row>
    <row r="157" spans="1:71" ht="15.75" customHeight="1" x14ac:dyDescent="0.2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88"/>
      <c r="AD157" s="88"/>
      <c r="AE157" s="88"/>
      <c r="AF157" s="88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58"/>
      <c r="AW157" s="58"/>
      <c r="AX157" s="58"/>
      <c r="AY157" s="58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</row>
    <row r="158" spans="1:71" ht="15.75" customHeight="1" x14ac:dyDescent="0.2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8"/>
      <c r="AD158" s="88"/>
      <c r="AE158" s="88"/>
      <c r="AF158" s="88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58"/>
      <c r="AW158" s="58"/>
      <c r="AX158" s="58"/>
      <c r="AY158" s="58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</row>
    <row r="159" spans="1:71" ht="15.75" customHeight="1" x14ac:dyDescent="0.2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88"/>
      <c r="AD159" s="88"/>
      <c r="AE159" s="88"/>
      <c r="AF159" s="88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58"/>
      <c r="AW159" s="58"/>
      <c r="AX159" s="58"/>
      <c r="AY159" s="58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</row>
    <row r="160" spans="1:71" ht="15.75" customHeight="1" x14ac:dyDescent="0.2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88"/>
      <c r="AD160" s="88"/>
      <c r="AE160" s="88"/>
      <c r="AF160" s="88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58"/>
      <c r="AW160" s="58"/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</row>
    <row r="161" spans="1:71" ht="15.75" customHeight="1" x14ac:dyDescent="0.2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88"/>
      <c r="AD161" s="88"/>
      <c r="AE161" s="88"/>
      <c r="AF161" s="88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58"/>
      <c r="AW161" s="58"/>
      <c r="AX161" s="58"/>
      <c r="AY161" s="58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</row>
    <row r="162" spans="1:71" ht="15.75" customHeight="1" x14ac:dyDescent="0.2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88"/>
      <c r="AD162" s="88"/>
      <c r="AE162" s="88"/>
      <c r="AF162" s="88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58"/>
      <c r="AW162" s="58"/>
      <c r="AX162" s="58"/>
      <c r="AY162" s="58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</row>
    <row r="163" spans="1:71" ht="15.75" customHeight="1" x14ac:dyDescent="0.2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88"/>
      <c r="AD163" s="88"/>
      <c r="AE163" s="88"/>
      <c r="AF163" s="88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58"/>
      <c r="AW163" s="58"/>
      <c r="AX163" s="58"/>
      <c r="AY163" s="58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</row>
    <row r="164" spans="1:71" ht="15.75" customHeight="1" x14ac:dyDescent="0.2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88"/>
      <c r="AD164" s="88"/>
      <c r="AE164" s="88"/>
      <c r="AF164" s="88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58"/>
      <c r="AW164" s="58"/>
      <c r="AX164" s="58"/>
      <c r="AY164" s="58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</row>
    <row r="165" spans="1:71" ht="15.75" customHeight="1" x14ac:dyDescent="0.2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88"/>
      <c r="AD165" s="88"/>
      <c r="AE165" s="88"/>
      <c r="AF165" s="88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58"/>
      <c r="AW165" s="58"/>
      <c r="AX165" s="58"/>
      <c r="AY165" s="58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</row>
    <row r="166" spans="1:71" ht="15.75" customHeight="1" x14ac:dyDescent="0.2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88"/>
      <c r="AD166" s="88"/>
      <c r="AE166" s="88"/>
      <c r="AF166" s="88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58"/>
      <c r="AW166" s="58"/>
      <c r="AX166" s="58"/>
      <c r="AY166" s="58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</row>
    <row r="167" spans="1:71" ht="15.75" customHeight="1" x14ac:dyDescent="0.2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88"/>
      <c r="AD167" s="88"/>
      <c r="AE167" s="88"/>
      <c r="AF167" s="88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58"/>
      <c r="AW167" s="58"/>
      <c r="AX167" s="58"/>
      <c r="AY167" s="58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</row>
    <row r="168" spans="1:71" ht="15.75" customHeight="1" x14ac:dyDescent="0.2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88"/>
      <c r="AD168" s="88"/>
      <c r="AE168" s="88"/>
      <c r="AF168" s="88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58"/>
      <c r="AW168" s="58"/>
      <c r="AX168" s="58"/>
      <c r="AY168" s="58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</row>
    <row r="169" spans="1:71" ht="15.75" customHeight="1" x14ac:dyDescent="0.2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88"/>
      <c r="AD169" s="88"/>
      <c r="AE169" s="88"/>
      <c r="AF169" s="88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58"/>
      <c r="AW169" s="58"/>
      <c r="AX169" s="58"/>
      <c r="AY169" s="58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</row>
    <row r="170" spans="1:71" ht="15.75" customHeight="1" x14ac:dyDescent="0.2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88"/>
      <c r="AD170" s="88"/>
      <c r="AE170" s="88"/>
      <c r="AF170" s="88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58"/>
      <c r="AW170" s="58"/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</row>
    <row r="171" spans="1:71" ht="15.75" customHeight="1" x14ac:dyDescent="0.2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88"/>
      <c r="AD171" s="88"/>
      <c r="AE171" s="88"/>
      <c r="AF171" s="88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58"/>
      <c r="AW171" s="58"/>
      <c r="AX171" s="58"/>
      <c r="AY171" s="58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</row>
    <row r="172" spans="1:71" ht="15.75" customHeight="1" x14ac:dyDescent="0.2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88"/>
      <c r="AD172" s="88"/>
      <c r="AE172" s="88"/>
      <c r="AF172" s="88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58"/>
      <c r="AW172" s="58"/>
      <c r="AX172" s="58"/>
      <c r="AY172" s="58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</row>
    <row r="173" spans="1:71" ht="15.75" customHeight="1" x14ac:dyDescent="0.2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88"/>
      <c r="AD173" s="88"/>
      <c r="AE173" s="88"/>
      <c r="AF173" s="88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58"/>
      <c r="AW173" s="58"/>
      <c r="AX173" s="58"/>
      <c r="AY173" s="58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</row>
    <row r="174" spans="1:71" ht="15.75" customHeight="1" x14ac:dyDescent="0.2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8"/>
      <c r="AD174" s="88"/>
      <c r="AE174" s="88"/>
      <c r="AF174" s="88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58"/>
      <c r="AW174" s="58"/>
      <c r="AX174" s="58"/>
      <c r="AY174" s="58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</row>
    <row r="175" spans="1:71" ht="15.75" customHeight="1" x14ac:dyDescent="0.2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88"/>
      <c r="AD175" s="88"/>
      <c r="AE175" s="88"/>
      <c r="AF175" s="88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58"/>
      <c r="AW175" s="58"/>
      <c r="AX175" s="58"/>
      <c r="AY175" s="58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</row>
    <row r="176" spans="1:71" ht="15.75" customHeight="1" x14ac:dyDescent="0.2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8"/>
      <c r="AD176" s="88"/>
      <c r="AE176" s="88"/>
      <c r="AF176" s="88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</row>
    <row r="177" spans="1:71" ht="15.75" customHeight="1" x14ac:dyDescent="0.2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8"/>
      <c r="AD177" s="88"/>
      <c r="AE177" s="88"/>
      <c r="AF177" s="88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</row>
    <row r="178" spans="1:71" ht="15.75" customHeight="1" x14ac:dyDescent="0.2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8"/>
      <c r="AD178" s="88"/>
      <c r="AE178" s="88"/>
      <c r="AF178" s="88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</row>
    <row r="179" spans="1:71" ht="15.75" customHeight="1" x14ac:dyDescent="0.2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88"/>
      <c r="AD179" s="88"/>
      <c r="AE179" s="88"/>
      <c r="AF179" s="88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</row>
    <row r="180" spans="1:71" ht="15.75" customHeight="1" x14ac:dyDescent="0.2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88"/>
      <c r="AD180" s="88"/>
      <c r="AE180" s="88"/>
      <c r="AF180" s="88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</row>
    <row r="181" spans="1:71" ht="15.75" customHeight="1" x14ac:dyDescent="0.2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88"/>
      <c r="AD181" s="88"/>
      <c r="AE181" s="88"/>
      <c r="AF181" s="88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</row>
    <row r="182" spans="1:71" ht="15.75" customHeight="1" x14ac:dyDescent="0.2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88"/>
      <c r="AD182" s="88"/>
      <c r="AE182" s="88"/>
      <c r="AF182" s="88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</row>
    <row r="183" spans="1:71" ht="15.75" customHeight="1" x14ac:dyDescent="0.2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88"/>
      <c r="AD183" s="88"/>
      <c r="AE183" s="88"/>
      <c r="AF183" s="88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58"/>
      <c r="AW183" s="58"/>
      <c r="AX183" s="58"/>
      <c r="AY183" s="58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</row>
    <row r="184" spans="1:71" ht="15.75" customHeight="1" x14ac:dyDescent="0.2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88"/>
      <c r="AD184" s="88"/>
      <c r="AE184" s="88"/>
      <c r="AF184" s="88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58"/>
      <c r="AW184" s="58"/>
      <c r="AX184" s="58"/>
      <c r="AY184" s="58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</row>
    <row r="185" spans="1:71" ht="15.75" customHeight="1" x14ac:dyDescent="0.2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88"/>
      <c r="AD185" s="88"/>
      <c r="AE185" s="88"/>
      <c r="AF185" s="88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58"/>
      <c r="AW185" s="58"/>
      <c r="AX185" s="58"/>
      <c r="AY185" s="58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</row>
    <row r="186" spans="1:71" ht="15.75" customHeight="1" x14ac:dyDescent="0.2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88"/>
      <c r="AD186" s="88"/>
      <c r="AE186" s="88"/>
      <c r="AF186" s="88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58"/>
      <c r="AW186" s="58"/>
      <c r="AX186" s="58"/>
      <c r="AY186" s="58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</row>
    <row r="187" spans="1:71" ht="15.75" customHeight="1" x14ac:dyDescent="0.2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88"/>
      <c r="AD187" s="88"/>
      <c r="AE187" s="88"/>
      <c r="AF187" s="88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58"/>
      <c r="AW187" s="58"/>
      <c r="AX187" s="58"/>
      <c r="AY187" s="58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</row>
    <row r="188" spans="1:71" ht="15.75" customHeight="1" x14ac:dyDescent="0.2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88"/>
      <c r="AD188" s="88"/>
      <c r="AE188" s="88"/>
      <c r="AF188" s="88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58"/>
      <c r="AW188" s="58"/>
      <c r="AX188" s="58"/>
      <c r="AY188" s="58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</row>
    <row r="189" spans="1:71" ht="15.75" customHeight="1" x14ac:dyDescent="0.2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88"/>
      <c r="AD189" s="88"/>
      <c r="AE189" s="88"/>
      <c r="AF189" s="88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58"/>
      <c r="AW189" s="58"/>
      <c r="AX189" s="58"/>
      <c r="AY189" s="58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</row>
    <row r="190" spans="1:71" ht="15.75" customHeight="1" x14ac:dyDescent="0.2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88"/>
      <c r="AD190" s="88"/>
      <c r="AE190" s="88"/>
      <c r="AF190" s="88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58"/>
      <c r="AW190" s="58"/>
      <c r="AX190" s="58"/>
      <c r="AY190" s="58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</row>
    <row r="191" spans="1:71" ht="15.75" customHeight="1" x14ac:dyDescent="0.2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88"/>
      <c r="AD191" s="88"/>
      <c r="AE191" s="88"/>
      <c r="AF191" s="88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58"/>
      <c r="AW191" s="58"/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</row>
    <row r="192" spans="1:71" ht="15.75" customHeight="1" x14ac:dyDescent="0.2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8"/>
      <c r="AD192" s="88"/>
      <c r="AE192" s="88"/>
      <c r="AF192" s="88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58"/>
      <c r="AW192" s="58"/>
      <c r="AX192" s="58"/>
      <c r="AY192" s="58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</row>
    <row r="193" spans="1:71" ht="15.75" customHeight="1" x14ac:dyDescent="0.2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8"/>
      <c r="AD193" s="88"/>
      <c r="AE193" s="88"/>
      <c r="AF193" s="88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</row>
    <row r="194" spans="1:71" ht="15.75" customHeight="1" x14ac:dyDescent="0.2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8"/>
      <c r="AD194" s="88"/>
      <c r="AE194" s="88"/>
      <c r="AF194" s="88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58"/>
      <c r="AW194" s="58"/>
      <c r="AX194" s="58"/>
      <c r="AY194" s="58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</row>
    <row r="195" spans="1:71" ht="15.75" customHeight="1" x14ac:dyDescent="0.2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88"/>
      <c r="AD195" s="88"/>
      <c r="AE195" s="88"/>
      <c r="AF195" s="88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58"/>
      <c r="AW195" s="58"/>
      <c r="AX195" s="58"/>
      <c r="AY195" s="58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</row>
    <row r="196" spans="1:71" ht="15.75" customHeight="1" x14ac:dyDescent="0.2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88"/>
      <c r="AD196" s="88"/>
      <c r="AE196" s="88"/>
      <c r="AF196" s="88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58"/>
      <c r="AW196" s="58"/>
      <c r="AX196" s="58"/>
      <c r="AY196" s="58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</row>
    <row r="197" spans="1:71" ht="15.75" customHeight="1" x14ac:dyDescent="0.2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88"/>
      <c r="AD197" s="88"/>
      <c r="AE197" s="88"/>
      <c r="AF197" s="88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58"/>
      <c r="AW197" s="58"/>
      <c r="AX197" s="58"/>
      <c r="AY197" s="58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</row>
    <row r="198" spans="1:71" ht="15.75" customHeight="1" x14ac:dyDescent="0.2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88"/>
      <c r="AD198" s="88"/>
      <c r="AE198" s="88"/>
      <c r="AF198" s="88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58"/>
      <c r="AW198" s="58"/>
      <c r="AX198" s="58"/>
      <c r="AY198" s="58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</row>
    <row r="199" spans="1:71" ht="15.75" customHeight="1" x14ac:dyDescent="0.2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88"/>
      <c r="AD199" s="88"/>
      <c r="AE199" s="88"/>
      <c r="AF199" s="88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58"/>
      <c r="AW199" s="58"/>
      <c r="AX199" s="58"/>
      <c r="AY199" s="58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</row>
    <row r="200" spans="1:71" ht="15.75" customHeight="1" x14ac:dyDescent="0.2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88"/>
      <c r="AD200" s="88"/>
      <c r="AE200" s="88"/>
      <c r="AF200" s="88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58"/>
      <c r="AW200" s="58"/>
      <c r="AX200" s="58"/>
      <c r="AY200" s="58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</row>
    <row r="201" spans="1:71" ht="15.75" customHeight="1" x14ac:dyDescent="0.2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88"/>
      <c r="AD201" s="88"/>
      <c r="AE201" s="88"/>
      <c r="AF201" s="88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58"/>
      <c r="AW201" s="58"/>
      <c r="AX201" s="58"/>
      <c r="AY201" s="58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</row>
    <row r="202" spans="1:71" ht="15.75" customHeight="1" x14ac:dyDescent="0.2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88"/>
      <c r="AD202" s="88"/>
      <c r="AE202" s="88"/>
      <c r="AF202" s="88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58"/>
      <c r="AW202" s="58"/>
      <c r="AX202" s="58"/>
      <c r="AY202" s="58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</row>
    <row r="203" spans="1:71" ht="15.75" customHeight="1" x14ac:dyDescent="0.2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88"/>
      <c r="AD203" s="88"/>
      <c r="AE203" s="88"/>
      <c r="AF203" s="88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58"/>
      <c r="AW203" s="58"/>
      <c r="AX203" s="58"/>
      <c r="AY203" s="58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</row>
    <row r="204" spans="1:71" ht="15.75" customHeight="1" x14ac:dyDescent="0.2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88"/>
      <c r="AD204" s="88"/>
      <c r="AE204" s="88"/>
      <c r="AF204" s="88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58"/>
      <c r="AW204" s="58"/>
      <c r="AX204" s="58"/>
      <c r="AY204" s="58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</row>
    <row r="205" spans="1:71" ht="15.75" customHeight="1" x14ac:dyDescent="0.2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88"/>
      <c r="AD205" s="88"/>
      <c r="AE205" s="88"/>
      <c r="AF205" s="88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58"/>
      <c r="AW205" s="58"/>
      <c r="AX205" s="58"/>
      <c r="AY205" s="58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</row>
    <row r="206" spans="1:71" ht="15.75" customHeight="1" x14ac:dyDescent="0.2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88"/>
      <c r="AD206" s="88"/>
      <c r="AE206" s="88"/>
      <c r="AF206" s="88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58"/>
      <c r="AW206" s="58"/>
      <c r="AX206" s="58"/>
      <c r="AY206" s="58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</row>
    <row r="207" spans="1:71" ht="15.75" customHeight="1" x14ac:dyDescent="0.2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88"/>
      <c r="AD207" s="88"/>
      <c r="AE207" s="88"/>
      <c r="AF207" s="88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58"/>
      <c r="AW207" s="58"/>
      <c r="AX207" s="58"/>
      <c r="AY207" s="58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</row>
    <row r="208" spans="1:71" ht="15.75" customHeight="1" x14ac:dyDescent="0.2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8"/>
      <c r="AD208" s="88"/>
      <c r="AE208" s="88"/>
      <c r="AF208" s="88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58"/>
      <c r="AW208" s="58"/>
      <c r="AX208" s="58"/>
      <c r="AY208" s="58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</row>
    <row r="209" spans="1:71" ht="15.75" customHeight="1" x14ac:dyDescent="0.2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8"/>
      <c r="AD209" s="88"/>
      <c r="AE209" s="88"/>
      <c r="AF209" s="88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58"/>
      <c r="AW209" s="58"/>
      <c r="AX209" s="58"/>
      <c r="AY209" s="58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</row>
    <row r="210" spans="1:71" ht="15.75" customHeight="1" x14ac:dyDescent="0.2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8"/>
      <c r="AD210" s="88"/>
      <c r="AE210" s="88"/>
      <c r="AF210" s="88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58"/>
      <c r="AW210" s="58"/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</row>
    <row r="211" spans="1:71" ht="15.75" customHeight="1" x14ac:dyDescent="0.2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88"/>
      <c r="AD211" s="88"/>
      <c r="AE211" s="88"/>
      <c r="AF211" s="88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58"/>
      <c r="AW211" s="58"/>
      <c r="AX211" s="58"/>
      <c r="AY211" s="58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</row>
    <row r="212" spans="1:71" ht="15.75" customHeight="1" x14ac:dyDescent="0.2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88"/>
      <c r="AD212" s="88"/>
      <c r="AE212" s="88"/>
      <c r="AF212" s="88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58"/>
      <c r="AW212" s="58"/>
      <c r="AX212" s="58"/>
      <c r="AY212" s="58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</row>
    <row r="213" spans="1:71" ht="15.75" customHeight="1" x14ac:dyDescent="0.2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88"/>
      <c r="AD213" s="88"/>
      <c r="AE213" s="88"/>
      <c r="AF213" s="88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58"/>
      <c r="AW213" s="58"/>
      <c r="AX213" s="58"/>
      <c r="AY213" s="58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</row>
    <row r="214" spans="1:71" ht="15.75" customHeight="1" x14ac:dyDescent="0.2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88"/>
      <c r="AD214" s="88"/>
      <c r="AE214" s="88"/>
      <c r="AF214" s="88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58"/>
      <c r="AW214" s="58"/>
      <c r="AX214" s="58"/>
      <c r="AY214" s="58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</row>
    <row r="215" spans="1:71" ht="15.75" customHeight="1" x14ac:dyDescent="0.2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88"/>
      <c r="AD215" s="88"/>
      <c r="AE215" s="88"/>
      <c r="AF215" s="88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58"/>
      <c r="AW215" s="58"/>
      <c r="AX215" s="58"/>
      <c r="AY215" s="58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</row>
    <row r="216" spans="1:71" ht="15.75" customHeight="1" x14ac:dyDescent="0.2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88"/>
      <c r="AD216" s="88"/>
      <c r="AE216" s="88"/>
      <c r="AF216" s="88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58"/>
      <c r="AW216" s="58"/>
      <c r="AX216" s="58"/>
      <c r="AY216" s="58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</row>
    <row r="217" spans="1:71" ht="15.75" customHeight="1" x14ac:dyDescent="0.2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88"/>
      <c r="AD217" s="88"/>
      <c r="AE217" s="88"/>
      <c r="AF217" s="88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58"/>
      <c r="AW217" s="58"/>
      <c r="AX217" s="58"/>
      <c r="AY217" s="58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</row>
    <row r="218" spans="1:71" ht="15.75" customHeight="1" x14ac:dyDescent="0.2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88"/>
      <c r="AD218" s="88"/>
      <c r="AE218" s="88"/>
      <c r="AF218" s="88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58"/>
      <c r="AW218" s="58"/>
      <c r="AX218" s="58"/>
      <c r="AY218" s="58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</row>
    <row r="219" spans="1:71" ht="15.75" customHeight="1" x14ac:dyDescent="0.2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88"/>
      <c r="AD219" s="88"/>
      <c r="AE219" s="88"/>
      <c r="AF219" s="88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58"/>
      <c r="AW219" s="58"/>
      <c r="AX219" s="58"/>
      <c r="AY219" s="58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</row>
    <row r="220" spans="1:71" ht="15.75" customHeight="1" x14ac:dyDescent="0.2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8"/>
      <c r="AD220" s="88"/>
      <c r="AE220" s="88"/>
      <c r="AF220" s="88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58"/>
      <c r="AW220" s="58"/>
      <c r="AX220" s="58"/>
      <c r="AY220" s="58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</row>
    <row r="221" spans="1:71" ht="15.75" customHeight="1" x14ac:dyDescent="0.2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8"/>
      <c r="AD221" s="88"/>
      <c r="AE221" s="88"/>
      <c r="AF221" s="88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58"/>
      <c r="AW221" s="58"/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</row>
    <row r="222" spans="1:71" ht="15.75" customHeight="1" x14ac:dyDescent="0.2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8"/>
      <c r="AD222" s="88"/>
      <c r="AE222" s="88"/>
      <c r="AF222" s="88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58"/>
      <c r="AW222" s="58"/>
      <c r="AX222" s="58"/>
      <c r="AY222" s="58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</row>
    <row r="223" spans="1:71" ht="15.75" customHeight="1" x14ac:dyDescent="0.2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8"/>
      <c r="AD223" s="88"/>
      <c r="AE223" s="88"/>
      <c r="AF223" s="88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58"/>
      <c r="AW223" s="58"/>
      <c r="AX223" s="58"/>
      <c r="AY223" s="58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</row>
    <row r="224" spans="1:71" ht="15.75" customHeight="1" x14ac:dyDescent="0.2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87"/>
      <c r="U224" s="87"/>
      <c r="V224" s="87"/>
      <c r="W224" s="87"/>
      <c r="X224" s="87"/>
      <c r="Y224" s="87"/>
      <c r="Z224" s="87"/>
      <c r="AA224" s="87"/>
      <c r="AB224" s="87"/>
      <c r="AC224" s="88"/>
      <c r="AD224" s="88"/>
      <c r="AE224" s="88"/>
      <c r="AF224" s="88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58"/>
      <c r="AW224" s="58"/>
      <c r="AX224" s="58"/>
      <c r="AY224" s="58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</row>
    <row r="225" spans="1:71" ht="15.75" customHeight="1" x14ac:dyDescent="0.2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87"/>
      <c r="U225" s="87"/>
      <c r="V225" s="87"/>
      <c r="W225" s="87"/>
      <c r="X225" s="87"/>
      <c r="Y225" s="87"/>
      <c r="Z225" s="87"/>
      <c r="AA225" s="87"/>
      <c r="AB225" s="87"/>
      <c r="AC225" s="88"/>
      <c r="AD225" s="88"/>
      <c r="AE225" s="88"/>
      <c r="AF225" s="88"/>
      <c r="AG225" s="90"/>
      <c r="AH225" s="90"/>
      <c r="AI225" s="90"/>
      <c r="AJ225" s="90"/>
      <c r="AK225" s="90"/>
      <c r="AL225" s="90"/>
      <c r="AM225" s="90"/>
      <c r="AN225" s="90"/>
      <c r="AO225" s="90"/>
      <c r="AP225" s="90"/>
      <c r="AQ225" s="90"/>
      <c r="AR225" s="90"/>
      <c r="AS225" s="90"/>
      <c r="AT225" s="90"/>
      <c r="AU225" s="90"/>
      <c r="AV225" s="58"/>
      <c r="AW225" s="58"/>
      <c r="AX225" s="58"/>
      <c r="AY225" s="58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</row>
    <row r="226" spans="1:71" ht="15.75" customHeight="1" x14ac:dyDescent="0.2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87"/>
      <c r="U226" s="87"/>
      <c r="V226" s="87"/>
      <c r="W226" s="87"/>
      <c r="X226" s="87"/>
      <c r="Y226" s="87"/>
      <c r="Z226" s="87"/>
      <c r="AA226" s="87"/>
      <c r="AB226" s="87"/>
      <c r="AC226" s="88"/>
      <c r="AD226" s="88"/>
      <c r="AE226" s="88"/>
      <c r="AF226" s="88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58"/>
      <c r="AW226" s="58"/>
      <c r="AX226" s="58"/>
      <c r="AY226" s="58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</row>
    <row r="227" spans="1:71" ht="15.75" customHeight="1" x14ac:dyDescent="0.2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87"/>
      <c r="U227" s="87"/>
      <c r="V227" s="87"/>
      <c r="W227" s="87"/>
      <c r="X227" s="87"/>
      <c r="Y227" s="87"/>
      <c r="Z227" s="87"/>
      <c r="AA227" s="87"/>
      <c r="AB227" s="87"/>
      <c r="AC227" s="88"/>
      <c r="AD227" s="88"/>
      <c r="AE227" s="88"/>
      <c r="AF227" s="88"/>
      <c r="AG227" s="90"/>
      <c r="AH227" s="90"/>
      <c r="AI227" s="90"/>
      <c r="AJ227" s="90"/>
      <c r="AK227" s="90"/>
      <c r="AL227" s="90"/>
      <c r="AM227" s="90"/>
      <c r="AN227" s="90"/>
      <c r="AO227" s="90"/>
      <c r="AP227" s="90"/>
      <c r="AQ227" s="90"/>
      <c r="AR227" s="90"/>
      <c r="AS227" s="90"/>
      <c r="AT227" s="90"/>
      <c r="AU227" s="90"/>
      <c r="AV227" s="58"/>
      <c r="AW227" s="58"/>
      <c r="AX227" s="58"/>
      <c r="AY227" s="58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</row>
    <row r="228" spans="1:71" ht="15.75" customHeight="1" x14ac:dyDescent="0.2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87"/>
      <c r="U228" s="87"/>
      <c r="V228" s="87"/>
      <c r="W228" s="87"/>
      <c r="X228" s="87"/>
      <c r="Y228" s="87"/>
      <c r="Z228" s="87"/>
      <c r="AA228" s="87"/>
      <c r="AB228" s="87"/>
      <c r="AC228" s="88"/>
      <c r="AD228" s="88"/>
      <c r="AE228" s="88"/>
      <c r="AF228" s="88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58"/>
      <c r="AW228" s="58"/>
      <c r="AX228" s="58"/>
      <c r="AY228" s="58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</row>
    <row r="229" spans="1:71" ht="15.75" customHeight="1" x14ac:dyDescent="0.2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87"/>
      <c r="U229" s="87"/>
      <c r="V229" s="87"/>
      <c r="W229" s="87"/>
      <c r="X229" s="87"/>
      <c r="Y229" s="87"/>
      <c r="Z229" s="87"/>
      <c r="AA229" s="87"/>
      <c r="AB229" s="87"/>
      <c r="AC229" s="88"/>
      <c r="AD229" s="88"/>
      <c r="AE229" s="88"/>
      <c r="AF229" s="88"/>
      <c r="AG229" s="90"/>
      <c r="AH229" s="90"/>
      <c r="AI229" s="90"/>
      <c r="AJ229" s="90"/>
      <c r="AK229" s="90"/>
      <c r="AL229" s="90"/>
      <c r="AM229" s="90"/>
      <c r="AN229" s="90"/>
      <c r="AO229" s="90"/>
      <c r="AP229" s="90"/>
      <c r="AQ229" s="90"/>
      <c r="AR229" s="90"/>
      <c r="AS229" s="90"/>
      <c r="AT229" s="90"/>
      <c r="AU229" s="90"/>
      <c r="AV229" s="58"/>
      <c r="AW229" s="58"/>
      <c r="AX229" s="58"/>
      <c r="AY229" s="58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</row>
    <row r="230" spans="1:71" ht="15.75" customHeight="1" x14ac:dyDescent="0.2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87"/>
      <c r="U230" s="87"/>
      <c r="V230" s="87"/>
      <c r="W230" s="87"/>
      <c r="X230" s="87"/>
      <c r="Y230" s="87"/>
      <c r="Z230" s="87"/>
      <c r="AA230" s="87"/>
      <c r="AB230" s="87"/>
      <c r="AC230" s="88"/>
      <c r="AD230" s="88"/>
      <c r="AE230" s="88"/>
      <c r="AF230" s="88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58"/>
      <c r="AW230" s="58"/>
      <c r="AX230" s="58"/>
      <c r="AY230" s="58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</row>
    <row r="231" spans="1:71" ht="15.75" customHeight="1" x14ac:dyDescent="0.2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87"/>
      <c r="U231" s="87"/>
      <c r="V231" s="87"/>
      <c r="W231" s="87"/>
      <c r="X231" s="87"/>
      <c r="Y231" s="87"/>
      <c r="Z231" s="87"/>
      <c r="AA231" s="87"/>
      <c r="AB231" s="87"/>
      <c r="AC231" s="88"/>
      <c r="AD231" s="88"/>
      <c r="AE231" s="88"/>
      <c r="AF231" s="88"/>
      <c r="AG231" s="90"/>
      <c r="AH231" s="90"/>
      <c r="AI231" s="90"/>
      <c r="AJ231" s="90"/>
      <c r="AK231" s="90"/>
      <c r="AL231" s="90"/>
      <c r="AM231" s="90"/>
      <c r="AN231" s="90"/>
      <c r="AO231" s="90"/>
      <c r="AP231" s="90"/>
      <c r="AQ231" s="90"/>
      <c r="AR231" s="90"/>
      <c r="AS231" s="90"/>
      <c r="AT231" s="90"/>
      <c r="AU231" s="90"/>
      <c r="AV231" s="58"/>
      <c r="AW231" s="58"/>
      <c r="AX231" s="58"/>
      <c r="AY231" s="58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</row>
    <row r="232" spans="1:71" ht="15.75" customHeight="1" x14ac:dyDescent="0.2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87"/>
      <c r="U232" s="87"/>
      <c r="V232" s="87"/>
      <c r="W232" s="87"/>
      <c r="X232" s="87"/>
      <c r="Y232" s="87"/>
      <c r="Z232" s="87"/>
      <c r="AA232" s="87"/>
      <c r="AB232" s="87"/>
      <c r="AC232" s="88"/>
      <c r="AD232" s="88"/>
      <c r="AE232" s="88"/>
      <c r="AF232" s="88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58"/>
      <c r="AW232" s="58"/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</row>
    <row r="233" spans="1:71" ht="15.75" customHeight="1" x14ac:dyDescent="0.2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87"/>
      <c r="U233" s="87"/>
      <c r="V233" s="87"/>
      <c r="W233" s="87"/>
      <c r="X233" s="87"/>
      <c r="Y233" s="87"/>
      <c r="Z233" s="87"/>
      <c r="AA233" s="87"/>
      <c r="AB233" s="87"/>
      <c r="AC233" s="88"/>
      <c r="AD233" s="88"/>
      <c r="AE233" s="88"/>
      <c r="AF233" s="88"/>
      <c r="AG233" s="90"/>
      <c r="AH233" s="90"/>
      <c r="AI233" s="90"/>
      <c r="AJ233" s="90"/>
      <c r="AK233" s="90"/>
      <c r="AL233" s="90"/>
      <c r="AM233" s="90"/>
      <c r="AN233" s="90"/>
      <c r="AO233" s="90"/>
      <c r="AP233" s="90"/>
      <c r="AQ233" s="90"/>
      <c r="AR233" s="90"/>
      <c r="AS233" s="90"/>
      <c r="AT233" s="90"/>
      <c r="AU233" s="90"/>
      <c r="AV233" s="58"/>
      <c r="AW233" s="58"/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</row>
    <row r="234" spans="1:71" ht="15.75" customHeight="1" x14ac:dyDescent="0.2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87"/>
      <c r="U234" s="87"/>
      <c r="V234" s="87"/>
      <c r="W234" s="87"/>
      <c r="X234" s="87"/>
      <c r="Y234" s="87"/>
      <c r="Z234" s="87"/>
      <c r="AA234" s="87"/>
      <c r="AB234" s="87"/>
      <c r="AC234" s="88"/>
      <c r="AD234" s="88"/>
      <c r="AE234" s="88"/>
      <c r="AF234" s="88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58"/>
      <c r="AW234" s="58"/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</row>
    <row r="235" spans="1:71" ht="15.75" customHeight="1" x14ac:dyDescent="0.2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87"/>
      <c r="U235" s="87"/>
      <c r="V235" s="87"/>
      <c r="W235" s="87"/>
      <c r="X235" s="87"/>
      <c r="Y235" s="87"/>
      <c r="Z235" s="87"/>
      <c r="AA235" s="87"/>
      <c r="AB235" s="87"/>
      <c r="AC235" s="88"/>
      <c r="AD235" s="88"/>
      <c r="AE235" s="88"/>
      <c r="AF235" s="88"/>
      <c r="AG235" s="90"/>
      <c r="AH235" s="90"/>
      <c r="AI235" s="90"/>
      <c r="AJ235" s="90"/>
      <c r="AK235" s="90"/>
      <c r="AL235" s="90"/>
      <c r="AM235" s="90"/>
      <c r="AN235" s="90"/>
      <c r="AO235" s="90"/>
      <c r="AP235" s="90"/>
      <c r="AQ235" s="90"/>
      <c r="AR235" s="90"/>
      <c r="AS235" s="90"/>
      <c r="AT235" s="90"/>
      <c r="AU235" s="90"/>
      <c r="AV235" s="58"/>
      <c r="AW235" s="58"/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</row>
    <row r="236" spans="1:71" ht="15.75" customHeight="1" x14ac:dyDescent="0.2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87"/>
      <c r="U236" s="87"/>
      <c r="V236" s="87"/>
      <c r="W236" s="87"/>
      <c r="X236" s="87"/>
      <c r="Y236" s="87"/>
      <c r="Z236" s="87"/>
      <c r="AA236" s="87"/>
      <c r="AB236" s="87"/>
      <c r="AC236" s="88"/>
      <c r="AD236" s="88"/>
      <c r="AE236" s="88"/>
      <c r="AF236" s="88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58"/>
      <c r="AW236" s="58"/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</row>
    <row r="237" spans="1:71" ht="15.75" customHeight="1" x14ac:dyDescent="0.2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1"/>
      <c r="AD237" s="91"/>
      <c r="AE237" s="91"/>
      <c r="AF237" s="91"/>
      <c r="AG237" s="90"/>
      <c r="AH237" s="90"/>
      <c r="AI237" s="90"/>
      <c r="AJ237" s="90"/>
      <c r="AK237" s="90"/>
      <c r="AL237" s="90"/>
      <c r="AM237" s="90"/>
      <c r="AN237" s="90"/>
      <c r="AO237" s="90"/>
      <c r="AP237" s="90"/>
      <c r="AQ237" s="90"/>
      <c r="AR237" s="90"/>
      <c r="AS237" s="90"/>
      <c r="AT237" s="90"/>
      <c r="AU237" s="90"/>
      <c r="AV237" s="58"/>
      <c r="AW237" s="58"/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</row>
    <row r="238" spans="1:71" ht="15.75" customHeight="1" x14ac:dyDescent="0.2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1"/>
      <c r="AD238" s="91"/>
      <c r="AE238" s="91"/>
      <c r="AF238" s="91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58"/>
      <c r="AW238" s="58"/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</row>
    <row r="239" spans="1:71" ht="15.75" customHeight="1" x14ac:dyDescent="0.2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1"/>
      <c r="AD239" s="91"/>
      <c r="AE239" s="91"/>
      <c r="AF239" s="91"/>
      <c r="AG239" s="90"/>
      <c r="AH239" s="90"/>
      <c r="AI239" s="90"/>
      <c r="AJ239" s="90"/>
      <c r="AK239" s="90"/>
      <c r="AL239" s="90"/>
      <c r="AM239" s="90"/>
      <c r="AN239" s="90"/>
      <c r="AO239" s="90"/>
      <c r="AP239" s="90"/>
      <c r="AQ239" s="90"/>
      <c r="AR239" s="90"/>
      <c r="AS239" s="90"/>
      <c r="AT239" s="90"/>
      <c r="AU239" s="90"/>
      <c r="AV239" s="58"/>
      <c r="AW239" s="58"/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</row>
    <row r="240" spans="1:71" ht="15.75" customHeight="1" x14ac:dyDescent="0.2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1"/>
      <c r="AD240" s="91"/>
      <c r="AE240" s="91"/>
      <c r="AF240" s="91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58"/>
      <c r="AW240" s="58"/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</row>
    <row r="241" spans="1:71" ht="15.75" customHeight="1" x14ac:dyDescent="0.2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1"/>
      <c r="AD241" s="91"/>
      <c r="AE241" s="91"/>
      <c r="AF241" s="91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58"/>
      <c r="AW241" s="58"/>
      <c r="AX241" s="58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</row>
    <row r="242" spans="1:71" ht="15.75" customHeight="1" x14ac:dyDescent="0.2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1"/>
      <c r="AD242" s="91"/>
      <c r="AE242" s="91"/>
      <c r="AF242" s="91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58"/>
      <c r="AW242" s="58"/>
      <c r="AX242" s="58"/>
      <c r="AY242" s="58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</row>
    <row r="243" spans="1:71" ht="15.75" customHeight="1" x14ac:dyDescent="0.2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1"/>
      <c r="AD243" s="91"/>
      <c r="AE243" s="91"/>
      <c r="AF243" s="91"/>
      <c r="AG243" s="90"/>
      <c r="AH243" s="90"/>
      <c r="AI243" s="90"/>
      <c r="AJ243" s="90"/>
      <c r="AK243" s="90"/>
      <c r="AL243" s="90"/>
      <c r="AM243" s="90"/>
      <c r="AN243" s="90"/>
      <c r="AO243" s="90"/>
      <c r="AP243" s="90"/>
      <c r="AQ243" s="90"/>
      <c r="AR243" s="90"/>
      <c r="AS243" s="90"/>
      <c r="AT243" s="90"/>
      <c r="AU243" s="90"/>
      <c r="AV243" s="58"/>
      <c r="AW243" s="58"/>
      <c r="AX243" s="58"/>
      <c r="AY243" s="58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</row>
    <row r="244" spans="1:71" ht="15.75" customHeight="1" x14ac:dyDescent="0.2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1"/>
      <c r="AD244" s="91"/>
      <c r="AE244" s="91"/>
      <c r="AF244" s="91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58"/>
      <c r="AW244" s="58"/>
      <c r="AX244" s="58"/>
      <c r="AY244" s="58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</row>
    <row r="245" spans="1:71" ht="15.75" customHeight="1" x14ac:dyDescent="0.2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1"/>
      <c r="AD245" s="91"/>
      <c r="AE245" s="91"/>
      <c r="AF245" s="91"/>
      <c r="AG245" s="90"/>
      <c r="AH245" s="90"/>
      <c r="AI245" s="90"/>
      <c r="AJ245" s="90"/>
      <c r="AK245" s="90"/>
      <c r="AL245" s="90"/>
      <c r="AM245" s="90"/>
      <c r="AN245" s="90"/>
      <c r="AO245" s="90"/>
      <c r="AP245" s="90"/>
      <c r="AQ245" s="90"/>
      <c r="AR245" s="90"/>
      <c r="AS245" s="90"/>
      <c r="AT245" s="90"/>
      <c r="AU245" s="90"/>
      <c r="AV245" s="58"/>
      <c r="AW245" s="58"/>
      <c r="AX245" s="58"/>
      <c r="AY245" s="58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</row>
    <row r="246" spans="1:71" ht="15.75" customHeight="1" x14ac:dyDescent="0.2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1"/>
      <c r="AD246" s="91"/>
      <c r="AE246" s="91"/>
      <c r="AF246" s="91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58"/>
      <c r="AW246" s="58"/>
      <c r="AX246" s="58"/>
      <c r="AY246" s="58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</row>
    <row r="247" spans="1:71" ht="15.75" customHeight="1" x14ac:dyDescent="0.2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1"/>
      <c r="AD247" s="91"/>
      <c r="AE247" s="91"/>
      <c r="AF247" s="91"/>
      <c r="AG247" s="90"/>
      <c r="AH247" s="90"/>
      <c r="AI247" s="90"/>
      <c r="AJ247" s="90"/>
      <c r="AK247" s="90"/>
      <c r="AL247" s="90"/>
      <c r="AM247" s="90"/>
      <c r="AN247" s="90"/>
      <c r="AO247" s="90"/>
      <c r="AP247" s="90"/>
      <c r="AQ247" s="90"/>
      <c r="AR247" s="90"/>
      <c r="AS247" s="90"/>
      <c r="AT247" s="90"/>
      <c r="AU247" s="90"/>
      <c r="AV247" s="58"/>
      <c r="AW247" s="58"/>
      <c r="AX247" s="58"/>
      <c r="AY247" s="58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</row>
    <row r="248" spans="1:71" ht="15.75" customHeight="1" x14ac:dyDescent="0.2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1"/>
      <c r="AD248" s="91"/>
      <c r="AE248" s="91"/>
      <c r="AF248" s="91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58"/>
      <c r="AW248" s="58"/>
      <c r="AX248" s="58"/>
      <c r="AY248" s="58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</row>
    <row r="249" spans="1:71" ht="15.75" customHeight="1" x14ac:dyDescent="0.2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1"/>
      <c r="AD249" s="91"/>
      <c r="AE249" s="91"/>
      <c r="AF249" s="91"/>
      <c r="AG249" s="90"/>
      <c r="AH249" s="90"/>
      <c r="AI249" s="90"/>
      <c r="AJ249" s="90"/>
      <c r="AK249" s="90"/>
      <c r="AL249" s="90"/>
      <c r="AM249" s="90"/>
      <c r="AN249" s="90"/>
      <c r="AO249" s="90"/>
      <c r="AP249" s="90"/>
      <c r="AQ249" s="90"/>
      <c r="AR249" s="90"/>
      <c r="AS249" s="90"/>
      <c r="AT249" s="90"/>
      <c r="AU249" s="90"/>
      <c r="AV249" s="58"/>
      <c r="AW249" s="58"/>
      <c r="AX249" s="58"/>
      <c r="AY249" s="58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</row>
    <row r="250" spans="1:71" ht="15.75" customHeight="1" x14ac:dyDescent="0.2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1"/>
      <c r="AD250" s="91"/>
      <c r="AE250" s="91"/>
      <c r="AF250" s="91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58"/>
      <c r="AW250" s="58"/>
      <c r="AX250" s="58"/>
      <c r="AY250" s="58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</row>
    <row r="251" spans="1:71" ht="15.75" customHeight="1" x14ac:dyDescent="0.2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1"/>
      <c r="AD251" s="91"/>
      <c r="AE251" s="91"/>
      <c r="AF251" s="91"/>
      <c r="AG251" s="90"/>
      <c r="AH251" s="90"/>
      <c r="AI251" s="90"/>
      <c r="AJ251" s="90"/>
      <c r="AK251" s="90"/>
      <c r="AL251" s="90"/>
      <c r="AM251" s="90"/>
      <c r="AN251" s="90"/>
      <c r="AO251" s="90"/>
      <c r="AP251" s="90"/>
      <c r="AQ251" s="90"/>
      <c r="AR251" s="90"/>
      <c r="AS251" s="90"/>
      <c r="AT251" s="90"/>
      <c r="AU251" s="90"/>
      <c r="AV251" s="58"/>
      <c r="AW251" s="58"/>
      <c r="AX251" s="58"/>
      <c r="AY251" s="58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</row>
    <row r="252" spans="1:71" ht="15.75" customHeight="1" x14ac:dyDescent="0.2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1"/>
      <c r="AD252" s="91"/>
      <c r="AE252" s="91"/>
      <c r="AF252" s="91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58"/>
      <c r="AW252" s="58"/>
      <c r="AX252" s="58"/>
      <c r="AY252" s="58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</row>
    <row r="253" spans="1:71" ht="15.75" customHeight="1" x14ac:dyDescent="0.2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1"/>
      <c r="AD253" s="91"/>
      <c r="AE253" s="91"/>
      <c r="AF253" s="91"/>
      <c r="AG253" s="90"/>
      <c r="AH253" s="90"/>
      <c r="AI253" s="90"/>
      <c r="AJ253" s="90"/>
      <c r="AK253" s="90"/>
      <c r="AL253" s="90"/>
      <c r="AM253" s="90"/>
      <c r="AN253" s="90"/>
      <c r="AO253" s="90"/>
      <c r="AP253" s="90"/>
      <c r="AQ253" s="90"/>
      <c r="AR253" s="90"/>
      <c r="AS253" s="90"/>
      <c r="AT253" s="90"/>
      <c r="AU253" s="90"/>
      <c r="AV253" s="58"/>
      <c r="AW253" s="58"/>
      <c r="AX253" s="58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</row>
    <row r="254" spans="1:71" ht="15.75" customHeight="1" x14ac:dyDescent="0.2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1"/>
      <c r="AD254" s="91"/>
      <c r="AE254" s="91"/>
      <c r="AF254" s="91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58"/>
      <c r="AW254" s="58"/>
      <c r="AX254" s="58"/>
      <c r="AY254" s="58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</row>
    <row r="255" spans="1:71" ht="15.75" customHeight="1" x14ac:dyDescent="0.2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1"/>
      <c r="AD255" s="91"/>
      <c r="AE255" s="91"/>
      <c r="AF255" s="91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58"/>
      <c r="AW255" s="58"/>
      <c r="AX255" s="58"/>
      <c r="AY255" s="58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</row>
    <row r="256" spans="1:71" ht="15.75" customHeight="1" x14ac:dyDescent="0.2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1"/>
      <c r="AD256" s="91"/>
      <c r="AE256" s="91"/>
      <c r="AF256" s="91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58"/>
      <c r="AW256" s="58"/>
      <c r="AX256" s="58"/>
      <c r="AY256" s="58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</row>
    <row r="257" spans="1:71" ht="15.75" customHeight="1" x14ac:dyDescent="0.2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1"/>
      <c r="AD257" s="91"/>
      <c r="AE257" s="91"/>
      <c r="AF257" s="91"/>
      <c r="AG257" s="90"/>
      <c r="AH257" s="90"/>
      <c r="AI257" s="90"/>
      <c r="AJ257" s="90"/>
      <c r="AK257" s="90"/>
      <c r="AL257" s="90"/>
      <c r="AM257" s="90"/>
      <c r="AN257" s="90"/>
      <c r="AO257" s="90"/>
      <c r="AP257" s="90"/>
      <c r="AQ257" s="90"/>
      <c r="AR257" s="90"/>
      <c r="AS257" s="90"/>
      <c r="AT257" s="90"/>
      <c r="AU257" s="90"/>
      <c r="AV257" s="58"/>
      <c r="AW257" s="58"/>
      <c r="AX257" s="58"/>
      <c r="AY257" s="58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</row>
    <row r="258" spans="1:71" ht="15.75" customHeight="1" x14ac:dyDescent="0.2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1"/>
      <c r="AD258" s="91"/>
      <c r="AE258" s="91"/>
      <c r="AF258" s="91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58"/>
      <c r="AW258" s="58"/>
      <c r="AX258" s="58"/>
      <c r="AY258" s="58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</row>
    <row r="259" spans="1:71" ht="15.75" customHeight="1" x14ac:dyDescent="0.2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1"/>
      <c r="AD259" s="91"/>
      <c r="AE259" s="91"/>
      <c r="AF259" s="91"/>
      <c r="AG259" s="90"/>
      <c r="AH259" s="90"/>
      <c r="AI259" s="90"/>
      <c r="AJ259" s="90"/>
      <c r="AK259" s="90"/>
      <c r="AL259" s="90"/>
      <c r="AM259" s="90"/>
      <c r="AN259" s="90"/>
      <c r="AO259" s="90"/>
      <c r="AP259" s="90"/>
      <c r="AQ259" s="90"/>
      <c r="AR259" s="90"/>
      <c r="AS259" s="90"/>
      <c r="AT259" s="90"/>
      <c r="AU259" s="90"/>
      <c r="AV259" s="58"/>
      <c r="AW259" s="58"/>
      <c r="AX259" s="58"/>
      <c r="AY259" s="58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</row>
    <row r="260" spans="1:71" ht="15.75" customHeight="1" x14ac:dyDescent="0.2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1"/>
      <c r="AD260" s="91"/>
      <c r="AE260" s="91"/>
      <c r="AF260" s="91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58"/>
      <c r="AW260" s="58"/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</row>
    <row r="261" spans="1:71" ht="15.75" customHeight="1" x14ac:dyDescent="0.2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1"/>
      <c r="AD261" s="91"/>
      <c r="AE261" s="91"/>
      <c r="AF261" s="91"/>
      <c r="AG261" s="90"/>
      <c r="AH261" s="90"/>
      <c r="AI261" s="90"/>
      <c r="AJ261" s="90"/>
      <c r="AK261" s="90"/>
      <c r="AL261" s="90"/>
      <c r="AM261" s="90"/>
      <c r="AN261" s="90"/>
      <c r="AO261" s="90"/>
      <c r="AP261" s="90"/>
      <c r="AQ261" s="90"/>
      <c r="AR261" s="90"/>
      <c r="AS261" s="90"/>
      <c r="AT261" s="90"/>
      <c r="AU261" s="90"/>
      <c r="AV261" s="58"/>
      <c r="AW261" s="58"/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</row>
    <row r="262" spans="1:71" ht="15.75" customHeight="1" x14ac:dyDescent="0.2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1"/>
      <c r="AD262" s="91"/>
      <c r="AE262" s="91"/>
      <c r="AF262" s="91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58"/>
      <c r="AW262" s="58"/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</row>
    <row r="263" spans="1:71" ht="15.75" customHeight="1" x14ac:dyDescent="0.2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1"/>
      <c r="AD263" s="91"/>
      <c r="AE263" s="91"/>
      <c r="AF263" s="91"/>
      <c r="AG263" s="90"/>
      <c r="AH263" s="90"/>
      <c r="AI263" s="90"/>
      <c r="AJ263" s="90"/>
      <c r="AK263" s="90"/>
      <c r="AL263" s="90"/>
      <c r="AM263" s="90"/>
      <c r="AN263" s="90"/>
      <c r="AO263" s="90"/>
      <c r="AP263" s="90"/>
      <c r="AQ263" s="90"/>
      <c r="AR263" s="90"/>
      <c r="AS263" s="90"/>
      <c r="AT263" s="90"/>
      <c r="AU263" s="90"/>
      <c r="AV263" s="58"/>
      <c r="AW263" s="58"/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</row>
    <row r="264" spans="1:71" ht="15.75" customHeight="1" x14ac:dyDescent="0.2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1"/>
      <c r="AD264" s="91"/>
      <c r="AE264" s="91"/>
      <c r="AF264" s="91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58"/>
      <c r="AW264" s="58"/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</row>
    <row r="265" spans="1:71" ht="15.75" customHeight="1" x14ac:dyDescent="0.2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1"/>
      <c r="AD265" s="91"/>
      <c r="AE265" s="91"/>
      <c r="AF265" s="91"/>
      <c r="AG265" s="90"/>
      <c r="AH265" s="90"/>
      <c r="AI265" s="90"/>
      <c r="AJ265" s="90"/>
      <c r="AK265" s="90"/>
      <c r="AL265" s="90"/>
      <c r="AM265" s="90"/>
      <c r="AN265" s="90"/>
      <c r="AO265" s="90"/>
      <c r="AP265" s="90"/>
      <c r="AQ265" s="90"/>
      <c r="AR265" s="90"/>
      <c r="AS265" s="90"/>
      <c r="AT265" s="90"/>
      <c r="AU265" s="90"/>
      <c r="AV265" s="58"/>
      <c r="AW265" s="58"/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</row>
    <row r="266" spans="1:71" ht="15.75" customHeight="1" x14ac:dyDescent="0.2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1"/>
      <c r="AD266" s="91"/>
      <c r="AE266" s="91"/>
      <c r="AF266" s="91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58"/>
      <c r="AW266" s="58"/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</row>
    <row r="267" spans="1:71" ht="15.75" customHeight="1" x14ac:dyDescent="0.2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1"/>
      <c r="AD267" s="91"/>
      <c r="AE267" s="91"/>
      <c r="AF267" s="91"/>
      <c r="AG267" s="90"/>
      <c r="AH267" s="90"/>
      <c r="AI267" s="90"/>
      <c r="AJ267" s="90"/>
      <c r="AK267" s="90"/>
      <c r="AL267" s="90"/>
      <c r="AM267" s="90"/>
      <c r="AN267" s="90"/>
      <c r="AO267" s="90"/>
      <c r="AP267" s="90"/>
      <c r="AQ267" s="90"/>
      <c r="AR267" s="90"/>
      <c r="AS267" s="90"/>
      <c r="AT267" s="90"/>
      <c r="AU267" s="90"/>
      <c r="AV267" s="58"/>
      <c r="AW267" s="58"/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</row>
    <row r="268" spans="1:71" ht="15.75" customHeight="1" x14ac:dyDescent="0.2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1"/>
      <c r="AD268" s="91"/>
      <c r="AE268" s="91"/>
      <c r="AF268" s="91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58"/>
      <c r="AW268" s="58"/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</row>
    <row r="269" spans="1:71" ht="15.75" customHeight="1" x14ac:dyDescent="0.2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1"/>
      <c r="AD269" s="91"/>
      <c r="AE269" s="91"/>
      <c r="AF269" s="91"/>
      <c r="AG269" s="90"/>
      <c r="AH269" s="90"/>
      <c r="AI269" s="90"/>
      <c r="AJ269" s="90"/>
      <c r="AK269" s="90"/>
      <c r="AL269" s="90"/>
      <c r="AM269" s="90"/>
      <c r="AN269" s="90"/>
      <c r="AO269" s="90"/>
      <c r="AP269" s="90"/>
      <c r="AQ269" s="90"/>
      <c r="AR269" s="90"/>
      <c r="AS269" s="90"/>
      <c r="AT269" s="90"/>
      <c r="AU269" s="90"/>
      <c r="AV269" s="58"/>
      <c r="AW269" s="58"/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</row>
    <row r="270" spans="1:71" ht="15.75" customHeight="1" x14ac:dyDescent="0.2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1"/>
      <c r="AD270" s="91"/>
      <c r="AE270" s="91"/>
      <c r="AF270" s="91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58"/>
      <c r="AW270" s="58"/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</row>
    <row r="271" spans="1:71" ht="15.75" customHeight="1" x14ac:dyDescent="0.2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1"/>
      <c r="AD271" s="91"/>
      <c r="AE271" s="91"/>
      <c r="AF271" s="91"/>
      <c r="AG271" s="90"/>
      <c r="AH271" s="90"/>
      <c r="AI271" s="90"/>
      <c r="AJ271" s="90"/>
      <c r="AK271" s="90"/>
      <c r="AL271" s="90"/>
      <c r="AM271" s="90"/>
      <c r="AN271" s="90"/>
      <c r="AO271" s="90"/>
      <c r="AP271" s="90"/>
      <c r="AQ271" s="90"/>
      <c r="AR271" s="90"/>
      <c r="AS271" s="90"/>
      <c r="AT271" s="90"/>
      <c r="AU271" s="90"/>
      <c r="AV271" s="58"/>
      <c r="AW271" s="58"/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</row>
    <row r="272" spans="1:71" ht="15.75" customHeight="1" x14ac:dyDescent="0.2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1"/>
      <c r="AD272" s="91"/>
      <c r="AE272" s="91"/>
      <c r="AF272" s="91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58"/>
      <c r="AW272" s="58"/>
      <c r="AX272" s="58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</row>
    <row r="273" spans="1:71" ht="15.75" customHeight="1" x14ac:dyDescent="0.2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1"/>
      <c r="AD273" s="91"/>
      <c r="AE273" s="91"/>
      <c r="AF273" s="91"/>
      <c r="AG273" s="90"/>
      <c r="AH273" s="90"/>
      <c r="AI273" s="90"/>
      <c r="AJ273" s="90"/>
      <c r="AK273" s="90"/>
      <c r="AL273" s="90"/>
      <c r="AM273" s="90"/>
      <c r="AN273" s="90"/>
      <c r="AO273" s="90"/>
      <c r="AP273" s="90"/>
      <c r="AQ273" s="90"/>
      <c r="AR273" s="90"/>
      <c r="AS273" s="90"/>
      <c r="AT273" s="90"/>
      <c r="AU273" s="90"/>
      <c r="AV273" s="58"/>
      <c r="AW273" s="58"/>
      <c r="AX273" s="58"/>
      <c r="AY273" s="58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</row>
    <row r="274" spans="1:71" ht="15.75" customHeight="1" x14ac:dyDescent="0.2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1"/>
      <c r="AD274" s="91"/>
      <c r="AE274" s="91"/>
      <c r="AF274" s="91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58"/>
      <c r="AW274" s="58"/>
      <c r="AX274" s="58"/>
      <c r="AY274" s="58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</row>
    <row r="275" spans="1:71" ht="15.75" customHeight="1" x14ac:dyDescent="0.2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1"/>
      <c r="AD275" s="91"/>
      <c r="AE275" s="91"/>
      <c r="AF275" s="91"/>
      <c r="AG275" s="90"/>
      <c r="AH275" s="90"/>
      <c r="AI275" s="90"/>
      <c r="AJ275" s="90"/>
      <c r="AK275" s="90"/>
      <c r="AL275" s="90"/>
      <c r="AM275" s="90"/>
      <c r="AN275" s="90"/>
      <c r="AO275" s="90"/>
      <c r="AP275" s="90"/>
      <c r="AQ275" s="90"/>
      <c r="AR275" s="90"/>
      <c r="AS275" s="90"/>
      <c r="AT275" s="90"/>
      <c r="AU275" s="90"/>
      <c r="AV275" s="58"/>
      <c r="AW275" s="58"/>
      <c r="AX275" s="58"/>
      <c r="AY275" s="58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</row>
    <row r="276" spans="1:71" ht="15.75" customHeight="1" x14ac:dyDescent="0.2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1"/>
      <c r="AD276" s="91"/>
      <c r="AE276" s="91"/>
      <c r="AF276" s="91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58"/>
      <c r="AW276" s="58"/>
      <c r="AX276" s="58"/>
      <c r="AY276" s="58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</row>
    <row r="277" spans="1:71" ht="15.75" customHeight="1" x14ac:dyDescent="0.2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1"/>
      <c r="AD277" s="91"/>
      <c r="AE277" s="91"/>
      <c r="AF277" s="91"/>
      <c r="AG277" s="90"/>
      <c r="AH277" s="90"/>
      <c r="AI277" s="90"/>
      <c r="AJ277" s="90"/>
      <c r="AK277" s="90"/>
      <c r="AL277" s="90"/>
      <c r="AM277" s="90"/>
      <c r="AN277" s="90"/>
      <c r="AO277" s="90"/>
      <c r="AP277" s="90"/>
      <c r="AQ277" s="90"/>
      <c r="AR277" s="90"/>
      <c r="AS277" s="90"/>
      <c r="AT277" s="90"/>
      <c r="AU277" s="90"/>
      <c r="AV277" s="58"/>
      <c r="AW277" s="58"/>
      <c r="AX277" s="58"/>
      <c r="AY277" s="58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</row>
    <row r="278" spans="1:71" ht="15.75" customHeight="1" x14ac:dyDescent="0.2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1"/>
      <c r="AD278" s="91"/>
      <c r="AE278" s="91"/>
      <c r="AF278" s="91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58"/>
      <c r="AW278" s="58"/>
      <c r="AX278" s="58"/>
      <c r="AY278" s="58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</row>
    <row r="279" spans="1:71" ht="15.75" customHeight="1" x14ac:dyDescent="0.2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1"/>
      <c r="AD279" s="91"/>
      <c r="AE279" s="91"/>
      <c r="AF279" s="91"/>
      <c r="AG279" s="90"/>
      <c r="AH279" s="90"/>
      <c r="AI279" s="90"/>
      <c r="AJ279" s="90"/>
      <c r="AK279" s="90"/>
      <c r="AL279" s="90"/>
      <c r="AM279" s="90"/>
      <c r="AN279" s="90"/>
      <c r="AO279" s="90"/>
      <c r="AP279" s="90"/>
      <c r="AQ279" s="90"/>
      <c r="AR279" s="90"/>
      <c r="AS279" s="90"/>
      <c r="AT279" s="90"/>
      <c r="AU279" s="90"/>
      <c r="AV279" s="58"/>
      <c r="AW279" s="58"/>
      <c r="AX279" s="58"/>
      <c r="AY279" s="58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</row>
    <row r="280" spans="1:71" ht="15.75" customHeight="1" x14ac:dyDescent="0.2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1"/>
      <c r="AD280" s="91"/>
      <c r="AE280" s="91"/>
      <c r="AF280" s="91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</row>
    <row r="281" spans="1:71" ht="15.75" customHeight="1" x14ac:dyDescent="0.2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1"/>
      <c r="AD281" s="91"/>
      <c r="AE281" s="91"/>
      <c r="AF281" s="91"/>
      <c r="AG281" s="90"/>
      <c r="AH281" s="90"/>
      <c r="AI281" s="90"/>
      <c r="AJ281" s="90"/>
      <c r="AK281" s="90"/>
      <c r="AL281" s="90"/>
      <c r="AM281" s="90"/>
      <c r="AN281" s="90"/>
      <c r="AO281" s="90"/>
      <c r="AP281" s="90"/>
      <c r="AQ281" s="90"/>
      <c r="AR281" s="90"/>
      <c r="AS281" s="90"/>
      <c r="AT281" s="90"/>
      <c r="AU281" s="90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</row>
    <row r="282" spans="1:71" ht="15.75" customHeight="1" x14ac:dyDescent="0.2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1"/>
      <c r="AD282" s="91"/>
      <c r="AE282" s="91"/>
      <c r="AF282" s="91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</row>
    <row r="283" spans="1:71" ht="15.75" customHeight="1" x14ac:dyDescent="0.2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1"/>
      <c r="AD283" s="91"/>
      <c r="AE283" s="91"/>
      <c r="AF283" s="91"/>
      <c r="AG283" s="90"/>
      <c r="AH283" s="90"/>
      <c r="AI283" s="90"/>
      <c r="AJ283" s="90"/>
      <c r="AK283" s="90"/>
      <c r="AL283" s="90"/>
      <c r="AM283" s="90"/>
      <c r="AN283" s="90"/>
      <c r="AO283" s="90"/>
      <c r="AP283" s="90"/>
      <c r="AQ283" s="90"/>
      <c r="AR283" s="90"/>
      <c r="AS283" s="90"/>
      <c r="AT283" s="90"/>
      <c r="AU283" s="90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</row>
    <row r="284" spans="1:71" ht="15.75" customHeight="1" x14ac:dyDescent="0.2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1"/>
      <c r="AD284" s="91"/>
      <c r="AE284" s="91"/>
      <c r="AF284" s="91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58"/>
      <c r="AW284" s="58"/>
      <c r="AX284" s="58"/>
      <c r="AY284" s="58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</row>
    <row r="285" spans="1:71" ht="15.75" customHeight="1" x14ac:dyDescent="0.2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1"/>
      <c r="AD285" s="91"/>
      <c r="AE285" s="91"/>
      <c r="AF285" s="91"/>
      <c r="AG285" s="90"/>
      <c r="AH285" s="90"/>
      <c r="AI285" s="90"/>
      <c r="AJ285" s="90"/>
      <c r="AK285" s="90"/>
      <c r="AL285" s="90"/>
      <c r="AM285" s="90"/>
      <c r="AN285" s="90"/>
      <c r="AO285" s="90"/>
      <c r="AP285" s="90"/>
      <c r="AQ285" s="90"/>
      <c r="AR285" s="90"/>
      <c r="AS285" s="90"/>
      <c r="AT285" s="90"/>
      <c r="AU285" s="90"/>
      <c r="AV285" s="58"/>
      <c r="AW285" s="58"/>
      <c r="AX285" s="58"/>
      <c r="AY285" s="58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</row>
    <row r="286" spans="1:71" ht="15.75" customHeight="1" x14ac:dyDescent="0.2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1"/>
      <c r="AD286" s="91"/>
      <c r="AE286" s="91"/>
      <c r="AF286" s="91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58"/>
      <c r="AW286" s="58"/>
      <c r="AX286" s="58"/>
      <c r="AY286" s="58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</row>
    <row r="287" spans="1:71" ht="15.75" customHeight="1" x14ac:dyDescent="0.2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1"/>
      <c r="AD287" s="91"/>
      <c r="AE287" s="91"/>
      <c r="AF287" s="91"/>
      <c r="AG287" s="90"/>
      <c r="AH287" s="90"/>
      <c r="AI287" s="90"/>
      <c r="AJ287" s="90"/>
      <c r="AK287" s="90"/>
      <c r="AL287" s="90"/>
      <c r="AM287" s="90"/>
      <c r="AN287" s="90"/>
      <c r="AO287" s="90"/>
      <c r="AP287" s="90"/>
      <c r="AQ287" s="90"/>
      <c r="AR287" s="90"/>
      <c r="AS287" s="90"/>
      <c r="AT287" s="90"/>
      <c r="AU287" s="90"/>
      <c r="AV287" s="58"/>
      <c r="AW287" s="58"/>
      <c r="AX287" s="58"/>
      <c r="AY287" s="58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</row>
    <row r="288" spans="1:71" ht="15.75" customHeight="1" x14ac:dyDescent="0.2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1"/>
      <c r="AD288" s="91"/>
      <c r="AE288" s="91"/>
      <c r="AF288" s="91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58"/>
      <c r="AW288" s="58"/>
      <c r="AX288" s="58"/>
      <c r="AY288" s="58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</row>
    <row r="289" spans="1:71" ht="15.75" customHeight="1" x14ac:dyDescent="0.2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1"/>
      <c r="AD289" s="91"/>
      <c r="AE289" s="91"/>
      <c r="AF289" s="91"/>
      <c r="AG289" s="90"/>
      <c r="AH289" s="90"/>
      <c r="AI289" s="90"/>
      <c r="AJ289" s="90"/>
      <c r="AK289" s="90"/>
      <c r="AL289" s="90"/>
      <c r="AM289" s="90"/>
      <c r="AN289" s="90"/>
      <c r="AO289" s="90"/>
      <c r="AP289" s="90"/>
      <c r="AQ289" s="90"/>
      <c r="AR289" s="90"/>
      <c r="AS289" s="90"/>
      <c r="AT289" s="90"/>
      <c r="AU289" s="90"/>
      <c r="AV289" s="58"/>
      <c r="AW289" s="58"/>
      <c r="AX289" s="58"/>
      <c r="AY289" s="58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</row>
    <row r="290" spans="1:71" ht="15.75" customHeight="1" x14ac:dyDescent="0.2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1"/>
      <c r="AD290" s="91"/>
      <c r="AE290" s="91"/>
      <c r="AF290" s="91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58"/>
      <c r="AW290" s="58"/>
      <c r="AX290" s="58"/>
      <c r="AY290" s="58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</row>
    <row r="291" spans="1:71" ht="15.75" customHeight="1" x14ac:dyDescent="0.2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1"/>
      <c r="AD291" s="91"/>
      <c r="AE291" s="91"/>
      <c r="AF291" s="91"/>
      <c r="AG291" s="90"/>
      <c r="AH291" s="90"/>
      <c r="AI291" s="90"/>
      <c r="AJ291" s="90"/>
      <c r="AK291" s="90"/>
      <c r="AL291" s="90"/>
      <c r="AM291" s="90"/>
      <c r="AN291" s="90"/>
      <c r="AO291" s="90"/>
      <c r="AP291" s="90"/>
      <c r="AQ291" s="90"/>
      <c r="AR291" s="90"/>
      <c r="AS291" s="90"/>
      <c r="AT291" s="90"/>
      <c r="AU291" s="90"/>
      <c r="AV291" s="58"/>
      <c r="AW291" s="58"/>
      <c r="AX291" s="58"/>
      <c r="AY291" s="58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</row>
    <row r="292" spans="1:71" ht="15.75" customHeight="1" x14ac:dyDescent="0.2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1"/>
      <c r="AD292" s="91"/>
      <c r="AE292" s="91"/>
      <c r="AF292" s="91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58"/>
      <c r="AW292" s="58"/>
      <c r="AX292" s="58"/>
      <c r="AY292" s="58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</row>
    <row r="293" spans="1:71" ht="15.75" customHeight="1" x14ac:dyDescent="0.2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1"/>
      <c r="AD293" s="91"/>
      <c r="AE293" s="91"/>
      <c r="AF293" s="91"/>
      <c r="AG293" s="90"/>
      <c r="AH293" s="90"/>
      <c r="AI293" s="90"/>
      <c r="AJ293" s="90"/>
      <c r="AK293" s="90"/>
      <c r="AL293" s="90"/>
      <c r="AM293" s="90"/>
      <c r="AN293" s="90"/>
      <c r="AO293" s="90"/>
      <c r="AP293" s="90"/>
      <c r="AQ293" s="90"/>
      <c r="AR293" s="90"/>
      <c r="AS293" s="90"/>
      <c r="AT293" s="90"/>
      <c r="AU293" s="90"/>
      <c r="AV293" s="58"/>
      <c r="AW293" s="58"/>
      <c r="AX293" s="58"/>
      <c r="AY293" s="58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</row>
    <row r="294" spans="1:71" ht="15.75" customHeight="1" x14ac:dyDescent="0.2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1"/>
      <c r="AD294" s="91"/>
      <c r="AE294" s="91"/>
      <c r="AF294" s="91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58"/>
      <c r="AW294" s="58"/>
      <c r="AX294" s="58"/>
      <c r="AY294" s="58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</row>
    <row r="295" spans="1:71" ht="15.75" customHeight="1" x14ac:dyDescent="0.2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1"/>
      <c r="AD295" s="91"/>
      <c r="AE295" s="91"/>
      <c r="AF295" s="91"/>
      <c r="AG295" s="90"/>
      <c r="AH295" s="90"/>
      <c r="AI295" s="90"/>
      <c r="AJ295" s="90"/>
      <c r="AK295" s="90"/>
      <c r="AL295" s="90"/>
      <c r="AM295" s="90"/>
      <c r="AN295" s="90"/>
      <c r="AO295" s="90"/>
      <c r="AP295" s="90"/>
      <c r="AQ295" s="90"/>
      <c r="AR295" s="90"/>
      <c r="AS295" s="90"/>
      <c r="AT295" s="90"/>
      <c r="AU295" s="90"/>
      <c r="AV295" s="58"/>
      <c r="AW295" s="58"/>
      <c r="AX295" s="58"/>
      <c r="AY295" s="58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</row>
    <row r="296" spans="1:71" ht="15.75" customHeight="1" x14ac:dyDescent="0.2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1"/>
      <c r="AD296" s="91"/>
      <c r="AE296" s="91"/>
      <c r="AF296" s="91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58"/>
      <c r="AW296" s="58"/>
      <c r="AX296" s="58"/>
      <c r="AY296" s="58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</row>
    <row r="297" spans="1:71" ht="15.75" customHeight="1" x14ac:dyDescent="0.2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1"/>
      <c r="AD297" s="91"/>
      <c r="AE297" s="91"/>
      <c r="AF297" s="91"/>
      <c r="AG297" s="90"/>
      <c r="AH297" s="90"/>
      <c r="AI297" s="90"/>
      <c r="AJ297" s="90"/>
      <c r="AK297" s="90"/>
      <c r="AL297" s="90"/>
      <c r="AM297" s="90"/>
      <c r="AN297" s="90"/>
      <c r="AO297" s="90"/>
      <c r="AP297" s="90"/>
      <c r="AQ297" s="90"/>
      <c r="AR297" s="90"/>
      <c r="AS297" s="90"/>
      <c r="AT297" s="90"/>
      <c r="AU297" s="90"/>
      <c r="AV297" s="58"/>
      <c r="AW297" s="58"/>
      <c r="AX297" s="58"/>
      <c r="AY297" s="58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</row>
    <row r="298" spans="1:71" ht="15.75" customHeight="1" x14ac:dyDescent="0.2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1"/>
      <c r="AD298" s="91"/>
      <c r="AE298" s="91"/>
      <c r="AF298" s="91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58"/>
      <c r="AW298" s="58"/>
      <c r="AX298" s="58"/>
      <c r="AY298" s="58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</row>
    <row r="299" spans="1:71" ht="15.75" customHeight="1" x14ac:dyDescent="0.2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1"/>
      <c r="AD299" s="91"/>
      <c r="AE299" s="91"/>
      <c r="AF299" s="91"/>
      <c r="AG299" s="90"/>
      <c r="AH299" s="90"/>
      <c r="AI299" s="90"/>
      <c r="AJ299" s="90"/>
      <c r="AK299" s="90"/>
      <c r="AL299" s="90"/>
      <c r="AM299" s="90"/>
      <c r="AN299" s="90"/>
      <c r="AO299" s="90"/>
      <c r="AP299" s="90"/>
      <c r="AQ299" s="90"/>
      <c r="AR299" s="90"/>
      <c r="AS299" s="90"/>
      <c r="AT299" s="90"/>
      <c r="AU299" s="90"/>
      <c r="AV299" s="58"/>
      <c r="AW299" s="58"/>
      <c r="AX299" s="58"/>
      <c r="AY299" s="58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</row>
    <row r="300" spans="1:71" ht="15.75" customHeight="1" x14ac:dyDescent="0.2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1"/>
      <c r="AD300" s="91"/>
      <c r="AE300" s="91"/>
      <c r="AF300" s="91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58"/>
      <c r="AW300" s="58"/>
      <c r="AX300" s="58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</row>
    <row r="301" spans="1:71" ht="15.75" customHeight="1" x14ac:dyDescent="0.2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1"/>
      <c r="AD301" s="91"/>
      <c r="AE301" s="91"/>
      <c r="AF301" s="91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0"/>
      <c r="AR301" s="90"/>
      <c r="AS301" s="90"/>
      <c r="AT301" s="90"/>
      <c r="AU301" s="90"/>
      <c r="AV301" s="58"/>
      <c r="AW301" s="58"/>
      <c r="AX301" s="58"/>
      <c r="AY301" s="58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</row>
    <row r="302" spans="1:71" ht="15.75" customHeight="1" x14ac:dyDescent="0.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1"/>
      <c r="AD302" s="91"/>
      <c r="AE302" s="91"/>
      <c r="AF302" s="91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58"/>
      <c r="AW302" s="58"/>
      <c r="AX302" s="58"/>
      <c r="AY302" s="58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</row>
    <row r="303" spans="1:71" ht="15.75" customHeight="1" x14ac:dyDescent="0.2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1"/>
      <c r="AD303" s="91"/>
      <c r="AE303" s="91"/>
      <c r="AF303" s="91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0"/>
      <c r="AR303" s="90"/>
      <c r="AS303" s="90"/>
      <c r="AT303" s="90"/>
      <c r="AU303" s="90"/>
      <c r="AV303" s="58"/>
      <c r="AW303" s="58"/>
      <c r="AX303" s="58"/>
      <c r="AY303" s="58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</row>
    <row r="304" spans="1:71" ht="15.75" customHeight="1" x14ac:dyDescent="0.2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1"/>
      <c r="AD304" s="91"/>
      <c r="AE304" s="91"/>
      <c r="AF304" s="91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58"/>
      <c r="AW304" s="58"/>
      <c r="AX304" s="58"/>
      <c r="AY304" s="58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</row>
    <row r="305" spans="1:71" ht="15.75" customHeight="1" x14ac:dyDescent="0.2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1"/>
      <c r="AD305" s="91"/>
      <c r="AE305" s="91"/>
      <c r="AF305" s="91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0"/>
      <c r="AR305" s="90"/>
      <c r="AS305" s="90"/>
      <c r="AT305" s="90"/>
      <c r="AU305" s="90"/>
      <c r="AV305" s="58"/>
      <c r="AW305" s="58"/>
      <c r="AX305" s="58"/>
      <c r="AY305" s="58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</row>
    <row r="306" spans="1:71" ht="15.75" customHeight="1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1"/>
      <c r="AD306" s="91"/>
      <c r="AE306" s="91"/>
      <c r="AF306" s="91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58"/>
      <c r="AW306" s="58"/>
      <c r="AX306" s="58"/>
      <c r="AY306" s="58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</row>
    <row r="307" spans="1:71" ht="15.75" customHeight="1" x14ac:dyDescent="0.2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1"/>
      <c r="AD307" s="91"/>
      <c r="AE307" s="91"/>
      <c r="AF307" s="91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0"/>
      <c r="AR307" s="90"/>
      <c r="AS307" s="90"/>
      <c r="AT307" s="90"/>
      <c r="AU307" s="90"/>
      <c r="AV307" s="58"/>
      <c r="AW307" s="58"/>
      <c r="AX307" s="58"/>
      <c r="AY307" s="58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</row>
    <row r="308" spans="1:71" ht="15.75" customHeight="1" x14ac:dyDescent="0.2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1"/>
      <c r="AD308" s="91"/>
      <c r="AE308" s="91"/>
      <c r="AF308" s="91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58"/>
      <c r="AW308" s="58"/>
      <c r="AX308" s="58"/>
      <c r="AY308" s="58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</row>
    <row r="309" spans="1:71" ht="15.75" customHeight="1" x14ac:dyDescent="0.2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1"/>
      <c r="AD309" s="91"/>
      <c r="AE309" s="91"/>
      <c r="AF309" s="91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0"/>
      <c r="AR309" s="90"/>
      <c r="AS309" s="90"/>
      <c r="AT309" s="90"/>
      <c r="AU309" s="90"/>
      <c r="AV309" s="58"/>
      <c r="AW309" s="58"/>
      <c r="AX309" s="58"/>
      <c r="AY309" s="58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</row>
    <row r="310" spans="1:71" ht="15.75" customHeight="1" x14ac:dyDescent="0.2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1"/>
      <c r="AD310" s="91"/>
      <c r="AE310" s="91"/>
      <c r="AF310" s="91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58"/>
      <c r="AW310" s="58"/>
      <c r="AX310" s="58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</row>
    <row r="311" spans="1:71" ht="15.75" customHeight="1" x14ac:dyDescent="0.2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1"/>
      <c r="AD311" s="91"/>
      <c r="AE311" s="91"/>
      <c r="AF311" s="91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0"/>
      <c r="AR311" s="90"/>
      <c r="AS311" s="90"/>
      <c r="AT311" s="90"/>
      <c r="AU311" s="90"/>
      <c r="AV311" s="58"/>
      <c r="AW311" s="58"/>
      <c r="AX311" s="58"/>
      <c r="AY311" s="58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</row>
    <row r="312" spans="1:71" ht="15.75" customHeight="1" x14ac:dyDescent="0.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1"/>
      <c r="AD312" s="91"/>
      <c r="AE312" s="91"/>
      <c r="AF312" s="91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58"/>
      <c r="AW312" s="58"/>
      <c r="AX312" s="58"/>
      <c r="AY312" s="58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</row>
    <row r="313" spans="1:71" ht="15.75" customHeight="1" x14ac:dyDescent="0.2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1"/>
      <c r="AD313" s="91"/>
      <c r="AE313" s="91"/>
      <c r="AF313" s="91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0"/>
      <c r="AR313" s="90"/>
      <c r="AS313" s="90"/>
      <c r="AT313" s="90"/>
      <c r="AU313" s="90"/>
      <c r="AV313" s="58"/>
      <c r="AW313" s="58"/>
      <c r="AX313" s="58"/>
      <c r="AY313" s="58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</row>
    <row r="314" spans="1:71" ht="15.75" customHeight="1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1"/>
      <c r="AD314" s="91"/>
      <c r="AE314" s="91"/>
      <c r="AF314" s="91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58"/>
      <c r="AW314" s="58"/>
      <c r="AX314" s="58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</row>
    <row r="315" spans="1:71" ht="15.75" customHeight="1" x14ac:dyDescent="0.2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1"/>
      <c r="AD315" s="91"/>
      <c r="AE315" s="91"/>
      <c r="AF315" s="91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0"/>
      <c r="AR315" s="90"/>
      <c r="AS315" s="90"/>
      <c r="AT315" s="90"/>
      <c r="AU315" s="90"/>
      <c r="AV315" s="58"/>
      <c r="AW315" s="58"/>
      <c r="AX315" s="58"/>
      <c r="AY315" s="58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</row>
    <row r="316" spans="1:71" ht="15.75" customHeight="1" x14ac:dyDescent="0.2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1"/>
      <c r="AD316" s="91"/>
      <c r="AE316" s="91"/>
      <c r="AF316" s="91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58"/>
      <c r="AW316" s="58"/>
      <c r="AX316" s="58"/>
      <c r="AY316" s="58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</row>
    <row r="317" spans="1:71" ht="15.75" customHeight="1" x14ac:dyDescent="0.2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1"/>
      <c r="AD317" s="91"/>
      <c r="AE317" s="91"/>
      <c r="AF317" s="91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0"/>
      <c r="AR317" s="90"/>
      <c r="AS317" s="90"/>
      <c r="AT317" s="90"/>
      <c r="AU317" s="90"/>
      <c r="AV317" s="58"/>
      <c r="AW317" s="58"/>
      <c r="AX317" s="58"/>
      <c r="AY317" s="58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</row>
    <row r="318" spans="1:71" ht="15.75" customHeight="1" x14ac:dyDescent="0.2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1"/>
      <c r="AD318" s="91"/>
      <c r="AE318" s="91"/>
      <c r="AF318" s="91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58"/>
      <c r="AW318" s="58"/>
      <c r="AX318" s="58"/>
      <c r="AY318" s="58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</row>
    <row r="319" spans="1:71" ht="15.75" customHeight="1" x14ac:dyDescent="0.2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1"/>
      <c r="AD319" s="91"/>
      <c r="AE319" s="91"/>
      <c r="AF319" s="91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0"/>
      <c r="AR319" s="90"/>
      <c r="AS319" s="90"/>
      <c r="AT319" s="90"/>
      <c r="AU319" s="90"/>
      <c r="AV319" s="58"/>
      <c r="AW319" s="58"/>
      <c r="AX319" s="58"/>
      <c r="AY319" s="58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</row>
    <row r="320" spans="1:71" ht="15.75" customHeight="1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1"/>
      <c r="AD320" s="91"/>
      <c r="AE320" s="91"/>
      <c r="AF320" s="91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58"/>
      <c r="AW320" s="58"/>
      <c r="AX320" s="58"/>
      <c r="AY320" s="58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</row>
    <row r="321" spans="1:71" ht="15.75" customHeight="1" x14ac:dyDescent="0.2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1"/>
      <c r="AD321" s="91"/>
      <c r="AE321" s="91"/>
      <c r="AF321" s="91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58"/>
      <c r="AW321" s="58"/>
      <c r="AX321" s="58"/>
      <c r="AY321" s="58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</row>
    <row r="322" spans="1:71" ht="15.75" customHeight="1" x14ac:dyDescent="0.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1"/>
      <c r="AD322" s="91"/>
      <c r="AE322" s="91"/>
      <c r="AF322" s="91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58"/>
      <c r="AW322" s="58"/>
      <c r="AX322" s="58"/>
      <c r="AY322" s="58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</row>
    <row r="323" spans="1:71" ht="15.75" customHeight="1" x14ac:dyDescent="0.2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1"/>
      <c r="AD323" s="91"/>
      <c r="AE323" s="91"/>
      <c r="AF323" s="91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0"/>
      <c r="AR323" s="90"/>
      <c r="AS323" s="90"/>
      <c r="AT323" s="90"/>
      <c r="AU323" s="90"/>
      <c r="AV323" s="58"/>
      <c r="AW323" s="58"/>
      <c r="AX323" s="58"/>
      <c r="AY323" s="58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</row>
    <row r="324" spans="1:71" ht="15.75" customHeight="1" x14ac:dyDescent="0.2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1"/>
      <c r="AD324" s="91"/>
      <c r="AE324" s="91"/>
      <c r="AF324" s="91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58"/>
      <c r="AW324" s="58"/>
      <c r="AX324" s="58"/>
      <c r="AY324" s="58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</row>
    <row r="325" spans="1:71" ht="15.75" customHeight="1" x14ac:dyDescent="0.2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1"/>
      <c r="AD325" s="91"/>
      <c r="AE325" s="91"/>
      <c r="AF325" s="91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0"/>
      <c r="AR325" s="90"/>
      <c r="AS325" s="90"/>
      <c r="AT325" s="90"/>
      <c r="AU325" s="90"/>
      <c r="AV325" s="58"/>
      <c r="AW325" s="58"/>
      <c r="AX325" s="58"/>
      <c r="AY325" s="58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</row>
    <row r="326" spans="1:71" ht="15.75" customHeight="1" x14ac:dyDescent="0.2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1"/>
      <c r="AD326" s="91"/>
      <c r="AE326" s="91"/>
      <c r="AF326" s="91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58"/>
      <c r="AW326" s="58"/>
      <c r="AX326" s="58"/>
      <c r="AY326" s="58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</row>
    <row r="327" spans="1:71" ht="15.75" customHeight="1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1"/>
      <c r="AD327" s="91"/>
      <c r="AE327" s="91"/>
      <c r="AF327" s="91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0"/>
      <c r="AR327" s="90"/>
      <c r="AS327" s="90"/>
      <c r="AT327" s="90"/>
      <c r="AU327" s="90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</row>
    <row r="328" spans="1:71" ht="15.75" customHeight="1" x14ac:dyDescent="0.2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1"/>
      <c r="AD328" s="91"/>
      <c r="AE328" s="91"/>
      <c r="AF328" s="91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</row>
    <row r="329" spans="1:71" ht="15.75" customHeight="1" x14ac:dyDescent="0.2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1"/>
      <c r="AD329" s="91"/>
      <c r="AE329" s="91"/>
      <c r="AF329" s="91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0"/>
      <c r="AR329" s="90"/>
      <c r="AS329" s="90"/>
      <c r="AT329" s="90"/>
      <c r="AU329" s="90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</row>
    <row r="330" spans="1:71" ht="15.75" customHeight="1" x14ac:dyDescent="0.2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1"/>
      <c r="AD330" s="91"/>
      <c r="AE330" s="91"/>
      <c r="AF330" s="91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58"/>
      <c r="AW330" s="58"/>
      <c r="AX330" s="58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</row>
    <row r="331" spans="1:71" ht="15.75" customHeight="1" x14ac:dyDescent="0.2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1"/>
      <c r="AD331" s="91"/>
      <c r="AE331" s="91"/>
      <c r="AF331" s="91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0"/>
      <c r="AR331" s="90"/>
      <c r="AS331" s="90"/>
      <c r="AT331" s="90"/>
      <c r="AU331" s="90"/>
      <c r="AV331" s="58"/>
      <c r="AW331" s="58"/>
      <c r="AX331" s="58"/>
      <c r="AY331" s="58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</row>
    <row r="332" spans="1:71" ht="15.75" customHeight="1" x14ac:dyDescent="0.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1"/>
      <c r="AD332" s="91"/>
      <c r="AE332" s="91"/>
      <c r="AF332" s="91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58"/>
      <c r="AW332" s="58"/>
      <c r="AX332" s="58"/>
      <c r="AY332" s="58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</row>
    <row r="333" spans="1:71" ht="15.75" customHeight="1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1"/>
      <c r="AD333" s="91"/>
      <c r="AE333" s="91"/>
      <c r="AF333" s="91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0"/>
      <c r="AR333" s="90"/>
      <c r="AS333" s="90"/>
      <c r="AT333" s="90"/>
      <c r="AU333" s="90"/>
      <c r="AV333" s="58"/>
      <c r="AW333" s="58"/>
      <c r="AX333" s="58"/>
      <c r="AY333" s="58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</row>
    <row r="334" spans="1:71" ht="15.75" customHeight="1" x14ac:dyDescent="0.2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1"/>
      <c r="AD334" s="91"/>
      <c r="AE334" s="91"/>
      <c r="AF334" s="91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58"/>
      <c r="AW334" s="58"/>
      <c r="AX334" s="58"/>
      <c r="AY334" s="58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</row>
    <row r="335" spans="1:71" ht="15.75" customHeight="1" x14ac:dyDescent="0.2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1"/>
      <c r="AD335" s="91"/>
      <c r="AE335" s="91"/>
      <c r="AF335" s="91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0"/>
      <c r="AR335" s="90"/>
      <c r="AS335" s="90"/>
      <c r="AT335" s="90"/>
      <c r="AU335" s="90"/>
      <c r="AV335" s="58"/>
      <c r="AW335" s="58"/>
      <c r="AX335" s="58"/>
      <c r="AY335" s="58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</row>
    <row r="336" spans="1:71" ht="15.75" customHeight="1" x14ac:dyDescent="0.2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1"/>
      <c r="AD336" s="91"/>
      <c r="AE336" s="91"/>
      <c r="AF336" s="91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58"/>
      <c r="AW336" s="58"/>
      <c r="AX336" s="58"/>
      <c r="AY336" s="58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</row>
    <row r="337" spans="1:71" ht="15.75" customHeight="1" x14ac:dyDescent="0.2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1"/>
      <c r="AD337" s="91"/>
      <c r="AE337" s="91"/>
      <c r="AF337" s="91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0"/>
      <c r="AR337" s="90"/>
      <c r="AS337" s="90"/>
      <c r="AT337" s="90"/>
      <c r="AU337" s="90"/>
      <c r="AV337" s="58"/>
      <c r="AW337" s="58"/>
      <c r="AX337" s="58"/>
      <c r="AY337" s="58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</row>
    <row r="338" spans="1:71" ht="15.75" customHeight="1" x14ac:dyDescent="0.2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1"/>
      <c r="AD338" s="91"/>
      <c r="AE338" s="91"/>
      <c r="AF338" s="91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58"/>
      <c r="AW338" s="58"/>
      <c r="AX338" s="58"/>
      <c r="AY338" s="58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</row>
    <row r="339" spans="1:71" ht="15.75" customHeight="1" x14ac:dyDescent="0.2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1"/>
      <c r="AD339" s="91"/>
      <c r="AE339" s="91"/>
      <c r="AF339" s="91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0"/>
      <c r="AR339" s="90"/>
      <c r="AS339" s="90"/>
      <c r="AT339" s="90"/>
      <c r="AU339" s="90"/>
      <c r="AV339" s="58"/>
      <c r="AW339" s="58"/>
      <c r="AX339" s="58"/>
      <c r="AY339" s="58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</row>
    <row r="340" spans="1:71" ht="15.75" customHeight="1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1"/>
      <c r="AD340" s="91"/>
      <c r="AE340" s="91"/>
      <c r="AF340" s="91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58"/>
      <c r="AW340" s="58"/>
      <c r="AX340" s="58"/>
      <c r="AY340" s="58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</row>
    <row r="341" spans="1:71" ht="15.75" customHeight="1" x14ac:dyDescent="0.2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1"/>
      <c r="AD341" s="91"/>
      <c r="AE341" s="91"/>
      <c r="AF341" s="91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0"/>
      <c r="AR341" s="90"/>
      <c r="AS341" s="90"/>
      <c r="AT341" s="90"/>
      <c r="AU341" s="90"/>
      <c r="AV341" s="58"/>
      <c r="AW341" s="58"/>
      <c r="AX341" s="58"/>
      <c r="AY341" s="58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</row>
    <row r="342" spans="1:71" ht="15.75" customHeight="1" x14ac:dyDescent="0.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1"/>
      <c r="AD342" s="91"/>
      <c r="AE342" s="91"/>
      <c r="AF342" s="91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58"/>
      <c r="AW342" s="58"/>
      <c r="AX342" s="58"/>
      <c r="AY342" s="58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</row>
    <row r="343" spans="1:71" ht="15.75" customHeight="1" x14ac:dyDescent="0.2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1"/>
      <c r="AD343" s="91"/>
      <c r="AE343" s="91"/>
      <c r="AF343" s="91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0"/>
      <c r="AR343" s="90"/>
      <c r="AS343" s="90"/>
      <c r="AT343" s="90"/>
      <c r="AU343" s="90"/>
      <c r="AV343" s="58"/>
      <c r="AW343" s="58"/>
      <c r="AX343" s="58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</row>
    <row r="344" spans="1:71" ht="15.75" customHeight="1" x14ac:dyDescent="0.2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1"/>
      <c r="AD344" s="91"/>
      <c r="AE344" s="91"/>
      <c r="AF344" s="91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58"/>
      <c r="AW344" s="58"/>
      <c r="AX344" s="58"/>
      <c r="AY344" s="58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</row>
    <row r="345" spans="1:71" ht="15.75" customHeight="1" x14ac:dyDescent="0.2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1"/>
      <c r="AD345" s="91"/>
      <c r="AE345" s="91"/>
      <c r="AF345" s="91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0"/>
      <c r="AR345" s="90"/>
      <c r="AS345" s="90"/>
      <c r="AT345" s="90"/>
      <c r="AU345" s="90"/>
      <c r="AV345" s="58"/>
      <c r="AW345" s="58"/>
      <c r="AX345" s="58"/>
      <c r="AY345" s="58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</row>
    <row r="346" spans="1:71" ht="15.75" customHeight="1" x14ac:dyDescent="0.2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1"/>
      <c r="AD346" s="91"/>
      <c r="AE346" s="91"/>
      <c r="AF346" s="91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58"/>
      <c r="AW346" s="58"/>
      <c r="AX346" s="58"/>
      <c r="AY346" s="58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</row>
    <row r="347" spans="1:71" ht="15.75" customHeight="1" x14ac:dyDescent="0.2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1"/>
      <c r="AD347" s="91"/>
      <c r="AE347" s="91"/>
      <c r="AF347" s="91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0"/>
      <c r="AR347" s="90"/>
      <c r="AS347" s="90"/>
      <c r="AT347" s="90"/>
      <c r="AU347" s="90"/>
      <c r="AV347" s="58"/>
      <c r="AW347" s="58"/>
      <c r="AX347" s="58"/>
      <c r="AY347" s="58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</row>
    <row r="348" spans="1:71" ht="15.75" customHeight="1" x14ac:dyDescent="0.2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1"/>
      <c r="AD348" s="91"/>
      <c r="AE348" s="91"/>
      <c r="AF348" s="91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58"/>
      <c r="AW348" s="58"/>
      <c r="AX348" s="58"/>
      <c r="AY348" s="58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</row>
    <row r="349" spans="1:71" ht="15.75" customHeight="1" x14ac:dyDescent="0.2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1"/>
      <c r="AD349" s="91"/>
      <c r="AE349" s="91"/>
      <c r="AF349" s="91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0"/>
      <c r="AR349" s="90"/>
      <c r="AS349" s="90"/>
      <c r="AT349" s="90"/>
      <c r="AU349" s="90"/>
      <c r="AV349" s="58"/>
      <c r="AW349" s="58"/>
      <c r="AX349" s="58"/>
      <c r="AY349" s="58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</row>
    <row r="350" spans="1:71" ht="15.75" customHeight="1" x14ac:dyDescent="0.2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1"/>
      <c r="AD350" s="91"/>
      <c r="AE350" s="91"/>
      <c r="AF350" s="91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58"/>
      <c r="AW350" s="58"/>
      <c r="AX350" s="58"/>
      <c r="AY350" s="58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</row>
    <row r="351" spans="1:71" ht="15.75" customHeight="1" x14ac:dyDescent="0.2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1"/>
      <c r="AD351" s="91"/>
      <c r="AE351" s="91"/>
      <c r="AF351" s="91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0"/>
      <c r="AR351" s="90"/>
      <c r="AS351" s="90"/>
      <c r="AT351" s="90"/>
      <c r="AU351" s="90"/>
      <c r="AV351" s="58"/>
      <c r="AW351" s="58"/>
      <c r="AX351" s="58"/>
      <c r="AY351" s="58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</row>
    <row r="352" spans="1:71" ht="15.75" customHeight="1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1"/>
      <c r="AD352" s="91"/>
      <c r="AE352" s="91"/>
      <c r="AF352" s="91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58"/>
      <c r="AW352" s="58"/>
      <c r="AX352" s="58"/>
      <c r="AY352" s="58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</row>
    <row r="353" spans="1:71" ht="15.75" customHeight="1" x14ac:dyDescent="0.2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1"/>
      <c r="AD353" s="91"/>
      <c r="AE353" s="91"/>
      <c r="AF353" s="91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0"/>
      <c r="AR353" s="90"/>
      <c r="AS353" s="90"/>
      <c r="AT353" s="90"/>
      <c r="AU353" s="90"/>
      <c r="AV353" s="58"/>
      <c r="AW353" s="58"/>
      <c r="AX353" s="58"/>
      <c r="AY353" s="58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</row>
    <row r="354" spans="1:71" ht="15.75" customHeight="1" x14ac:dyDescent="0.2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1"/>
      <c r="AD354" s="91"/>
      <c r="AE354" s="91"/>
      <c r="AF354" s="91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58"/>
      <c r="AW354" s="58"/>
      <c r="AX354" s="58"/>
      <c r="AY354" s="58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</row>
    <row r="355" spans="1:71" ht="15.75" customHeight="1" x14ac:dyDescent="0.2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1"/>
      <c r="AD355" s="91"/>
      <c r="AE355" s="91"/>
      <c r="AF355" s="91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0"/>
      <c r="AR355" s="90"/>
      <c r="AS355" s="90"/>
      <c r="AT355" s="90"/>
      <c r="AU355" s="90"/>
      <c r="AV355" s="58"/>
      <c r="AW355" s="58"/>
      <c r="AX355" s="58"/>
      <c r="AY355" s="58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</row>
    <row r="356" spans="1:71" ht="15.75" customHeight="1" x14ac:dyDescent="0.2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1"/>
      <c r="AD356" s="91"/>
      <c r="AE356" s="91"/>
      <c r="AF356" s="91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58"/>
      <c r="AW356" s="58"/>
      <c r="AX356" s="58"/>
      <c r="AY356" s="58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</row>
    <row r="357" spans="1:71" ht="15.75" customHeight="1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1"/>
      <c r="AD357" s="91"/>
      <c r="AE357" s="91"/>
      <c r="AF357" s="91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0"/>
      <c r="AR357" s="90"/>
      <c r="AS357" s="90"/>
      <c r="AT357" s="90"/>
      <c r="AU357" s="90"/>
      <c r="AV357" s="58"/>
      <c r="AW357" s="58"/>
      <c r="AX357" s="58"/>
      <c r="AY357" s="58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</row>
    <row r="358" spans="1:71" ht="15.75" customHeight="1" x14ac:dyDescent="0.2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1"/>
      <c r="AD358" s="91"/>
      <c r="AE358" s="91"/>
      <c r="AF358" s="91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58"/>
      <c r="AW358" s="58"/>
      <c r="AX358" s="58"/>
      <c r="AY358" s="58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</row>
    <row r="359" spans="1:71" ht="15.75" customHeight="1" x14ac:dyDescent="0.2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1"/>
      <c r="AD359" s="91"/>
      <c r="AE359" s="91"/>
      <c r="AF359" s="91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0"/>
      <c r="AR359" s="90"/>
      <c r="AS359" s="90"/>
      <c r="AT359" s="90"/>
      <c r="AU359" s="90"/>
      <c r="AV359" s="58"/>
      <c r="AW359" s="58"/>
      <c r="AX359" s="58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</row>
    <row r="360" spans="1:71" ht="15.75" customHeight="1" x14ac:dyDescent="0.2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1"/>
      <c r="AD360" s="91"/>
      <c r="AE360" s="91"/>
      <c r="AF360" s="91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58"/>
      <c r="AW360" s="58"/>
      <c r="AX360" s="58"/>
      <c r="AY360" s="58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</row>
    <row r="361" spans="1:71" ht="15.75" customHeight="1" x14ac:dyDescent="0.2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1"/>
      <c r="AD361" s="91"/>
      <c r="AE361" s="91"/>
      <c r="AF361" s="91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0"/>
      <c r="AR361" s="90"/>
      <c r="AS361" s="90"/>
      <c r="AT361" s="90"/>
      <c r="AU361" s="90"/>
      <c r="AV361" s="58"/>
      <c r="AW361" s="58"/>
      <c r="AX361" s="58"/>
      <c r="AY361" s="58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</row>
    <row r="362" spans="1:71" ht="15.75" customHeight="1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1"/>
      <c r="AD362" s="91"/>
      <c r="AE362" s="91"/>
      <c r="AF362" s="91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58"/>
      <c r="AW362" s="58"/>
      <c r="AX362" s="58"/>
      <c r="AY362" s="58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</row>
    <row r="363" spans="1:71" ht="15.75" customHeight="1" x14ac:dyDescent="0.2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1"/>
      <c r="AD363" s="91"/>
      <c r="AE363" s="91"/>
      <c r="AF363" s="91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0"/>
      <c r="AR363" s="90"/>
      <c r="AS363" s="90"/>
      <c r="AT363" s="90"/>
      <c r="AU363" s="90"/>
      <c r="AV363" s="58"/>
      <c r="AW363" s="58"/>
      <c r="AX363" s="58"/>
      <c r="AY363" s="58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</row>
    <row r="364" spans="1:71" ht="15.75" customHeight="1" x14ac:dyDescent="0.2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1"/>
      <c r="AD364" s="91"/>
      <c r="AE364" s="91"/>
      <c r="AF364" s="91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58"/>
      <c r="AW364" s="58"/>
      <c r="AX364" s="58"/>
      <c r="AY364" s="58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</row>
    <row r="365" spans="1:71" ht="15.75" customHeight="1" x14ac:dyDescent="0.2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1"/>
      <c r="AD365" s="91"/>
      <c r="AE365" s="91"/>
      <c r="AF365" s="91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0"/>
      <c r="AR365" s="90"/>
      <c r="AS365" s="90"/>
      <c r="AT365" s="90"/>
      <c r="AU365" s="90"/>
      <c r="AV365" s="58"/>
      <c r="AW365" s="58"/>
      <c r="AX365" s="58"/>
      <c r="AY365" s="58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</row>
    <row r="366" spans="1:71" ht="15.75" customHeight="1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1"/>
      <c r="AD366" s="91"/>
      <c r="AE366" s="91"/>
      <c r="AF366" s="91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58"/>
      <c r="AW366" s="58"/>
      <c r="AX366" s="58"/>
      <c r="AY366" s="58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</row>
    <row r="367" spans="1:71" ht="15.75" customHeight="1" x14ac:dyDescent="0.2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1"/>
      <c r="AD367" s="91"/>
      <c r="AE367" s="91"/>
      <c r="AF367" s="91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0"/>
      <c r="AR367" s="90"/>
      <c r="AS367" s="90"/>
      <c r="AT367" s="90"/>
      <c r="AU367" s="90"/>
      <c r="AV367" s="58"/>
      <c r="AW367" s="58"/>
      <c r="AX367" s="58"/>
      <c r="AY367" s="58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</row>
    <row r="368" spans="1:71" ht="15.75" customHeight="1" x14ac:dyDescent="0.2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1"/>
      <c r="AD368" s="91"/>
      <c r="AE368" s="91"/>
      <c r="AF368" s="91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58"/>
      <c r="AW368" s="58"/>
      <c r="AX368" s="58"/>
      <c r="AY368" s="58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</row>
    <row r="369" spans="1:71" ht="15.75" customHeight="1" x14ac:dyDescent="0.2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1"/>
      <c r="AD369" s="91"/>
      <c r="AE369" s="91"/>
      <c r="AF369" s="91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0"/>
      <c r="AR369" s="90"/>
      <c r="AS369" s="90"/>
      <c r="AT369" s="90"/>
      <c r="AU369" s="90"/>
      <c r="AV369" s="58"/>
      <c r="AW369" s="58"/>
      <c r="AX369" s="58"/>
      <c r="AY369" s="58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</row>
    <row r="370" spans="1:71" ht="15.75" customHeight="1" x14ac:dyDescent="0.2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1"/>
      <c r="AD370" s="91"/>
      <c r="AE370" s="91"/>
      <c r="AF370" s="91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58"/>
      <c r="AW370" s="58"/>
      <c r="AX370" s="58"/>
      <c r="AY370" s="58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</row>
    <row r="371" spans="1:71" ht="15.75" customHeight="1" x14ac:dyDescent="0.2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1"/>
      <c r="AD371" s="91"/>
      <c r="AE371" s="91"/>
      <c r="AF371" s="91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0"/>
      <c r="AR371" s="90"/>
      <c r="AS371" s="90"/>
      <c r="AT371" s="90"/>
      <c r="AU371" s="90"/>
      <c r="AV371" s="58"/>
      <c r="AW371" s="58"/>
      <c r="AX371" s="58"/>
      <c r="AY371" s="58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</row>
    <row r="372" spans="1:71" ht="15.75" customHeight="1" x14ac:dyDescent="0.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1"/>
      <c r="AD372" s="91"/>
      <c r="AE372" s="91"/>
      <c r="AF372" s="91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58"/>
      <c r="AW372" s="58"/>
      <c r="AX372" s="58"/>
      <c r="AY372" s="58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</row>
    <row r="373" spans="1:71" ht="15.75" customHeight="1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1"/>
      <c r="AD373" s="91"/>
      <c r="AE373" s="91"/>
      <c r="AF373" s="91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0"/>
      <c r="AR373" s="90"/>
      <c r="AS373" s="90"/>
      <c r="AT373" s="90"/>
      <c r="AU373" s="90"/>
      <c r="AV373" s="58"/>
      <c r="AW373" s="58"/>
      <c r="AX373" s="58"/>
      <c r="AY373" s="58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</row>
    <row r="374" spans="1:71" ht="15.75" customHeight="1" x14ac:dyDescent="0.2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1"/>
      <c r="AD374" s="91"/>
      <c r="AE374" s="91"/>
      <c r="AF374" s="91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58"/>
      <c r="AW374" s="58"/>
      <c r="AX374" s="58"/>
      <c r="AY374" s="58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</row>
    <row r="375" spans="1:71" ht="15.75" customHeight="1" x14ac:dyDescent="0.2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1"/>
      <c r="AD375" s="91"/>
      <c r="AE375" s="91"/>
      <c r="AF375" s="91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0"/>
      <c r="AR375" s="90"/>
      <c r="AS375" s="90"/>
      <c r="AT375" s="90"/>
      <c r="AU375" s="90"/>
      <c r="AV375" s="58"/>
      <c r="AW375" s="58"/>
      <c r="AX375" s="58"/>
      <c r="AY375" s="58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</row>
    <row r="376" spans="1:71" ht="15.75" customHeight="1" x14ac:dyDescent="0.2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1"/>
      <c r="AD376" s="91"/>
      <c r="AE376" s="91"/>
      <c r="AF376" s="91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58"/>
      <c r="AW376" s="58"/>
      <c r="AX376" s="58"/>
      <c r="AY376" s="58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</row>
    <row r="377" spans="1:71" ht="15.75" customHeight="1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1"/>
      <c r="AD377" s="91"/>
      <c r="AE377" s="91"/>
      <c r="AF377" s="91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0"/>
      <c r="AR377" s="90"/>
      <c r="AS377" s="90"/>
      <c r="AT377" s="90"/>
      <c r="AU377" s="90"/>
      <c r="AV377" s="58"/>
      <c r="AW377" s="58"/>
      <c r="AX377" s="58"/>
      <c r="AY377" s="58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</row>
    <row r="378" spans="1:71" ht="15.75" customHeight="1" x14ac:dyDescent="0.2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1"/>
      <c r="AD378" s="91"/>
      <c r="AE378" s="91"/>
      <c r="AF378" s="91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58"/>
      <c r="AW378" s="58"/>
      <c r="AX378" s="58"/>
      <c r="AY378" s="58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</row>
    <row r="379" spans="1:71" ht="15.75" customHeight="1" x14ac:dyDescent="0.2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1"/>
      <c r="AD379" s="91"/>
      <c r="AE379" s="91"/>
      <c r="AF379" s="91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0"/>
      <c r="AR379" s="90"/>
      <c r="AS379" s="90"/>
      <c r="AT379" s="90"/>
      <c r="AU379" s="90"/>
      <c r="AV379" s="58"/>
      <c r="AW379" s="58"/>
      <c r="AX379" s="58"/>
      <c r="AY379" s="58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</row>
    <row r="380" spans="1:71" ht="15.75" customHeight="1" x14ac:dyDescent="0.2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1"/>
      <c r="AD380" s="91"/>
      <c r="AE380" s="91"/>
      <c r="AF380" s="91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58"/>
      <c r="AW380" s="58"/>
      <c r="AX380" s="58"/>
      <c r="AY380" s="58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</row>
    <row r="381" spans="1:71" ht="15.75" customHeight="1" x14ac:dyDescent="0.2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1"/>
      <c r="AD381" s="91"/>
      <c r="AE381" s="91"/>
      <c r="AF381" s="91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0"/>
      <c r="AR381" s="90"/>
      <c r="AS381" s="90"/>
      <c r="AT381" s="90"/>
      <c r="AU381" s="90"/>
      <c r="AV381" s="58"/>
      <c r="AW381" s="58"/>
      <c r="AX381" s="58"/>
      <c r="AY381" s="58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</row>
    <row r="382" spans="1:71" ht="15.75" customHeight="1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1"/>
      <c r="AD382" s="91"/>
      <c r="AE382" s="91"/>
      <c r="AF382" s="91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58"/>
      <c r="AW382" s="58"/>
      <c r="AX382" s="58"/>
      <c r="AY382" s="58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</row>
    <row r="383" spans="1:71" ht="15.75" customHeight="1" x14ac:dyDescent="0.2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1"/>
      <c r="AD383" s="91"/>
      <c r="AE383" s="91"/>
      <c r="AF383" s="91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0"/>
      <c r="AR383" s="90"/>
      <c r="AS383" s="90"/>
      <c r="AT383" s="90"/>
      <c r="AU383" s="90"/>
      <c r="AV383" s="58"/>
      <c r="AW383" s="58"/>
      <c r="AX383" s="58"/>
      <c r="AY383" s="58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</row>
    <row r="384" spans="1:71" ht="15.75" customHeight="1" x14ac:dyDescent="0.2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1"/>
      <c r="AD384" s="91"/>
      <c r="AE384" s="91"/>
      <c r="AF384" s="91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58"/>
      <c r="AW384" s="58"/>
      <c r="AX384" s="58"/>
      <c r="AY384" s="58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</row>
    <row r="385" spans="1:71" ht="15.75" customHeight="1" x14ac:dyDescent="0.2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1"/>
      <c r="AD385" s="91"/>
      <c r="AE385" s="91"/>
      <c r="AF385" s="91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0"/>
      <c r="AR385" s="90"/>
      <c r="AS385" s="90"/>
      <c r="AT385" s="90"/>
      <c r="AU385" s="90"/>
      <c r="AV385" s="58"/>
      <c r="AW385" s="58"/>
      <c r="AX385" s="58"/>
      <c r="AY385" s="58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</row>
    <row r="386" spans="1:71" ht="15.75" customHeight="1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1"/>
      <c r="AD386" s="91"/>
      <c r="AE386" s="91"/>
      <c r="AF386" s="91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58"/>
      <c r="AW386" s="58"/>
      <c r="AX386" s="58"/>
      <c r="AY386" s="58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</row>
    <row r="387" spans="1:71" ht="15.75" customHeight="1" x14ac:dyDescent="0.2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1"/>
      <c r="AD387" s="91"/>
      <c r="AE387" s="91"/>
      <c r="AF387" s="91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0"/>
      <c r="AR387" s="90"/>
      <c r="AS387" s="90"/>
      <c r="AT387" s="90"/>
      <c r="AU387" s="90"/>
      <c r="AV387" s="58"/>
      <c r="AW387" s="58"/>
      <c r="AX387" s="58"/>
      <c r="AY387" s="58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</row>
    <row r="388" spans="1:71" ht="15.75" customHeight="1" x14ac:dyDescent="0.2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1"/>
      <c r="AD388" s="91"/>
      <c r="AE388" s="91"/>
      <c r="AF388" s="91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58"/>
      <c r="AW388" s="58"/>
      <c r="AX388" s="58"/>
      <c r="AY388" s="58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</row>
    <row r="389" spans="1:71" ht="15.75" customHeight="1" x14ac:dyDescent="0.2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1"/>
      <c r="AD389" s="91"/>
      <c r="AE389" s="91"/>
      <c r="AF389" s="91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0"/>
      <c r="AR389" s="90"/>
      <c r="AS389" s="90"/>
      <c r="AT389" s="90"/>
      <c r="AU389" s="90"/>
      <c r="AV389" s="58"/>
      <c r="AW389" s="58"/>
      <c r="AX389" s="58"/>
      <c r="AY389" s="58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</row>
    <row r="390" spans="1:71" ht="15.75" customHeight="1" x14ac:dyDescent="0.2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1"/>
      <c r="AD390" s="91"/>
      <c r="AE390" s="91"/>
      <c r="AF390" s="91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58"/>
      <c r="AW390" s="58"/>
      <c r="AX390" s="58"/>
      <c r="AY390" s="58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</row>
    <row r="391" spans="1:71" ht="15.75" customHeight="1" x14ac:dyDescent="0.2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1"/>
      <c r="AD391" s="91"/>
      <c r="AE391" s="91"/>
      <c r="AF391" s="91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0"/>
      <c r="AR391" s="90"/>
      <c r="AS391" s="90"/>
      <c r="AT391" s="90"/>
      <c r="AU391" s="90"/>
      <c r="AV391" s="58"/>
      <c r="AW391" s="58"/>
      <c r="AX391" s="58"/>
      <c r="AY391" s="58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</row>
    <row r="392" spans="1:71" ht="15.75" customHeight="1" x14ac:dyDescent="0.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1"/>
      <c r="AD392" s="91"/>
      <c r="AE392" s="91"/>
      <c r="AF392" s="91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58"/>
      <c r="AW392" s="58"/>
      <c r="AX392" s="58"/>
      <c r="AY392" s="58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</row>
    <row r="393" spans="1:71" ht="15.75" customHeight="1" x14ac:dyDescent="0.2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1"/>
      <c r="AD393" s="91"/>
      <c r="AE393" s="91"/>
      <c r="AF393" s="91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0"/>
      <c r="AR393" s="90"/>
      <c r="AS393" s="90"/>
      <c r="AT393" s="90"/>
      <c r="AU393" s="90"/>
      <c r="AV393" s="58"/>
      <c r="AW393" s="58"/>
      <c r="AX393" s="58"/>
      <c r="AY393" s="58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</row>
    <row r="394" spans="1:71" ht="15.75" customHeight="1" x14ac:dyDescent="0.2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1"/>
      <c r="AD394" s="91"/>
      <c r="AE394" s="91"/>
      <c r="AF394" s="91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58"/>
      <c r="AW394" s="58"/>
      <c r="AX394" s="58"/>
      <c r="AY394" s="58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</row>
    <row r="395" spans="1:71" ht="15.75" customHeight="1" x14ac:dyDescent="0.2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1"/>
      <c r="AD395" s="91"/>
      <c r="AE395" s="91"/>
      <c r="AF395" s="91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0"/>
      <c r="AR395" s="90"/>
      <c r="AS395" s="90"/>
      <c r="AT395" s="90"/>
      <c r="AU395" s="90"/>
      <c r="AV395" s="58"/>
      <c r="AW395" s="58"/>
      <c r="AX395" s="58"/>
      <c r="AY395" s="58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</row>
    <row r="396" spans="1:71" ht="15.75" customHeight="1" x14ac:dyDescent="0.2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1"/>
      <c r="AD396" s="91"/>
      <c r="AE396" s="91"/>
      <c r="AF396" s="91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58"/>
      <c r="AW396" s="58"/>
      <c r="AX396" s="58"/>
      <c r="AY396" s="58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</row>
    <row r="397" spans="1:71" ht="15.75" customHeight="1" x14ac:dyDescent="0.2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1"/>
      <c r="AD397" s="91"/>
      <c r="AE397" s="91"/>
      <c r="AF397" s="91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0"/>
      <c r="AR397" s="90"/>
      <c r="AS397" s="90"/>
      <c r="AT397" s="90"/>
      <c r="AU397" s="90"/>
      <c r="AV397" s="58"/>
      <c r="AW397" s="58"/>
      <c r="AX397" s="58"/>
      <c r="AY397" s="58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</row>
    <row r="398" spans="1:71" ht="15.75" customHeight="1" x14ac:dyDescent="0.2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1"/>
      <c r="AD398" s="91"/>
      <c r="AE398" s="91"/>
      <c r="AF398" s="91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58"/>
      <c r="AW398" s="58"/>
      <c r="AX398" s="58"/>
      <c r="AY398" s="58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</row>
    <row r="399" spans="1:71" ht="15.75" customHeight="1" x14ac:dyDescent="0.2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1"/>
      <c r="AD399" s="91"/>
      <c r="AE399" s="91"/>
      <c r="AF399" s="91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0"/>
      <c r="AR399" s="90"/>
      <c r="AS399" s="90"/>
      <c r="AT399" s="90"/>
      <c r="AU399" s="90"/>
      <c r="AV399" s="58"/>
      <c r="AW399" s="58"/>
      <c r="AX399" s="58"/>
      <c r="AY399" s="58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</row>
    <row r="400" spans="1:71" ht="15.75" customHeight="1" x14ac:dyDescent="0.2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1"/>
      <c r="AD400" s="91"/>
      <c r="AE400" s="91"/>
      <c r="AF400" s="91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58"/>
      <c r="AW400" s="58"/>
      <c r="AX400" s="58"/>
      <c r="AY400" s="58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</row>
    <row r="401" spans="1:71" ht="15.75" customHeight="1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1"/>
      <c r="AD401" s="91"/>
      <c r="AE401" s="91"/>
      <c r="AF401" s="91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0"/>
      <c r="AR401" s="90"/>
      <c r="AS401" s="90"/>
      <c r="AT401" s="90"/>
      <c r="AU401" s="90"/>
      <c r="AV401" s="58"/>
      <c r="AW401" s="58"/>
      <c r="AX401" s="58"/>
      <c r="AY401" s="58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</row>
    <row r="402" spans="1:71" ht="15.75" customHeight="1" x14ac:dyDescent="0.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1"/>
      <c r="AD402" s="91"/>
      <c r="AE402" s="91"/>
      <c r="AF402" s="91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58"/>
      <c r="AW402" s="58"/>
      <c r="AX402" s="58"/>
      <c r="AY402" s="58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</row>
    <row r="403" spans="1:71" ht="15.75" customHeight="1" x14ac:dyDescent="0.2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1"/>
      <c r="AD403" s="91"/>
      <c r="AE403" s="91"/>
      <c r="AF403" s="91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0"/>
      <c r="AR403" s="90"/>
      <c r="AS403" s="90"/>
      <c r="AT403" s="90"/>
      <c r="AU403" s="90"/>
      <c r="AV403" s="58"/>
      <c r="AW403" s="58"/>
      <c r="AX403" s="58"/>
      <c r="AY403" s="58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</row>
    <row r="404" spans="1:71" ht="15.75" customHeight="1" x14ac:dyDescent="0.2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1"/>
      <c r="AD404" s="91"/>
      <c r="AE404" s="91"/>
      <c r="AF404" s="91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58"/>
      <c r="AW404" s="58"/>
      <c r="AX404" s="58"/>
      <c r="AY404" s="58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</row>
    <row r="405" spans="1:71" ht="15.75" customHeight="1" x14ac:dyDescent="0.2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1"/>
      <c r="AD405" s="91"/>
      <c r="AE405" s="91"/>
      <c r="AF405" s="91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0"/>
      <c r="AR405" s="90"/>
      <c r="AS405" s="90"/>
      <c r="AT405" s="90"/>
      <c r="AU405" s="90"/>
      <c r="AV405" s="58"/>
      <c r="AW405" s="58"/>
      <c r="AX405" s="58"/>
      <c r="AY405" s="58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</row>
    <row r="406" spans="1:71" ht="15.75" customHeight="1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1"/>
      <c r="AD406" s="91"/>
      <c r="AE406" s="91"/>
      <c r="AF406" s="91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58"/>
      <c r="AW406" s="58"/>
      <c r="AX406" s="58"/>
      <c r="AY406" s="58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</row>
    <row r="407" spans="1:71" ht="15.75" customHeight="1" x14ac:dyDescent="0.2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1"/>
      <c r="AD407" s="91"/>
      <c r="AE407" s="91"/>
      <c r="AF407" s="91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0"/>
      <c r="AR407" s="90"/>
      <c r="AS407" s="90"/>
      <c r="AT407" s="90"/>
      <c r="AU407" s="90"/>
      <c r="AV407" s="58"/>
      <c r="AW407" s="58"/>
      <c r="AX407" s="58"/>
      <c r="AY407" s="58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</row>
    <row r="408" spans="1:71" ht="15.75" customHeight="1" x14ac:dyDescent="0.2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1"/>
      <c r="AD408" s="91"/>
      <c r="AE408" s="91"/>
      <c r="AF408" s="91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58"/>
      <c r="AW408" s="58"/>
      <c r="AX408" s="58"/>
      <c r="AY408" s="58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</row>
    <row r="409" spans="1:71" ht="15.75" customHeight="1" x14ac:dyDescent="0.2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1"/>
      <c r="AD409" s="91"/>
      <c r="AE409" s="91"/>
      <c r="AF409" s="91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0"/>
      <c r="AR409" s="90"/>
      <c r="AS409" s="90"/>
      <c r="AT409" s="90"/>
      <c r="AU409" s="90"/>
      <c r="AV409" s="58"/>
      <c r="AW409" s="58"/>
      <c r="AX409" s="58"/>
      <c r="AY409" s="58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</row>
    <row r="410" spans="1:71" ht="15.75" customHeight="1" x14ac:dyDescent="0.2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1"/>
      <c r="AD410" s="91"/>
      <c r="AE410" s="91"/>
      <c r="AF410" s="91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58"/>
      <c r="AW410" s="58"/>
      <c r="AX410" s="58"/>
      <c r="AY410" s="58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</row>
    <row r="411" spans="1:71" ht="15.75" customHeight="1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1"/>
      <c r="AD411" s="91"/>
      <c r="AE411" s="91"/>
      <c r="AF411" s="91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0"/>
      <c r="AR411" s="90"/>
      <c r="AS411" s="90"/>
      <c r="AT411" s="90"/>
      <c r="AU411" s="90"/>
      <c r="AV411" s="58"/>
      <c r="AW411" s="58"/>
      <c r="AX411" s="58"/>
      <c r="AY411" s="58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</row>
    <row r="412" spans="1:71" ht="15.75" customHeight="1" x14ac:dyDescent="0.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1"/>
      <c r="AD412" s="91"/>
      <c r="AE412" s="91"/>
      <c r="AF412" s="91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58"/>
      <c r="AW412" s="58"/>
      <c r="AX412" s="58"/>
      <c r="AY412" s="58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</row>
    <row r="413" spans="1:71" ht="15.75" customHeight="1" x14ac:dyDescent="0.2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1"/>
      <c r="AD413" s="91"/>
      <c r="AE413" s="91"/>
      <c r="AF413" s="91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0"/>
      <c r="AR413" s="90"/>
      <c r="AS413" s="90"/>
      <c r="AT413" s="90"/>
      <c r="AU413" s="90"/>
      <c r="AV413" s="58"/>
      <c r="AW413" s="58"/>
      <c r="AX413" s="58"/>
      <c r="AY413" s="58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</row>
    <row r="414" spans="1:71" ht="15.75" customHeight="1" x14ac:dyDescent="0.2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1"/>
      <c r="AD414" s="91"/>
      <c r="AE414" s="91"/>
      <c r="AF414" s="91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58"/>
      <c r="AW414" s="58"/>
      <c r="AX414" s="58"/>
      <c r="AY414" s="58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</row>
    <row r="415" spans="1:71" ht="15.75" customHeight="1" x14ac:dyDescent="0.2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1"/>
      <c r="AD415" s="91"/>
      <c r="AE415" s="91"/>
      <c r="AF415" s="91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0"/>
      <c r="AR415" s="90"/>
      <c r="AS415" s="90"/>
      <c r="AT415" s="90"/>
      <c r="AU415" s="90"/>
      <c r="AV415" s="58"/>
      <c r="AW415" s="58"/>
      <c r="AX415" s="58"/>
      <c r="AY415" s="58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</row>
    <row r="416" spans="1:71" ht="15.75" customHeight="1" x14ac:dyDescent="0.2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1"/>
      <c r="AD416" s="91"/>
      <c r="AE416" s="91"/>
      <c r="AF416" s="91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58"/>
      <c r="AW416" s="58"/>
      <c r="AX416" s="58"/>
      <c r="AY416" s="58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</row>
    <row r="417" spans="1:71" ht="15.75" customHeight="1" x14ac:dyDescent="0.2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1"/>
      <c r="AD417" s="91"/>
      <c r="AE417" s="91"/>
      <c r="AF417" s="91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0"/>
      <c r="AR417" s="90"/>
      <c r="AS417" s="90"/>
      <c r="AT417" s="90"/>
      <c r="AU417" s="90"/>
      <c r="AV417" s="58"/>
      <c r="AW417" s="58"/>
      <c r="AX417" s="58"/>
      <c r="AY417" s="58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</row>
    <row r="418" spans="1:71" ht="15.75" customHeight="1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1"/>
      <c r="AD418" s="91"/>
      <c r="AE418" s="91"/>
      <c r="AF418" s="91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58"/>
      <c r="AW418" s="58"/>
      <c r="AX418" s="58"/>
      <c r="AY418" s="58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</row>
    <row r="419" spans="1:71" ht="15.75" customHeight="1" x14ac:dyDescent="0.2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1"/>
      <c r="AD419" s="91"/>
      <c r="AE419" s="91"/>
      <c r="AF419" s="91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0"/>
      <c r="AR419" s="90"/>
      <c r="AS419" s="90"/>
      <c r="AT419" s="90"/>
      <c r="AU419" s="90"/>
      <c r="AV419" s="58"/>
      <c r="AW419" s="58"/>
      <c r="AX419" s="58"/>
      <c r="AY419" s="58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</row>
    <row r="420" spans="1:71" ht="15.75" customHeight="1" x14ac:dyDescent="0.2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1"/>
      <c r="AD420" s="91"/>
      <c r="AE420" s="91"/>
      <c r="AF420" s="91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58"/>
      <c r="AW420" s="58"/>
      <c r="AX420" s="58"/>
      <c r="AY420" s="58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</row>
    <row r="421" spans="1:71" ht="15.75" customHeight="1" x14ac:dyDescent="0.2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1"/>
      <c r="AD421" s="91"/>
      <c r="AE421" s="91"/>
      <c r="AF421" s="91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0"/>
      <c r="AR421" s="90"/>
      <c r="AS421" s="90"/>
      <c r="AT421" s="90"/>
      <c r="AU421" s="90"/>
      <c r="AV421" s="58"/>
      <c r="AW421" s="58"/>
      <c r="AX421" s="58"/>
      <c r="AY421" s="58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</row>
    <row r="422" spans="1:71" ht="15.75" customHeight="1" x14ac:dyDescent="0.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1"/>
      <c r="AD422" s="91"/>
      <c r="AE422" s="91"/>
      <c r="AF422" s="91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58"/>
      <c r="AW422" s="58"/>
      <c r="AX422" s="58"/>
      <c r="AY422" s="58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</row>
    <row r="423" spans="1:71" ht="15.75" customHeight="1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1"/>
      <c r="AD423" s="91"/>
      <c r="AE423" s="91"/>
      <c r="AF423" s="91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0"/>
      <c r="AR423" s="90"/>
      <c r="AS423" s="90"/>
      <c r="AT423" s="90"/>
      <c r="AU423" s="90"/>
      <c r="AV423" s="58"/>
      <c r="AW423" s="58"/>
      <c r="AX423" s="58"/>
      <c r="AY423" s="58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</row>
    <row r="424" spans="1:71" ht="15.75" customHeight="1" x14ac:dyDescent="0.2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1"/>
      <c r="AD424" s="91"/>
      <c r="AE424" s="91"/>
      <c r="AF424" s="91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58"/>
      <c r="AW424" s="58"/>
      <c r="AX424" s="58"/>
      <c r="AY424" s="58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</row>
    <row r="425" spans="1:71" ht="15.75" customHeight="1" x14ac:dyDescent="0.2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1"/>
      <c r="AD425" s="91"/>
      <c r="AE425" s="91"/>
      <c r="AF425" s="91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0"/>
      <c r="AR425" s="90"/>
      <c r="AS425" s="90"/>
      <c r="AT425" s="90"/>
      <c r="AU425" s="90"/>
      <c r="AV425" s="58"/>
      <c r="AW425" s="58"/>
      <c r="AX425" s="58"/>
      <c r="AY425" s="58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</row>
    <row r="426" spans="1:71" ht="15.75" customHeight="1" x14ac:dyDescent="0.2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1"/>
      <c r="AD426" s="91"/>
      <c r="AE426" s="91"/>
      <c r="AF426" s="91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58"/>
      <c r="AW426" s="58"/>
      <c r="AX426" s="58"/>
      <c r="AY426" s="58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</row>
    <row r="427" spans="1:71" ht="15.75" customHeight="1" x14ac:dyDescent="0.2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1"/>
      <c r="AD427" s="91"/>
      <c r="AE427" s="91"/>
      <c r="AF427" s="91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0"/>
      <c r="AR427" s="90"/>
      <c r="AS427" s="90"/>
      <c r="AT427" s="90"/>
      <c r="AU427" s="90"/>
      <c r="AV427" s="58"/>
      <c r="AW427" s="58"/>
      <c r="AX427" s="58"/>
      <c r="AY427" s="58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</row>
    <row r="428" spans="1:71" ht="15.75" customHeight="1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1"/>
      <c r="AD428" s="91"/>
      <c r="AE428" s="91"/>
      <c r="AF428" s="91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58"/>
      <c r="AW428" s="58"/>
      <c r="AX428" s="58"/>
      <c r="AY428" s="58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</row>
    <row r="429" spans="1:71" ht="15.75" customHeight="1" x14ac:dyDescent="0.2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1"/>
      <c r="AD429" s="91"/>
      <c r="AE429" s="91"/>
      <c r="AF429" s="91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0"/>
      <c r="AR429" s="90"/>
      <c r="AS429" s="90"/>
      <c r="AT429" s="90"/>
      <c r="AU429" s="90"/>
      <c r="AV429" s="58"/>
      <c r="AW429" s="58"/>
      <c r="AX429" s="58"/>
      <c r="AY429" s="58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</row>
    <row r="430" spans="1:71" ht="15.75" customHeight="1" x14ac:dyDescent="0.2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1"/>
      <c r="AD430" s="91"/>
      <c r="AE430" s="91"/>
      <c r="AF430" s="91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58"/>
      <c r="AW430" s="58"/>
      <c r="AX430" s="58"/>
      <c r="AY430" s="58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</row>
    <row r="431" spans="1:71" ht="15.75" customHeight="1" x14ac:dyDescent="0.2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1"/>
      <c r="AD431" s="91"/>
      <c r="AE431" s="91"/>
      <c r="AF431" s="91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0"/>
      <c r="AR431" s="90"/>
      <c r="AS431" s="90"/>
      <c r="AT431" s="90"/>
      <c r="AU431" s="90"/>
      <c r="AV431" s="58"/>
      <c r="AW431" s="58"/>
      <c r="AX431" s="58"/>
      <c r="AY431" s="58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</row>
    <row r="432" spans="1:71" ht="15.75" customHeight="1" x14ac:dyDescent="0.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1"/>
      <c r="AD432" s="91"/>
      <c r="AE432" s="91"/>
      <c r="AF432" s="91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58"/>
      <c r="AW432" s="58"/>
      <c r="AX432" s="58"/>
      <c r="AY432" s="58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</row>
    <row r="433" spans="1:71" ht="15.75" customHeight="1" x14ac:dyDescent="0.2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1"/>
      <c r="AD433" s="91"/>
      <c r="AE433" s="91"/>
      <c r="AF433" s="91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0"/>
      <c r="AR433" s="90"/>
      <c r="AS433" s="90"/>
      <c r="AT433" s="90"/>
      <c r="AU433" s="90"/>
      <c r="AV433" s="58"/>
      <c r="AW433" s="58"/>
      <c r="AX433" s="58"/>
      <c r="AY433" s="58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</row>
    <row r="434" spans="1:71" ht="15.75" customHeight="1" x14ac:dyDescent="0.2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1"/>
      <c r="AD434" s="91"/>
      <c r="AE434" s="91"/>
      <c r="AF434" s="91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58"/>
      <c r="AW434" s="58"/>
      <c r="AX434" s="58"/>
      <c r="AY434" s="58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</row>
    <row r="435" spans="1:71" ht="15.75" customHeight="1" x14ac:dyDescent="0.2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1"/>
      <c r="AD435" s="91"/>
      <c r="AE435" s="91"/>
      <c r="AF435" s="91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0"/>
      <c r="AR435" s="90"/>
      <c r="AS435" s="90"/>
      <c r="AT435" s="90"/>
      <c r="AU435" s="90"/>
      <c r="AV435" s="58"/>
      <c r="AW435" s="58"/>
      <c r="AX435" s="58"/>
      <c r="AY435" s="58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</row>
    <row r="436" spans="1:71" ht="15.75" customHeight="1" x14ac:dyDescent="0.2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1"/>
      <c r="AD436" s="91"/>
      <c r="AE436" s="91"/>
      <c r="AF436" s="91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58"/>
      <c r="AW436" s="58"/>
      <c r="AX436" s="58"/>
      <c r="AY436" s="58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</row>
    <row r="437" spans="1:71" ht="15.75" customHeight="1" x14ac:dyDescent="0.2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1"/>
      <c r="AD437" s="91"/>
      <c r="AE437" s="91"/>
      <c r="AF437" s="91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0"/>
      <c r="AR437" s="90"/>
      <c r="AS437" s="90"/>
      <c r="AT437" s="90"/>
      <c r="AU437" s="90"/>
      <c r="AV437" s="58"/>
      <c r="AW437" s="58"/>
      <c r="AX437" s="58"/>
      <c r="AY437" s="58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</row>
    <row r="438" spans="1:71" ht="15.75" customHeight="1" x14ac:dyDescent="0.2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1"/>
      <c r="AD438" s="91"/>
      <c r="AE438" s="91"/>
      <c r="AF438" s="91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58"/>
      <c r="AW438" s="58"/>
      <c r="AX438" s="58"/>
      <c r="AY438" s="58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</row>
    <row r="439" spans="1:71" ht="15.75" customHeight="1" x14ac:dyDescent="0.2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1"/>
      <c r="AD439" s="91"/>
      <c r="AE439" s="91"/>
      <c r="AF439" s="91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0"/>
      <c r="AR439" s="90"/>
      <c r="AS439" s="90"/>
      <c r="AT439" s="90"/>
      <c r="AU439" s="90"/>
      <c r="AV439" s="58"/>
      <c r="AW439" s="58"/>
      <c r="AX439" s="58"/>
      <c r="AY439" s="58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</row>
    <row r="440" spans="1:71" ht="15.75" customHeight="1" x14ac:dyDescent="0.2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1"/>
      <c r="AD440" s="91"/>
      <c r="AE440" s="91"/>
      <c r="AF440" s="91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58"/>
      <c r="AW440" s="58"/>
      <c r="AX440" s="58"/>
      <c r="AY440" s="58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</row>
    <row r="441" spans="1:71" ht="15.75" customHeight="1" x14ac:dyDescent="0.2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1"/>
      <c r="AD441" s="91"/>
      <c r="AE441" s="91"/>
      <c r="AF441" s="91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0"/>
      <c r="AR441" s="90"/>
      <c r="AS441" s="90"/>
      <c r="AT441" s="90"/>
      <c r="AU441" s="90"/>
      <c r="AV441" s="58"/>
      <c r="AW441" s="58"/>
      <c r="AX441" s="58"/>
      <c r="AY441" s="58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</row>
    <row r="442" spans="1:71" ht="15.75" customHeight="1" x14ac:dyDescent="0.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1"/>
      <c r="AD442" s="91"/>
      <c r="AE442" s="91"/>
      <c r="AF442" s="91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58"/>
      <c r="AW442" s="58"/>
      <c r="AX442" s="58"/>
      <c r="AY442" s="58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</row>
    <row r="443" spans="1:71" ht="15.75" customHeight="1" x14ac:dyDescent="0.2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1"/>
      <c r="AD443" s="91"/>
      <c r="AE443" s="91"/>
      <c r="AF443" s="91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0"/>
      <c r="AR443" s="90"/>
      <c r="AS443" s="90"/>
      <c r="AT443" s="90"/>
      <c r="AU443" s="90"/>
      <c r="AV443" s="58"/>
      <c r="AW443" s="58"/>
      <c r="AX443" s="58"/>
      <c r="AY443" s="58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</row>
    <row r="444" spans="1:71" ht="15.75" customHeight="1" x14ac:dyDescent="0.2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1"/>
      <c r="AD444" s="91"/>
      <c r="AE444" s="91"/>
      <c r="AF444" s="91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58"/>
      <c r="AW444" s="58"/>
      <c r="AX444" s="58"/>
      <c r="AY444" s="58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</row>
    <row r="445" spans="1:71" ht="15.75" customHeight="1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1"/>
      <c r="AD445" s="91"/>
      <c r="AE445" s="91"/>
      <c r="AF445" s="91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0"/>
      <c r="AR445" s="90"/>
      <c r="AS445" s="90"/>
      <c r="AT445" s="90"/>
      <c r="AU445" s="90"/>
      <c r="AV445" s="58"/>
      <c r="AW445" s="58"/>
      <c r="AX445" s="58"/>
      <c r="AY445" s="58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</row>
    <row r="446" spans="1:71" ht="15.75" customHeight="1" x14ac:dyDescent="0.2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1"/>
      <c r="AD446" s="91"/>
      <c r="AE446" s="91"/>
      <c r="AF446" s="91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58"/>
      <c r="AW446" s="58"/>
      <c r="AX446" s="58"/>
      <c r="AY446" s="58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</row>
    <row r="447" spans="1:71" ht="15.75" customHeight="1" x14ac:dyDescent="0.2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1"/>
      <c r="AD447" s="91"/>
      <c r="AE447" s="91"/>
      <c r="AF447" s="91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0"/>
      <c r="AR447" s="90"/>
      <c r="AS447" s="90"/>
      <c r="AT447" s="90"/>
      <c r="AU447" s="90"/>
      <c r="AV447" s="58"/>
      <c r="AW447" s="58"/>
      <c r="AX447" s="58"/>
      <c r="AY447" s="58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</row>
    <row r="448" spans="1:71" ht="15.75" customHeight="1" x14ac:dyDescent="0.2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1"/>
      <c r="AD448" s="91"/>
      <c r="AE448" s="91"/>
      <c r="AF448" s="91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58"/>
      <c r="AW448" s="58"/>
      <c r="AX448" s="58"/>
      <c r="AY448" s="58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</row>
    <row r="449" spans="1:71" ht="15.75" customHeight="1" x14ac:dyDescent="0.2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1"/>
      <c r="AD449" s="91"/>
      <c r="AE449" s="91"/>
      <c r="AF449" s="91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0"/>
      <c r="AR449" s="90"/>
      <c r="AS449" s="90"/>
      <c r="AT449" s="90"/>
      <c r="AU449" s="90"/>
      <c r="AV449" s="58"/>
      <c r="AW449" s="58"/>
      <c r="AX449" s="58"/>
      <c r="AY449" s="58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</row>
    <row r="450" spans="1:71" ht="15.75" customHeight="1" x14ac:dyDescent="0.2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1"/>
      <c r="AD450" s="91"/>
      <c r="AE450" s="91"/>
      <c r="AF450" s="91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58"/>
      <c r="AW450" s="58"/>
      <c r="AX450" s="58"/>
      <c r="AY450" s="58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</row>
    <row r="451" spans="1:71" ht="15.75" customHeight="1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1"/>
      <c r="AD451" s="91"/>
      <c r="AE451" s="91"/>
      <c r="AF451" s="91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0"/>
      <c r="AR451" s="90"/>
      <c r="AS451" s="90"/>
      <c r="AT451" s="90"/>
      <c r="AU451" s="90"/>
      <c r="AV451" s="58"/>
      <c r="AW451" s="58"/>
      <c r="AX451" s="58"/>
      <c r="AY451" s="58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</row>
    <row r="452" spans="1:71" ht="15.75" customHeight="1" x14ac:dyDescent="0.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1"/>
      <c r="AD452" s="91"/>
      <c r="AE452" s="91"/>
      <c r="AF452" s="91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58"/>
      <c r="AW452" s="58"/>
      <c r="AX452" s="58"/>
      <c r="AY452" s="58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</row>
    <row r="453" spans="1:71" ht="15.75" customHeight="1" x14ac:dyDescent="0.2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1"/>
      <c r="AD453" s="91"/>
      <c r="AE453" s="91"/>
      <c r="AF453" s="91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0"/>
      <c r="AR453" s="90"/>
      <c r="AS453" s="90"/>
      <c r="AT453" s="90"/>
      <c r="AU453" s="90"/>
      <c r="AV453" s="58"/>
      <c r="AW453" s="58"/>
      <c r="AX453" s="58"/>
      <c r="AY453" s="58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</row>
    <row r="454" spans="1:71" ht="15.75" customHeight="1" x14ac:dyDescent="0.2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1"/>
      <c r="AD454" s="91"/>
      <c r="AE454" s="91"/>
      <c r="AF454" s="91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58"/>
      <c r="AW454" s="58"/>
      <c r="AX454" s="58"/>
      <c r="AY454" s="58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</row>
    <row r="455" spans="1:71" ht="15.75" customHeight="1" x14ac:dyDescent="0.2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1"/>
      <c r="AD455" s="91"/>
      <c r="AE455" s="91"/>
      <c r="AF455" s="91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0"/>
      <c r="AR455" s="90"/>
      <c r="AS455" s="90"/>
      <c r="AT455" s="90"/>
      <c r="AU455" s="90"/>
      <c r="AV455" s="58"/>
      <c r="AW455" s="58"/>
      <c r="AX455" s="58"/>
      <c r="AY455" s="58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</row>
    <row r="456" spans="1:71" ht="15.75" customHeight="1" x14ac:dyDescent="0.2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1"/>
      <c r="AD456" s="91"/>
      <c r="AE456" s="91"/>
      <c r="AF456" s="91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58"/>
      <c r="AW456" s="58"/>
      <c r="AX456" s="58"/>
      <c r="AY456" s="58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</row>
    <row r="457" spans="1:71" ht="15.75" customHeight="1" x14ac:dyDescent="0.2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1"/>
      <c r="AD457" s="91"/>
      <c r="AE457" s="91"/>
      <c r="AF457" s="91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0"/>
      <c r="AR457" s="90"/>
      <c r="AS457" s="90"/>
      <c r="AT457" s="90"/>
      <c r="AU457" s="90"/>
      <c r="AV457" s="58"/>
      <c r="AW457" s="58"/>
      <c r="AX457" s="58"/>
      <c r="AY457" s="58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</row>
    <row r="458" spans="1:71" ht="15.75" customHeight="1" x14ac:dyDescent="0.2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1"/>
      <c r="AD458" s="91"/>
      <c r="AE458" s="91"/>
      <c r="AF458" s="91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58"/>
      <c r="AW458" s="58"/>
      <c r="AX458" s="58"/>
      <c r="AY458" s="58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</row>
    <row r="459" spans="1:71" ht="15.75" customHeight="1" x14ac:dyDescent="0.2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1"/>
      <c r="AD459" s="91"/>
      <c r="AE459" s="91"/>
      <c r="AF459" s="91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0"/>
      <c r="AR459" s="90"/>
      <c r="AS459" s="90"/>
      <c r="AT459" s="90"/>
      <c r="AU459" s="90"/>
      <c r="AV459" s="58"/>
      <c r="AW459" s="58"/>
      <c r="AX459" s="58"/>
      <c r="AY459" s="58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</row>
    <row r="460" spans="1:71" ht="15.75" customHeight="1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1"/>
      <c r="AD460" s="91"/>
      <c r="AE460" s="91"/>
      <c r="AF460" s="91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58"/>
      <c r="AW460" s="58"/>
      <c r="AX460" s="58"/>
      <c r="AY460" s="58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</row>
    <row r="461" spans="1:71" ht="15.75" customHeight="1" x14ac:dyDescent="0.2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1"/>
      <c r="AD461" s="91"/>
      <c r="AE461" s="91"/>
      <c r="AF461" s="91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0"/>
      <c r="AR461" s="90"/>
      <c r="AS461" s="90"/>
      <c r="AT461" s="90"/>
      <c r="AU461" s="90"/>
      <c r="AV461" s="58"/>
      <c r="AW461" s="58"/>
      <c r="AX461" s="58"/>
      <c r="AY461" s="58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</row>
    <row r="462" spans="1:71" ht="15.75" customHeight="1" x14ac:dyDescent="0.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1"/>
      <c r="AD462" s="91"/>
      <c r="AE462" s="91"/>
      <c r="AF462" s="91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58"/>
      <c r="AW462" s="58"/>
      <c r="AX462" s="58"/>
      <c r="AY462" s="58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</row>
    <row r="463" spans="1:71" ht="15.75" customHeight="1" x14ac:dyDescent="0.2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1"/>
      <c r="AD463" s="91"/>
      <c r="AE463" s="91"/>
      <c r="AF463" s="91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0"/>
      <c r="AR463" s="90"/>
      <c r="AS463" s="90"/>
      <c r="AT463" s="90"/>
      <c r="AU463" s="90"/>
      <c r="AV463" s="58"/>
      <c r="AW463" s="58"/>
      <c r="AX463" s="58"/>
      <c r="AY463" s="58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</row>
    <row r="464" spans="1:71" ht="15.75" customHeight="1" x14ac:dyDescent="0.2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1"/>
      <c r="AD464" s="91"/>
      <c r="AE464" s="91"/>
      <c r="AF464" s="91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58"/>
      <c r="AW464" s="58"/>
      <c r="AX464" s="58"/>
      <c r="AY464" s="58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</row>
    <row r="465" spans="1:71" ht="15.75" customHeight="1" x14ac:dyDescent="0.2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1"/>
      <c r="AD465" s="91"/>
      <c r="AE465" s="91"/>
      <c r="AF465" s="91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0"/>
      <c r="AR465" s="90"/>
      <c r="AS465" s="90"/>
      <c r="AT465" s="90"/>
      <c r="AU465" s="90"/>
      <c r="AV465" s="58"/>
      <c r="AW465" s="58"/>
      <c r="AX465" s="58"/>
      <c r="AY465" s="58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</row>
    <row r="466" spans="1:71" ht="15.75" customHeight="1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1"/>
      <c r="AD466" s="91"/>
      <c r="AE466" s="91"/>
      <c r="AF466" s="91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58"/>
      <c r="AW466" s="58"/>
      <c r="AX466" s="58"/>
      <c r="AY466" s="58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</row>
    <row r="467" spans="1:71" ht="15.75" customHeight="1" x14ac:dyDescent="0.2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1"/>
      <c r="AD467" s="91"/>
      <c r="AE467" s="91"/>
      <c r="AF467" s="91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0"/>
      <c r="AR467" s="90"/>
      <c r="AS467" s="90"/>
      <c r="AT467" s="90"/>
      <c r="AU467" s="90"/>
      <c r="AV467" s="58"/>
      <c r="AW467" s="58"/>
      <c r="AX467" s="58"/>
      <c r="AY467" s="58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</row>
    <row r="468" spans="1:71" ht="15.75" customHeight="1" x14ac:dyDescent="0.2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1"/>
      <c r="AD468" s="91"/>
      <c r="AE468" s="91"/>
      <c r="AF468" s="91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58"/>
      <c r="AW468" s="58"/>
      <c r="AX468" s="58"/>
      <c r="AY468" s="58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</row>
    <row r="469" spans="1:71" ht="15.75" customHeight="1" x14ac:dyDescent="0.2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1"/>
      <c r="AD469" s="91"/>
      <c r="AE469" s="91"/>
      <c r="AF469" s="91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0"/>
      <c r="AR469" s="90"/>
      <c r="AS469" s="90"/>
      <c r="AT469" s="90"/>
      <c r="AU469" s="90"/>
      <c r="AV469" s="58"/>
      <c r="AW469" s="58"/>
      <c r="AX469" s="58"/>
      <c r="AY469" s="58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</row>
    <row r="470" spans="1:71" ht="15.75" customHeight="1" x14ac:dyDescent="0.2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1"/>
      <c r="AD470" s="91"/>
      <c r="AE470" s="91"/>
      <c r="AF470" s="91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58"/>
      <c r="AW470" s="58"/>
      <c r="AX470" s="58"/>
      <c r="AY470" s="58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</row>
    <row r="471" spans="1:71" ht="15.75" customHeight="1" x14ac:dyDescent="0.2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1"/>
      <c r="AD471" s="91"/>
      <c r="AE471" s="91"/>
      <c r="AF471" s="91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0"/>
      <c r="AR471" s="90"/>
      <c r="AS471" s="90"/>
      <c r="AT471" s="90"/>
      <c r="AU471" s="90"/>
      <c r="AV471" s="58"/>
      <c r="AW471" s="58"/>
      <c r="AX471" s="58"/>
      <c r="AY471" s="58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</row>
    <row r="472" spans="1:71" ht="15.75" customHeight="1" x14ac:dyDescent="0.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1"/>
      <c r="AD472" s="91"/>
      <c r="AE472" s="91"/>
      <c r="AF472" s="91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58"/>
      <c r="AW472" s="58"/>
      <c r="AX472" s="58"/>
      <c r="AY472" s="58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</row>
    <row r="473" spans="1:71" ht="15.75" customHeight="1" x14ac:dyDescent="0.2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1"/>
      <c r="AD473" s="91"/>
      <c r="AE473" s="91"/>
      <c r="AF473" s="91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0"/>
      <c r="AR473" s="90"/>
      <c r="AS473" s="90"/>
      <c r="AT473" s="90"/>
      <c r="AU473" s="90"/>
      <c r="AV473" s="58"/>
      <c r="AW473" s="58"/>
      <c r="AX473" s="58"/>
      <c r="AY473" s="58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</row>
    <row r="474" spans="1:71" ht="15.75" customHeight="1" x14ac:dyDescent="0.2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1"/>
      <c r="AD474" s="91"/>
      <c r="AE474" s="91"/>
      <c r="AF474" s="91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58"/>
      <c r="AW474" s="58"/>
      <c r="AX474" s="58"/>
      <c r="AY474" s="58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</row>
    <row r="475" spans="1:71" ht="15.75" customHeight="1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1"/>
      <c r="AD475" s="91"/>
      <c r="AE475" s="91"/>
      <c r="AF475" s="91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0"/>
      <c r="AR475" s="90"/>
      <c r="AS475" s="90"/>
      <c r="AT475" s="90"/>
      <c r="AU475" s="90"/>
      <c r="AV475" s="58"/>
      <c r="AW475" s="58"/>
      <c r="AX475" s="58"/>
      <c r="AY475" s="58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</row>
    <row r="476" spans="1:71" ht="15.75" customHeight="1" x14ac:dyDescent="0.2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1"/>
      <c r="AD476" s="91"/>
      <c r="AE476" s="91"/>
      <c r="AF476" s="91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58"/>
      <c r="AW476" s="58"/>
      <c r="AX476" s="58"/>
      <c r="AY476" s="58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</row>
    <row r="477" spans="1:71" ht="15.75" customHeight="1" x14ac:dyDescent="0.2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1"/>
      <c r="AD477" s="91"/>
      <c r="AE477" s="91"/>
      <c r="AF477" s="91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0"/>
      <c r="AR477" s="90"/>
      <c r="AS477" s="90"/>
      <c r="AT477" s="90"/>
      <c r="AU477" s="90"/>
      <c r="AV477" s="58"/>
      <c r="AW477" s="58"/>
      <c r="AX477" s="58"/>
      <c r="AY477" s="58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</row>
    <row r="478" spans="1:71" ht="15.75" customHeight="1" x14ac:dyDescent="0.2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1"/>
      <c r="AD478" s="91"/>
      <c r="AE478" s="91"/>
      <c r="AF478" s="91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58"/>
      <c r="AW478" s="58"/>
      <c r="AX478" s="58"/>
      <c r="AY478" s="58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</row>
    <row r="479" spans="1:71" ht="15.75" customHeight="1" x14ac:dyDescent="0.2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1"/>
      <c r="AD479" s="91"/>
      <c r="AE479" s="91"/>
      <c r="AF479" s="91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0"/>
      <c r="AR479" s="90"/>
      <c r="AS479" s="90"/>
      <c r="AT479" s="90"/>
      <c r="AU479" s="90"/>
      <c r="AV479" s="58"/>
      <c r="AW479" s="58"/>
      <c r="AX479" s="58"/>
      <c r="AY479" s="58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</row>
    <row r="480" spans="1:71" ht="15.75" customHeight="1" x14ac:dyDescent="0.2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1"/>
      <c r="AD480" s="91"/>
      <c r="AE480" s="91"/>
      <c r="AF480" s="91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58"/>
      <c r="AW480" s="58"/>
      <c r="AX480" s="58"/>
      <c r="AY480" s="58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</row>
    <row r="481" spans="1:71" ht="15.75" customHeight="1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1"/>
      <c r="AD481" s="91"/>
      <c r="AE481" s="91"/>
      <c r="AF481" s="91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0"/>
      <c r="AR481" s="90"/>
      <c r="AS481" s="90"/>
      <c r="AT481" s="90"/>
      <c r="AU481" s="90"/>
      <c r="AV481" s="58"/>
      <c r="AW481" s="58"/>
      <c r="AX481" s="58"/>
      <c r="AY481" s="58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</row>
    <row r="482" spans="1:71" ht="15.75" customHeight="1" x14ac:dyDescent="0.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1"/>
      <c r="AD482" s="91"/>
      <c r="AE482" s="91"/>
      <c r="AF482" s="91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58"/>
      <c r="AW482" s="58"/>
      <c r="AX482" s="58"/>
      <c r="AY482" s="58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</row>
    <row r="483" spans="1:71" ht="15.75" customHeight="1" x14ac:dyDescent="0.2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1"/>
      <c r="AD483" s="91"/>
      <c r="AE483" s="91"/>
      <c r="AF483" s="91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0"/>
      <c r="AR483" s="90"/>
      <c r="AS483" s="90"/>
      <c r="AT483" s="90"/>
      <c r="AU483" s="90"/>
      <c r="AV483" s="58"/>
      <c r="AW483" s="58"/>
      <c r="AX483" s="58"/>
      <c r="AY483" s="58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</row>
    <row r="484" spans="1:71" ht="15.75" customHeight="1" x14ac:dyDescent="0.2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1"/>
      <c r="AD484" s="91"/>
      <c r="AE484" s="91"/>
      <c r="AF484" s="91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58"/>
      <c r="AW484" s="58"/>
      <c r="AX484" s="58"/>
      <c r="AY484" s="58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</row>
    <row r="485" spans="1:71" ht="15.75" customHeight="1" x14ac:dyDescent="0.2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1"/>
      <c r="AD485" s="91"/>
      <c r="AE485" s="91"/>
      <c r="AF485" s="91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0"/>
      <c r="AR485" s="90"/>
      <c r="AS485" s="90"/>
      <c r="AT485" s="90"/>
      <c r="AU485" s="90"/>
      <c r="AV485" s="58"/>
      <c r="AW485" s="58"/>
      <c r="AX485" s="58"/>
      <c r="AY485" s="58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</row>
    <row r="486" spans="1:71" ht="15.75" customHeight="1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1"/>
      <c r="AD486" s="91"/>
      <c r="AE486" s="91"/>
      <c r="AF486" s="91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58"/>
      <c r="AW486" s="58"/>
      <c r="AX486" s="58"/>
      <c r="AY486" s="58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</row>
    <row r="487" spans="1:71" ht="15.75" customHeight="1" x14ac:dyDescent="0.2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1"/>
      <c r="AD487" s="91"/>
      <c r="AE487" s="91"/>
      <c r="AF487" s="91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0"/>
      <c r="AR487" s="90"/>
      <c r="AS487" s="90"/>
      <c r="AT487" s="90"/>
      <c r="AU487" s="90"/>
      <c r="AV487" s="58"/>
      <c r="AW487" s="58"/>
      <c r="AX487" s="58"/>
      <c r="AY487" s="58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</row>
    <row r="488" spans="1:71" ht="15.75" customHeight="1" x14ac:dyDescent="0.2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1"/>
      <c r="AD488" s="91"/>
      <c r="AE488" s="91"/>
      <c r="AF488" s="91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58"/>
      <c r="AW488" s="58"/>
      <c r="AX488" s="58"/>
      <c r="AY488" s="58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</row>
    <row r="489" spans="1:71" ht="15.75" customHeight="1" x14ac:dyDescent="0.2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1"/>
      <c r="AD489" s="91"/>
      <c r="AE489" s="91"/>
      <c r="AF489" s="91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0"/>
      <c r="AR489" s="90"/>
      <c r="AS489" s="90"/>
      <c r="AT489" s="90"/>
      <c r="AU489" s="90"/>
      <c r="AV489" s="58"/>
      <c r="AW489" s="58"/>
      <c r="AX489" s="58"/>
      <c r="AY489" s="58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</row>
    <row r="490" spans="1:71" ht="15.75" customHeight="1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1"/>
      <c r="AD490" s="91"/>
      <c r="AE490" s="91"/>
      <c r="AF490" s="91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58"/>
      <c r="AW490" s="58"/>
      <c r="AX490" s="58"/>
      <c r="AY490" s="58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</row>
    <row r="491" spans="1:71" ht="15.75" customHeight="1" x14ac:dyDescent="0.2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1"/>
      <c r="AD491" s="91"/>
      <c r="AE491" s="91"/>
      <c r="AF491" s="91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0"/>
      <c r="AR491" s="90"/>
      <c r="AS491" s="90"/>
      <c r="AT491" s="90"/>
      <c r="AU491" s="90"/>
      <c r="AV491" s="58"/>
      <c r="AW491" s="58"/>
      <c r="AX491" s="58"/>
      <c r="AY491" s="58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</row>
    <row r="492" spans="1:71" ht="15.75" customHeight="1" x14ac:dyDescent="0.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1"/>
      <c r="AD492" s="91"/>
      <c r="AE492" s="91"/>
      <c r="AF492" s="91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58"/>
      <c r="AW492" s="58"/>
      <c r="AX492" s="58"/>
      <c r="AY492" s="58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</row>
    <row r="493" spans="1:71" ht="15.75" customHeight="1" x14ac:dyDescent="0.2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1"/>
      <c r="AD493" s="91"/>
      <c r="AE493" s="91"/>
      <c r="AF493" s="91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0"/>
      <c r="AR493" s="90"/>
      <c r="AS493" s="90"/>
      <c r="AT493" s="90"/>
      <c r="AU493" s="90"/>
      <c r="AV493" s="58"/>
      <c r="AW493" s="58"/>
      <c r="AX493" s="58"/>
      <c r="AY493" s="58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</row>
    <row r="494" spans="1:71" ht="15.75" customHeight="1" x14ac:dyDescent="0.2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1"/>
      <c r="AD494" s="91"/>
      <c r="AE494" s="91"/>
      <c r="AF494" s="91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58"/>
      <c r="AW494" s="58"/>
      <c r="AX494" s="58"/>
      <c r="AY494" s="58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</row>
    <row r="495" spans="1:71" ht="15.75" customHeight="1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1"/>
      <c r="AD495" s="91"/>
      <c r="AE495" s="91"/>
      <c r="AF495" s="91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0"/>
      <c r="AR495" s="90"/>
      <c r="AS495" s="90"/>
      <c r="AT495" s="90"/>
      <c r="AU495" s="90"/>
      <c r="AV495" s="58"/>
      <c r="AW495" s="58"/>
      <c r="AX495" s="58"/>
      <c r="AY495" s="58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</row>
    <row r="496" spans="1:71" ht="15.75" customHeight="1" x14ac:dyDescent="0.2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1"/>
      <c r="AD496" s="91"/>
      <c r="AE496" s="91"/>
      <c r="AF496" s="91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58"/>
      <c r="AW496" s="58"/>
      <c r="AX496" s="58"/>
      <c r="AY496" s="58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</row>
    <row r="497" spans="1:71" ht="15.75" customHeight="1" x14ac:dyDescent="0.2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1"/>
      <c r="AD497" s="91"/>
      <c r="AE497" s="91"/>
      <c r="AF497" s="91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0"/>
      <c r="AR497" s="90"/>
      <c r="AS497" s="90"/>
      <c r="AT497" s="90"/>
      <c r="AU497" s="90"/>
      <c r="AV497" s="58"/>
      <c r="AW497" s="58"/>
      <c r="AX497" s="58"/>
      <c r="AY497" s="58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</row>
    <row r="498" spans="1:71" ht="15.75" customHeight="1" x14ac:dyDescent="0.2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1"/>
      <c r="AD498" s="91"/>
      <c r="AE498" s="91"/>
      <c r="AF498" s="91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58"/>
      <c r="AW498" s="58"/>
      <c r="AX498" s="58"/>
      <c r="AY498" s="58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</row>
    <row r="499" spans="1:71" ht="15.75" customHeight="1" x14ac:dyDescent="0.2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1"/>
      <c r="AD499" s="91"/>
      <c r="AE499" s="91"/>
      <c r="AF499" s="91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0"/>
      <c r="AR499" s="90"/>
      <c r="AS499" s="90"/>
      <c r="AT499" s="90"/>
      <c r="AU499" s="90"/>
      <c r="AV499" s="58"/>
      <c r="AW499" s="58"/>
      <c r="AX499" s="58"/>
      <c r="AY499" s="58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</row>
    <row r="500" spans="1:71" ht="15.75" customHeight="1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1"/>
      <c r="AD500" s="91"/>
      <c r="AE500" s="91"/>
      <c r="AF500" s="91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58"/>
      <c r="AW500" s="58"/>
      <c r="AX500" s="58"/>
      <c r="AY500" s="58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</row>
    <row r="501" spans="1:71" ht="15.75" customHeight="1" x14ac:dyDescent="0.2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1"/>
      <c r="AD501" s="91"/>
      <c r="AE501" s="91"/>
      <c r="AF501" s="91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0"/>
      <c r="AR501" s="90"/>
      <c r="AS501" s="90"/>
      <c r="AT501" s="90"/>
      <c r="AU501" s="90"/>
      <c r="AV501" s="58"/>
      <c r="AW501" s="58"/>
      <c r="AX501" s="58"/>
      <c r="AY501" s="58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</row>
    <row r="502" spans="1:71" ht="15.75" customHeight="1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1"/>
      <c r="AD502" s="91"/>
      <c r="AE502" s="91"/>
      <c r="AF502" s="91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58"/>
      <c r="AW502" s="58"/>
      <c r="AX502" s="58"/>
      <c r="AY502" s="58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</row>
    <row r="503" spans="1:71" ht="15.75" customHeight="1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1"/>
      <c r="AD503" s="91"/>
      <c r="AE503" s="91"/>
      <c r="AF503" s="91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0"/>
      <c r="AR503" s="90"/>
      <c r="AS503" s="90"/>
      <c r="AT503" s="90"/>
      <c r="AU503" s="90"/>
      <c r="AV503" s="58"/>
      <c r="AW503" s="58"/>
      <c r="AX503" s="58"/>
      <c r="AY503" s="58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</row>
    <row r="504" spans="1:71" ht="15.75" customHeight="1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1"/>
      <c r="AD504" s="91"/>
      <c r="AE504" s="91"/>
      <c r="AF504" s="91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58"/>
      <c r="AW504" s="58"/>
      <c r="AX504" s="58"/>
      <c r="AY504" s="58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</row>
    <row r="505" spans="1:71" ht="15.75" customHeight="1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1"/>
      <c r="AD505" s="91"/>
      <c r="AE505" s="91"/>
      <c r="AF505" s="91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0"/>
      <c r="AR505" s="90"/>
      <c r="AS505" s="90"/>
      <c r="AT505" s="90"/>
      <c r="AU505" s="90"/>
      <c r="AV505" s="58"/>
      <c r="AW505" s="58"/>
      <c r="AX505" s="58"/>
      <c r="AY505" s="58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</row>
    <row r="506" spans="1:71" ht="15.7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1"/>
      <c r="AD506" s="91"/>
      <c r="AE506" s="91"/>
      <c r="AF506" s="91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58"/>
      <c r="AW506" s="58"/>
      <c r="AX506" s="58"/>
      <c r="AY506" s="58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</row>
    <row r="507" spans="1:71" ht="15.75" customHeight="1" x14ac:dyDescent="0.2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1"/>
      <c r="AD507" s="91"/>
      <c r="AE507" s="91"/>
      <c r="AF507" s="91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58"/>
      <c r="AW507" s="58"/>
      <c r="AX507" s="58"/>
      <c r="AY507" s="58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</row>
    <row r="508" spans="1:71" ht="15.75" customHeight="1" x14ac:dyDescent="0.2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1"/>
      <c r="AD508" s="91"/>
      <c r="AE508" s="91"/>
      <c r="AF508" s="91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58"/>
      <c r="AW508" s="58"/>
      <c r="AX508" s="58"/>
      <c r="AY508" s="58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</row>
    <row r="509" spans="1:71" ht="15.75" customHeight="1" x14ac:dyDescent="0.2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1"/>
      <c r="AD509" s="91"/>
      <c r="AE509" s="91"/>
      <c r="AF509" s="91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0"/>
      <c r="AR509" s="90"/>
      <c r="AS509" s="90"/>
      <c r="AT509" s="90"/>
      <c r="AU509" s="90"/>
      <c r="AV509" s="58"/>
      <c r="AW509" s="58"/>
      <c r="AX509" s="58"/>
      <c r="AY509" s="58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</row>
    <row r="510" spans="1:71" ht="15.75" customHeight="1" x14ac:dyDescent="0.2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1"/>
      <c r="AD510" s="91"/>
      <c r="AE510" s="91"/>
      <c r="AF510" s="91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58"/>
      <c r="AW510" s="58"/>
      <c r="AX510" s="58"/>
      <c r="AY510" s="58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</row>
    <row r="511" spans="1:71" ht="15.75" customHeight="1" x14ac:dyDescent="0.2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1"/>
      <c r="AD511" s="91"/>
      <c r="AE511" s="91"/>
      <c r="AF511" s="91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0"/>
      <c r="AR511" s="90"/>
      <c r="AS511" s="90"/>
      <c r="AT511" s="90"/>
      <c r="AU511" s="90"/>
      <c r="AV511" s="58"/>
      <c r="AW511" s="58"/>
      <c r="AX511" s="58"/>
      <c r="AY511" s="58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</row>
    <row r="512" spans="1:71" ht="15.75" customHeight="1" x14ac:dyDescent="0.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1"/>
      <c r="AD512" s="91"/>
      <c r="AE512" s="91"/>
      <c r="AF512" s="91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58"/>
      <c r="AW512" s="58"/>
      <c r="AX512" s="58"/>
      <c r="AY512" s="58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</row>
    <row r="513" spans="1:71" ht="15.75" customHeight="1" x14ac:dyDescent="0.2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1"/>
      <c r="AD513" s="91"/>
      <c r="AE513" s="91"/>
      <c r="AF513" s="91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0"/>
      <c r="AR513" s="90"/>
      <c r="AS513" s="90"/>
      <c r="AT513" s="90"/>
      <c r="AU513" s="90"/>
      <c r="AV513" s="58"/>
      <c r="AW513" s="58"/>
      <c r="AX513" s="58"/>
      <c r="AY513" s="58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</row>
    <row r="514" spans="1:71" ht="15.75" customHeight="1" x14ac:dyDescent="0.2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1"/>
      <c r="AD514" s="91"/>
      <c r="AE514" s="91"/>
      <c r="AF514" s="91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58"/>
      <c r="AW514" s="58"/>
      <c r="AX514" s="58"/>
      <c r="AY514" s="58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</row>
    <row r="515" spans="1:71" ht="15.75" customHeight="1" x14ac:dyDescent="0.2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1"/>
      <c r="AD515" s="91"/>
      <c r="AE515" s="91"/>
      <c r="AF515" s="91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0"/>
      <c r="AR515" s="90"/>
      <c r="AS515" s="90"/>
      <c r="AT515" s="90"/>
      <c r="AU515" s="90"/>
      <c r="AV515" s="58"/>
      <c r="AW515" s="58"/>
      <c r="AX515" s="58"/>
      <c r="AY515" s="58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</row>
    <row r="516" spans="1:71" ht="15.75" customHeight="1" x14ac:dyDescent="0.2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1"/>
      <c r="AD516" s="91"/>
      <c r="AE516" s="91"/>
      <c r="AF516" s="91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58"/>
      <c r="AW516" s="58"/>
      <c r="AX516" s="58"/>
      <c r="AY516" s="58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</row>
    <row r="517" spans="1:71" ht="15.75" customHeight="1" x14ac:dyDescent="0.2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1"/>
      <c r="AD517" s="91"/>
      <c r="AE517" s="91"/>
      <c r="AF517" s="91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0"/>
      <c r="AR517" s="90"/>
      <c r="AS517" s="90"/>
      <c r="AT517" s="90"/>
      <c r="AU517" s="90"/>
      <c r="AV517" s="58"/>
      <c r="AW517" s="58"/>
      <c r="AX517" s="58"/>
      <c r="AY517" s="58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</row>
    <row r="518" spans="1:71" ht="15.75" customHeight="1" x14ac:dyDescent="0.2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1"/>
      <c r="AD518" s="91"/>
      <c r="AE518" s="91"/>
      <c r="AF518" s="91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58"/>
      <c r="AW518" s="58"/>
      <c r="AX518" s="58"/>
      <c r="AY518" s="58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</row>
    <row r="519" spans="1:71" ht="15.75" customHeight="1" x14ac:dyDescent="0.2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1"/>
      <c r="AD519" s="91"/>
      <c r="AE519" s="91"/>
      <c r="AF519" s="91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0"/>
      <c r="AR519" s="90"/>
      <c r="AS519" s="90"/>
      <c r="AT519" s="90"/>
      <c r="AU519" s="90"/>
      <c r="AV519" s="58"/>
      <c r="AW519" s="58"/>
      <c r="AX519" s="58"/>
      <c r="AY519" s="58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</row>
    <row r="520" spans="1:71" ht="15.75" customHeight="1" x14ac:dyDescent="0.2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1"/>
      <c r="AD520" s="91"/>
      <c r="AE520" s="91"/>
      <c r="AF520" s="91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58"/>
      <c r="AW520" s="58"/>
      <c r="AX520" s="58"/>
      <c r="AY520" s="58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</row>
    <row r="521" spans="1:71" ht="15.75" customHeight="1" x14ac:dyDescent="0.2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1"/>
      <c r="AD521" s="91"/>
      <c r="AE521" s="91"/>
      <c r="AF521" s="91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0"/>
      <c r="AR521" s="90"/>
      <c r="AS521" s="90"/>
      <c r="AT521" s="90"/>
      <c r="AU521" s="90"/>
      <c r="AV521" s="58"/>
      <c r="AW521" s="58"/>
      <c r="AX521" s="58"/>
      <c r="AY521" s="58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</row>
    <row r="522" spans="1:71" ht="15.75" customHeight="1" x14ac:dyDescent="0.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1"/>
      <c r="AD522" s="91"/>
      <c r="AE522" s="91"/>
      <c r="AF522" s="91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58"/>
      <c r="AW522" s="58"/>
      <c r="AX522" s="58"/>
      <c r="AY522" s="58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</row>
    <row r="523" spans="1:71" ht="15.75" customHeight="1" x14ac:dyDescent="0.2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1"/>
      <c r="AD523" s="91"/>
      <c r="AE523" s="91"/>
      <c r="AF523" s="91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0"/>
      <c r="AR523" s="90"/>
      <c r="AS523" s="90"/>
      <c r="AT523" s="90"/>
      <c r="AU523" s="90"/>
      <c r="AV523" s="58"/>
      <c r="AW523" s="58"/>
      <c r="AX523" s="58"/>
      <c r="AY523" s="58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</row>
    <row r="524" spans="1:71" ht="15.75" customHeight="1" x14ac:dyDescent="0.2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1"/>
      <c r="AD524" s="91"/>
      <c r="AE524" s="91"/>
      <c r="AF524" s="91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58"/>
      <c r="AW524" s="58"/>
      <c r="AX524" s="58"/>
      <c r="AY524" s="58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</row>
    <row r="525" spans="1:71" ht="15.75" customHeight="1" x14ac:dyDescent="0.2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1"/>
      <c r="AD525" s="91"/>
      <c r="AE525" s="91"/>
      <c r="AF525" s="91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0"/>
      <c r="AR525" s="90"/>
      <c r="AS525" s="90"/>
      <c r="AT525" s="90"/>
      <c r="AU525" s="90"/>
      <c r="AV525" s="58"/>
      <c r="AW525" s="58"/>
      <c r="AX525" s="58"/>
      <c r="AY525" s="58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</row>
    <row r="526" spans="1:71" ht="15.75" customHeight="1" x14ac:dyDescent="0.2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1"/>
      <c r="AD526" s="91"/>
      <c r="AE526" s="91"/>
      <c r="AF526" s="91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58"/>
      <c r="AW526" s="58"/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</row>
    <row r="527" spans="1:71" ht="15.75" customHeight="1" x14ac:dyDescent="0.2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1"/>
      <c r="AD527" s="91"/>
      <c r="AE527" s="91"/>
      <c r="AF527" s="91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0"/>
      <c r="AR527" s="90"/>
      <c r="AS527" s="90"/>
      <c r="AT527" s="90"/>
      <c r="AU527" s="90"/>
      <c r="AV527" s="58"/>
      <c r="AW527" s="58"/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</row>
    <row r="528" spans="1:71" ht="15.75" customHeight="1" x14ac:dyDescent="0.2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1"/>
      <c r="AD528" s="91"/>
      <c r="AE528" s="91"/>
      <c r="AF528" s="91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58"/>
      <c r="AW528" s="58"/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</row>
    <row r="529" spans="1:71" ht="15.75" customHeight="1" x14ac:dyDescent="0.2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1"/>
      <c r="AD529" s="91"/>
      <c r="AE529" s="91"/>
      <c r="AF529" s="91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0"/>
      <c r="AR529" s="90"/>
      <c r="AS529" s="90"/>
      <c r="AT529" s="90"/>
      <c r="AU529" s="90"/>
      <c r="AV529" s="58"/>
      <c r="AW529" s="58"/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</row>
    <row r="530" spans="1:71" ht="15.75" customHeight="1" x14ac:dyDescent="0.2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1"/>
      <c r="AD530" s="91"/>
      <c r="AE530" s="91"/>
      <c r="AF530" s="91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58"/>
      <c r="AW530" s="58"/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</row>
    <row r="531" spans="1:71" ht="15.75" customHeight="1" x14ac:dyDescent="0.2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1"/>
      <c r="AD531" s="91"/>
      <c r="AE531" s="91"/>
      <c r="AF531" s="91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0"/>
      <c r="AR531" s="90"/>
      <c r="AS531" s="90"/>
      <c r="AT531" s="90"/>
      <c r="AU531" s="90"/>
      <c r="AV531" s="58"/>
      <c r="AW531" s="58"/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</row>
    <row r="532" spans="1:71" ht="15.75" customHeight="1" x14ac:dyDescent="0.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1"/>
      <c r="AD532" s="91"/>
      <c r="AE532" s="91"/>
      <c r="AF532" s="91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58"/>
      <c r="AW532" s="58"/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</row>
    <row r="533" spans="1:71" ht="15.75" customHeight="1" x14ac:dyDescent="0.2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1"/>
      <c r="AD533" s="91"/>
      <c r="AE533" s="91"/>
      <c r="AF533" s="91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0"/>
      <c r="AR533" s="90"/>
      <c r="AS533" s="90"/>
      <c r="AT533" s="90"/>
      <c r="AU533" s="90"/>
      <c r="AV533" s="58"/>
      <c r="AW533" s="58"/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</row>
    <row r="534" spans="1:71" ht="15.75" customHeight="1" x14ac:dyDescent="0.2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1"/>
      <c r="AD534" s="91"/>
      <c r="AE534" s="91"/>
      <c r="AF534" s="91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58"/>
      <c r="AW534" s="58"/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</row>
    <row r="535" spans="1:71" ht="15.75" customHeight="1" x14ac:dyDescent="0.2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1"/>
      <c r="AD535" s="91"/>
      <c r="AE535" s="91"/>
      <c r="AF535" s="91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0"/>
      <c r="AR535" s="90"/>
      <c r="AS535" s="90"/>
      <c r="AT535" s="90"/>
      <c r="AU535" s="90"/>
      <c r="AV535" s="58"/>
      <c r="AW535" s="58"/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</row>
    <row r="536" spans="1:71" ht="15.75" customHeight="1" x14ac:dyDescent="0.2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1"/>
      <c r="AD536" s="91"/>
      <c r="AE536" s="91"/>
      <c r="AF536" s="91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58"/>
      <c r="AW536" s="58"/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</row>
    <row r="537" spans="1:71" ht="15.75" customHeight="1" x14ac:dyDescent="0.2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1"/>
      <c r="AD537" s="91"/>
      <c r="AE537" s="91"/>
      <c r="AF537" s="91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0"/>
      <c r="AR537" s="90"/>
      <c r="AS537" s="90"/>
      <c r="AT537" s="90"/>
      <c r="AU537" s="90"/>
      <c r="AV537" s="58"/>
      <c r="AW537" s="58"/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</row>
    <row r="538" spans="1:71" ht="15.75" customHeight="1" x14ac:dyDescent="0.2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1"/>
      <c r="AD538" s="91"/>
      <c r="AE538" s="91"/>
      <c r="AF538" s="91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58"/>
      <c r="AW538" s="58"/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</row>
    <row r="539" spans="1:71" ht="15.75" customHeight="1" x14ac:dyDescent="0.2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1"/>
      <c r="AD539" s="91"/>
      <c r="AE539" s="91"/>
      <c r="AF539" s="91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0"/>
      <c r="AR539" s="90"/>
      <c r="AS539" s="90"/>
      <c r="AT539" s="90"/>
      <c r="AU539" s="90"/>
      <c r="AV539" s="58"/>
      <c r="AW539" s="58"/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</row>
    <row r="540" spans="1:71" ht="15.75" customHeight="1" x14ac:dyDescent="0.2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1"/>
      <c r="AD540" s="91"/>
      <c r="AE540" s="91"/>
      <c r="AF540" s="91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58"/>
      <c r="AW540" s="58"/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</row>
    <row r="541" spans="1:71" ht="15.75" customHeight="1" x14ac:dyDescent="0.2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1"/>
      <c r="AD541" s="91"/>
      <c r="AE541" s="91"/>
      <c r="AF541" s="91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0"/>
      <c r="AR541" s="90"/>
      <c r="AS541" s="90"/>
      <c r="AT541" s="90"/>
      <c r="AU541" s="90"/>
      <c r="AV541" s="58"/>
      <c r="AW541" s="58"/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</row>
    <row r="542" spans="1:71" ht="15.75" customHeight="1" x14ac:dyDescent="0.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1"/>
      <c r="AD542" s="91"/>
      <c r="AE542" s="91"/>
      <c r="AF542" s="91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58"/>
      <c r="AW542" s="58"/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</row>
    <row r="543" spans="1:71" ht="15.75" customHeight="1" x14ac:dyDescent="0.2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1"/>
      <c r="AD543" s="91"/>
      <c r="AE543" s="91"/>
      <c r="AF543" s="91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0"/>
      <c r="AR543" s="90"/>
      <c r="AS543" s="90"/>
      <c r="AT543" s="90"/>
      <c r="AU543" s="90"/>
      <c r="AV543" s="58"/>
      <c r="AW543" s="58"/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</row>
    <row r="544" spans="1:71" ht="15.75" customHeight="1" x14ac:dyDescent="0.2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1"/>
      <c r="AD544" s="91"/>
      <c r="AE544" s="91"/>
      <c r="AF544" s="91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58"/>
      <c r="AW544" s="58"/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</row>
    <row r="545" spans="1:71" ht="15.75" customHeight="1" x14ac:dyDescent="0.2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1"/>
      <c r="AD545" s="91"/>
      <c r="AE545" s="91"/>
      <c r="AF545" s="91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0"/>
      <c r="AR545" s="90"/>
      <c r="AS545" s="90"/>
      <c r="AT545" s="90"/>
      <c r="AU545" s="90"/>
      <c r="AV545" s="58"/>
      <c r="AW545" s="58"/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</row>
    <row r="546" spans="1:71" ht="15.75" customHeight="1" x14ac:dyDescent="0.2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1"/>
      <c r="AD546" s="91"/>
      <c r="AE546" s="91"/>
      <c r="AF546" s="91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58"/>
      <c r="AW546" s="58"/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</row>
    <row r="547" spans="1:71" ht="15.75" customHeight="1" x14ac:dyDescent="0.2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1"/>
      <c r="AD547" s="91"/>
      <c r="AE547" s="91"/>
      <c r="AF547" s="91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0"/>
      <c r="AR547" s="90"/>
      <c r="AS547" s="90"/>
      <c r="AT547" s="90"/>
      <c r="AU547" s="90"/>
      <c r="AV547" s="58"/>
      <c r="AW547" s="58"/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</row>
    <row r="548" spans="1:71" ht="15.75" customHeight="1" x14ac:dyDescent="0.2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1"/>
      <c r="AD548" s="91"/>
      <c r="AE548" s="91"/>
      <c r="AF548" s="91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58"/>
      <c r="AW548" s="58"/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</row>
    <row r="549" spans="1:71" ht="15.75" customHeight="1" x14ac:dyDescent="0.2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1"/>
      <c r="AD549" s="91"/>
      <c r="AE549" s="91"/>
      <c r="AF549" s="91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0"/>
      <c r="AR549" s="90"/>
      <c r="AS549" s="90"/>
      <c r="AT549" s="90"/>
      <c r="AU549" s="90"/>
      <c r="AV549" s="58"/>
      <c r="AW549" s="58"/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</row>
    <row r="550" spans="1:71" ht="15.75" customHeight="1" x14ac:dyDescent="0.2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1"/>
      <c r="AD550" s="91"/>
      <c r="AE550" s="91"/>
      <c r="AF550" s="91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58"/>
      <c r="AW550" s="58"/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</row>
    <row r="551" spans="1:71" ht="15.75" customHeight="1" x14ac:dyDescent="0.2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1"/>
      <c r="AD551" s="91"/>
      <c r="AE551" s="91"/>
      <c r="AF551" s="91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0"/>
      <c r="AR551" s="90"/>
      <c r="AS551" s="90"/>
      <c r="AT551" s="90"/>
      <c r="AU551" s="90"/>
      <c r="AV551" s="58"/>
      <c r="AW551" s="58"/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</row>
    <row r="552" spans="1:71" ht="15.75" customHeight="1" x14ac:dyDescent="0.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1"/>
      <c r="AD552" s="91"/>
      <c r="AE552" s="91"/>
      <c r="AF552" s="91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58"/>
      <c r="AW552" s="58"/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</row>
    <row r="553" spans="1:71" ht="15.75" customHeight="1" x14ac:dyDescent="0.2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1"/>
      <c r="AD553" s="91"/>
      <c r="AE553" s="91"/>
      <c r="AF553" s="91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0"/>
      <c r="AR553" s="90"/>
      <c r="AS553" s="90"/>
      <c r="AT553" s="90"/>
      <c r="AU553" s="90"/>
      <c r="AV553" s="58"/>
      <c r="AW553" s="58"/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</row>
    <row r="554" spans="1:71" ht="15.75" customHeight="1" x14ac:dyDescent="0.2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1"/>
      <c r="AD554" s="91"/>
      <c r="AE554" s="91"/>
      <c r="AF554" s="91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58"/>
      <c r="AW554" s="58"/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</row>
    <row r="555" spans="1:71" ht="15.75" customHeight="1" x14ac:dyDescent="0.2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1"/>
      <c r="AD555" s="91"/>
      <c r="AE555" s="91"/>
      <c r="AF555" s="91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0"/>
      <c r="AR555" s="90"/>
      <c r="AS555" s="90"/>
      <c r="AT555" s="90"/>
      <c r="AU555" s="90"/>
      <c r="AV555" s="58"/>
      <c r="AW555" s="58"/>
      <c r="AX555" s="58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</row>
    <row r="556" spans="1:71" ht="15.75" customHeight="1" x14ac:dyDescent="0.2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1"/>
      <c r="AD556" s="91"/>
      <c r="AE556" s="91"/>
      <c r="AF556" s="91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58"/>
      <c r="AW556" s="58"/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</row>
    <row r="557" spans="1:71" ht="15.75" customHeight="1" x14ac:dyDescent="0.2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1"/>
      <c r="AD557" s="91"/>
      <c r="AE557" s="91"/>
      <c r="AF557" s="91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0"/>
      <c r="AR557" s="90"/>
      <c r="AS557" s="90"/>
      <c r="AT557" s="90"/>
      <c r="AU557" s="90"/>
      <c r="AV557" s="58"/>
      <c r="AW557" s="58"/>
      <c r="AX557" s="58"/>
      <c r="AY557" s="58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</row>
    <row r="558" spans="1:71" ht="15.75" customHeight="1" x14ac:dyDescent="0.2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1"/>
      <c r="AD558" s="91"/>
      <c r="AE558" s="91"/>
      <c r="AF558" s="91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58"/>
      <c r="AW558" s="58"/>
      <c r="AX558" s="58"/>
      <c r="AY558" s="58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</row>
    <row r="559" spans="1:71" ht="15.75" customHeight="1" x14ac:dyDescent="0.2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1"/>
      <c r="AD559" s="91"/>
      <c r="AE559" s="91"/>
      <c r="AF559" s="91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0"/>
      <c r="AR559" s="90"/>
      <c r="AS559" s="90"/>
      <c r="AT559" s="90"/>
      <c r="AU559" s="90"/>
      <c r="AV559" s="58"/>
      <c r="AW559" s="58"/>
      <c r="AX559" s="58"/>
      <c r="AY559" s="58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</row>
    <row r="560" spans="1:71" ht="15.75" customHeight="1" x14ac:dyDescent="0.2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1"/>
      <c r="AD560" s="91"/>
      <c r="AE560" s="91"/>
      <c r="AF560" s="91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58"/>
      <c r="AW560" s="58"/>
      <c r="AX560" s="58"/>
      <c r="AY560" s="58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</row>
    <row r="561" spans="1:71" ht="15.75" customHeight="1" x14ac:dyDescent="0.2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1"/>
      <c r="AD561" s="91"/>
      <c r="AE561" s="91"/>
      <c r="AF561" s="91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0"/>
      <c r="AR561" s="90"/>
      <c r="AS561" s="90"/>
      <c r="AT561" s="90"/>
      <c r="AU561" s="90"/>
      <c r="AV561" s="58"/>
      <c r="AW561" s="58"/>
      <c r="AX561" s="58"/>
      <c r="AY561" s="58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</row>
    <row r="562" spans="1:71" ht="15.75" customHeight="1" x14ac:dyDescent="0.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1"/>
      <c r="AD562" s="91"/>
      <c r="AE562" s="91"/>
      <c r="AF562" s="91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58"/>
      <c r="AW562" s="58"/>
      <c r="AX562" s="58"/>
      <c r="AY562" s="58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</row>
    <row r="563" spans="1:71" ht="15.75" customHeight="1" x14ac:dyDescent="0.2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1"/>
      <c r="AD563" s="91"/>
      <c r="AE563" s="91"/>
      <c r="AF563" s="91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0"/>
      <c r="AR563" s="90"/>
      <c r="AS563" s="90"/>
      <c r="AT563" s="90"/>
      <c r="AU563" s="90"/>
      <c r="AV563" s="58"/>
      <c r="AW563" s="58"/>
      <c r="AX563" s="58"/>
      <c r="AY563" s="58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</row>
    <row r="564" spans="1:71" ht="15.75" customHeight="1" x14ac:dyDescent="0.2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1"/>
      <c r="AD564" s="91"/>
      <c r="AE564" s="91"/>
      <c r="AF564" s="91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58"/>
      <c r="AW564" s="58"/>
      <c r="AX564" s="58"/>
      <c r="AY564" s="58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</row>
    <row r="565" spans="1:71" ht="15.75" customHeight="1" x14ac:dyDescent="0.2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1"/>
      <c r="AD565" s="91"/>
      <c r="AE565" s="91"/>
      <c r="AF565" s="91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0"/>
      <c r="AR565" s="90"/>
      <c r="AS565" s="90"/>
      <c r="AT565" s="90"/>
      <c r="AU565" s="90"/>
      <c r="AV565" s="58"/>
      <c r="AW565" s="58"/>
      <c r="AX565" s="58"/>
      <c r="AY565" s="58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</row>
    <row r="566" spans="1:71" ht="15.75" customHeight="1" x14ac:dyDescent="0.2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1"/>
      <c r="AD566" s="91"/>
      <c r="AE566" s="91"/>
      <c r="AF566" s="91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58"/>
      <c r="AW566" s="58"/>
      <c r="AX566" s="58"/>
      <c r="AY566" s="58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</row>
    <row r="567" spans="1:71" ht="15.75" customHeight="1" x14ac:dyDescent="0.2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1"/>
      <c r="AD567" s="91"/>
      <c r="AE567" s="91"/>
      <c r="AF567" s="91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0"/>
      <c r="AR567" s="90"/>
      <c r="AS567" s="90"/>
      <c r="AT567" s="90"/>
      <c r="AU567" s="90"/>
      <c r="AV567" s="58"/>
      <c r="AW567" s="58"/>
      <c r="AX567" s="58"/>
      <c r="AY567" s="58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</row>
    <row r="568" spans="1:71" ht="15.75" customHeight="1" x14ac:dyDescent="0.2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1"/>
      <c r="AD568" s="91"/>
      <c r="AE568" s="91"/>
      <c r="AF568" s="91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58"/>
      <c r="AW568" s="58"/>
      <c r="AX568" s="58"/>
      <c r="AY568" s="58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</row>
    <row r="569" spans="1:71" ht="15.75" customHeight="1" x14ac:dyDescent="0.2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1"/>
      <c r="AD569" s="91"/>
      <c r="AE569" s="91"/>
      <c r="AF569" s="91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0"/>
      <c r="AR569" s="90"/>
      <c r="AS569" s="90"/>
      <c r="AT569" s="90"/>
      <c r="AU569" s="90"/>
      <c r="AV569" s="58"/>
      <c r="AW569" s="58"/>
      <c r="AX569" s="58"/>
      <c r="AY569" s="58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</row>
    <row r="570" spans="1:71" ht="15.75" customHeight="1" x14ac:dyDescent="0.2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1"/>
      <c r="AD570" s="91"/>
      <c r="AE570" s="91"/>
      <c r="AF570" s="91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58"/>
      <c r="AW570" s="58"/>
      <c r="AX570" s="58"/>
      <c r="AY570" s="58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</row>
    <row r="571" spans="1:71" ht="15.75" customHeight="1" x14ac:dyDescent="0.2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1"/>
      <c r="AD571" s="91"/>
      <c r="AE571" s="91"/>
      <c r="AF571" s="91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0"/>
      <c r="AR571" s="90"/>
      <c r="AS571" s="90"/>
      <c r="AT571" s="90"/>
      <c r="AU571" s="90"/>
      <c r="AV571" s="58"/>
      <c r="AW571" s="58"/>
      <c r="AX571" s="58"/>
      <c r="AY571" s="58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</row>
    <row r="572" spans="1:71" ht="15.75" customHeight="1" x14ac:dyDescent="0.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1"/>
      <c r="AD572" s="91"/>
      <c r="AE572" s="91"/>
      <c r="AF572" s="91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58"/>
      <c r="AW572" s="58"/>
      <c r="AX572" s="58"/>
      <c r="AY572" s="58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</row>
    <row r="573" spans="1:71" ht="15.75" customHeight="1" x14ac:dyDescent="0.2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1"/>
      <c r="AD573" s="91"/>
      <c r="AE573" s="91"/>
      <c r="AF573" s="91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0"/>
      <c r="AR573" s="90"/>
      <c r="AS573" s="90"/>
      <c r="AT573" s="90"/>
      <c r="AU573" s="90"/>
      <c r="AV573" s="58"/>
      <c r="AW573" s="58"/>
      <c r="AX573" s="58"/>
      <c r="AY573" s="58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</row>
    <row r="574" spans="1:71" ht="15.75" customHeight="1" x14ac:dyDescent="0.2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1"/>
      <c r="AD574" s="91"/>
      <c r="AE574" s="91"/>
      <c r="AF574" s="91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58"/>
      <c r="AW574" s="58"/>
      <c r="AX574" s="58"/>
      <c r="AY574" s="58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</row>
    <row r="575" spans="1:71" ht="15.75" customHeight="1" x14ac:dyDescent="0.2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1"/>
      <c r="AD575" s="91"/>
      <c r="AE575" s="91"/>
      <c r="AF575" s="91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0"/>
      <c r="AR575" s="90"/>
      <c r="AS575" s="90"/>
      <c r="AT575" s="90"/>
      <c r="AU575" s="90"/>
      <c r="AV575" s="58"/>
      <c r="AW575" s="58"/>
      <c r="AX575" s="58"/>
      <c r="AY575" s="58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</row>
    <row r="576" spans="1:71" ht="15.75" customHeight="1" x14ac:dyDescent="0.2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1"/>
      <c r="AD576" s="91"/>
      <c r="AE576" s="91"/>
      <c r="AF576" s="91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58"/>
      <c r="AW576" s="58"/>
      <c r="AX576" s="58"/>
      <c r="AY576" s="58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</row>
    <row r="577" spans="1:71" ht="15.75" customHeight="1" x14ac:dyDescent="0.2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1"/>
      <c r="AD577" s="91"/>
      <c r="AE577" s="91"/>
      <c r="AF577" s="91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0"/>
      <c r="AR577" s="90"/>
      <c r="AS577" s="90"/>
      <c r="AT577" s="90"/>
      <c r="AU577" s="90"/>
      <c r="AV577" s="58"/>
      <c r="AW577" s="58"/>
      <c r="AX577" s="58"/>
      <c r="AY577" s="58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</row>
    <row r="578" spans="1:71" ht="15.75" customHeight="1" x14ac:dyDescent="0.2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1"/>
      <c r="AD578" s="91"/>
      <c r="AE578" s="91"/>
      <c r="AF578" s="91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58"/>
      <c r="AW578" s="58"/>
      <c r="AX578" s="58"/>
      <c r="AY578" s="58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</row>
    <row r="579" spans="1:71" ht="15.75" customHeight="1" x14ac:dyDescent="0.2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1"/>
      <c r="AD579" s="91"/>
      <c r="AE579" s="91"/>
      <c r="AF579" s="91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0"/>
      <c r="AR579" s="90"/>
      <c r="AS579" s="90"/>
      <c r="AT579" s="90"/>
      <c r="AU579" s="90"/>
      <c r="AV579" s="58"/>
      <c r="AW579" s="58"/>
      <c r="AX579" s="58"/>
      <c r="AY579" s="58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</row>
    <row r="580" spans="1:71" ht="15.75" customHeight="1" x14ac:dyDescent="0.2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1"/>
      <c r="AD580" s="91"/>
      <c r="AE580" s="91"/>
      <c r="AF580" s="91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58"/>
      <c r="AW580" s="58"/>
      <c r="AX580" s="58"/>
      <c r="AY580" s="58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</row>
    <row r="581" spans="1:71" ht="15.75" customHeight="1" x14ac:dyDescent="0.2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1"/>
      <c r="AD581" s="91"/>
      <c r="AE581" s="91"/>
      <c r="AF581" s="91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0"/>
      <c r="AR581" s="90"/>
      <c r="AS581" s="90"/>
      <c r="AT581" s="90"/>
      <c r="AU581" s="90"/>
      <c r="AV581" s="58"/>
      <c r="AW581" s="58"/>
      <c r="AX581" s="58"/>
      <c r="AY581" s="58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</row>
    <row r="582" spans="1:71" ht="15.75" customHeight="1" x14ac:dyDescent="0.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1"/>
      <c r="AD582" s="91"/>
      <c r="AE582" s="91"/>
      <c r="AF582" s="91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58"/>
      <c r="AW582" s="58"/>
      <c r="AX582" s="58"/>
      <c r="AY582" s="58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</row>
    <row r="583" spans="1:71" ht="15.75" customHeight="1" x14ac:dyDescent="0.2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1"/>
      <c r="AD583" s="91"/>
      <c r="AE583" s="91"/>
      <c r="AF583" s="91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0"/>
      <c r="AR583" s="90"/>
      <c r="AS583" s="90"/>
      <c r="AT583" s="90"/>
      <c r="AU583" s="90"/>
      <c r="AV583" s="58"/>
      <c r="AW583" s="58"/>
      <c r="AX583" s="58"/>
      <c r="AY583" s="58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</row>
    <row r="584" spans="1:71" ht="15.75" customHeight="1" x14ac:dyDescent="0.2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1"/>
      <c r="AD584" s="91"/>
      <c r="AE584" s="91"/>
      <c r="AF584" s="91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58"/>
      <c r="AW584" s="58"/>
      <c r="AX584" s="58"/>
      <c r="AY584" s="58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</row>
    <row r="585" spans="1:71" ht="15.75" customHeight="1" x14ac:dyDescent="0.2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1"/>
      <c r="AD585" s="91"/>
      <c r="AE585" s="91"/>
      <c r="AF585" s="91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0"/>
      <c r="AR585" s="90"/>
      <c r="AS585" s="90"/>
      <c r="AT585" s="90"/>
      <c r="AU585" s="90"/>
      <c r="AV585" s="58"/>
      <c r="AW585" s="58"/>
      <c r="AX585" s="58"/>
      <c r="AY585" s="58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</row>
    <row r="586" spans="1:71" ht="15.75" customHeight="1" x14ac:dyDescent="0.2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1"/>
      <c r="AD586" s="91"/>
      <c r="AE586" s="91"/>
      <c r="AF586" s="91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58"/>
      <c r="AW586" s="58"/>
      <c r="AX586" s="58"/>
      <c r="AY586" s="58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</row>
    <row r="587" spans="1:71" ht="15.75" customHeight="1" x14ac:dyDescent="0.2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1"/>
      <c r="AD587" s="91"/>
      <c r="AE587" s="91"/>
      <c r="AF587" s="91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0"/>
      <c r="AR587" s="90"/>
      <c r="AS587" s="90"/>
      <c r="AT587" s="90"/>
      <c r="AU587" s="90"/>
      <c r="AV587" s="58"/>
      <c r="AW587" s="58"/>
      <c r="AX587" s="58"/>
      <c r="AY587" s="58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</row>
    <row r="588" spans="1:71" ht="15.75" customHeight="1" x14ac:dyDescent="0.2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1"/>
      <c r="AD588" s="91"/>
      <c r="AE588" s="91"/>
      <c r="AF588" s="91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58"/>
      <c r="AW588" s="58"/>
      <c r="AX588" s="58"/>
      <c r="AY588" s="58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</row>
    <row r="589" spans="1:71" ht="15.75" customHeight="1" x14ac:dyDescent="0.2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1"/>
      <c r="AD589" s="91"/>
      <c r="AE589" s="91"/>
      <c r="AF589" s="91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0"/>
      <c r="AR589" s="90"/>
      <c r="AS589" s="90"/>
      <c r="AT589" s="90"/>
      <c r="AU589" s="90"/>
      <c r="AV589" s="58"/>
      <c r="AW589" s="58"/>
      <c r="AX589" s="58"/>
      <c r="AY589" s="58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</row>
    <row r="590" spans="1:71" ht="15.75" customHeight="1" x14ac:dyDescent="0.2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1"/>
      <c r="AD590" s="91"/>
      <c r="AE590" s="91"/>
      <c r="AF590" s="91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58"/>
      <c r="AW590" s="58"/>
      <c r="AX590" s="58"/>
      <c r="AY590" s="58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</row>
    <row r="591" spans="1:71" ht="15.75" customHeight="1" x14ac:dyDescent="0.2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1"/>
      <c r="AD591" s="91"/>
      <c r="AE591" s="91"/>
      <c r="AF591" s="91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0"/>
      <c r="AR591" s="90"/>
      <c r="AS591" s="90"/>
      <c r="AT591" s="90"/>
      <c r="AU591" s="90"/>
      <c r="AV591" s="58"/>
      <c r="AW591" s="58"/>
      <c r="AX591" s="58"/>
      <c r="AY591" s="58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</row>
    <row r="592" spans="1:71" ht="15.75" customHeight="1" x14ac:dyDescent="0.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1"/>
      <c r="AD592" s="91"/>
      <c r="AE592" s="91"/>
      <c r="AF592" s="91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58"/>
      <c r="AW592" s="58"/>
      <c r="AX592" s="58"/>
      <c r="AY592" s="58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</row>
    <row r="593" spans="1:71" ht="15.75" customHeight="1" x14ac:dyDescent="0.2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1"/>
      <c r="AD593" s="91"/>
      <c r="AE593" s="91"/>
      <c r="AF593" s="91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0"/>
      <c r="AR593" s="90"/>
      <c r="AS593" s="90"/>
      <c r="AT593" s="90"/>
      <c r="AU593" s="90"/>
      <c r="AV593" s="58"/>
      <c r="AW593" s="58"/>
      <c r="AX593" s="58"/>
      <c r="AY593" s="58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</row>
    <row r="594" spans="1:71" ht="15.75" customHeight="1" x14ac:dyDescent="0.2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1"/>
      <c r="AD594" s="91"/>
      <c r="AE594" s="91"/>
      <c r="AF594" s="91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58"/>
      <c r="AW594" s="58"/>
      <c r="AX594" s="58"/>
      <c r="AY594" s="58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</row>
    <row r="595" spans="1:71" ht="15.75" customHeight="1" x14ac:dyDescent="0.2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1"/>
      <c r="AD595" s="91"/>
      <c r="AE595" s="91"/>
      <c r="AF595" s="91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0"/>
      <c r="AR595" s="90"/>
      <c r="AS595" s="90"/>
      <c r="AT595" s="90"/>
      <c r="AU595" s="90"/>
      <c r="AV595" s="58"/>
      <c r="AW595" s="58"/>
      <c r="AX595" s="58"/>
      <c r="AY595" s="58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</row>
    <row r="596" spans="1:71" ht="15.75" customHeight="1" x14ac:dyDescent="0.2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1"/>
      <c r="AD596" s="91"/>
      <c r="AE596" s="91"/>
      <c r="AF596" s="91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58"/>
      <c r="AW596" s="58"/>
      <c r="AX596" s="58"/>
      <c r="AY596" s="58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</row>
    <row r="597" spans="1:71" ht="15.75" customHeight="1" x14ac:dyDescent="0.2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1"/>
      <c r="AD597" s="91"/>
      <c r="AE597" s="91"/>
      <c r="AF597" s="91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0"/>
      <c r="AR597" s="90"/>
      <c r="AS597" s="90"/>
      <c r="AT597" s="90"/>
      <c r="AU597" s="90"/>
      <c r="AV597" s="58"/>
      <c r="AW597" s="58"/>
      <c r="AX597" s="58"/>
      <c r="AY597" s="58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</row>
    <row r="598" spans="1:71" ht="15.75" customHeight="1" x14ac:dyDescent="0.2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1"/>
      <c r="AD598" s="91"/>
      <c r="AE598" s="91"/>
      <c r="AF598" s="91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58"/>
      <c r="AW598" s="58"/>
      <c r="AX598" s="58"/>
      <c r="AY598" s="58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</row>
    <row r="599" spans="1:71" ht="15.75" customHeight="1" x14ac:dyDescent="0.2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1"/>
      <c r="AD599" s="91"/>
      <c r="AE599" s="91"/>
      <c r="AF599" s="91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0"/>
      <c r="AR599" s="90"/>
      <c r="AS599" s="90"/>
      <c r="AT599" s="90"/>
      <c r="AU599" s="90"/>
      <c r="AV599" s="58"/>
      <c r="AW599" s="58"/>
      <c r="AX599" s="58"/>
      <c r="AY599" s="58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</row>
    <row r="600" spans="1:71" ht="15.75" customHeight="1" x14ac:dyDescent="0.2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1"/>
      <c r="AD600" s="91"/>
      <c r="AE600" s="91"/>
      <c r="AF600" s="91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58"/>
      <c r="AW600" s="58"/>
      <c r="AX600" s="58"/>
      <c r="AY600" s="58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</row>
    <row r="601" spans="1:71" ht="15.75" customHeight="1" x14ac:dyDescent="0.2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1"/>
      <c r="AD601" s="91"/>
      <c r="AE601" s="91"/>
      <c r="AF601" s="91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0"/>
      <c r="AR601" s="90"/>
      <c r="AS601" s="90"/>
      <c r="AT601" s="90"/>
      <c r="AU601" s="90"/>
      <c r="AV601" s="58"/>
      <c r="AW601" s="58"/>
      <c r="AX601" s="58"/>
      <c r="AY601" s="58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</row>
    <row r="602" spans="1:71" ht="15.75" customHeight="1" x14ac:dyDescent="0.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1"/>
      <c r="AD602" s="91"/>
      <c r="AE602" s="91"/>
      <c r="AF602" s="91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58"/>
      <c r="AW602" s="58"/>
      <c r="AX602" s="58"/>
      <c r="AY602" s="58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</row>
    <row r="603" spans="1:71" ht="15.75" customHeight="1" x14ac:dyDescent="0.2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1"/>
      <c r="AD603" s="91"/>
      <c r="AE603" s="91"/>
      <c r="AF603" s="91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0"/>
      <c r="AR603" s="90"/>
      <c r="AS603" s="90"/>
      <c r="AT603" s="90"/>
      <c r="AU603" s="90"/>
      <c r="AV603" s="58"/>
      <c r="AW603" s="58"/>
      <c r="AX603" s="58"/>
      <c r="AY603" s="58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</row>
    <row r="604" spans="1:71" ht="15.75" customHeight="1" x14ac:dyDescent="0.2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1"/>
      <c r="AD604" s="91"/>
      <c r="AE604" s="91"/>
      <c r="AF604" s="91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58"/>
      <c r="AW604" s="58"/>
      <c r="AX604" s="58"/>
      <c r="AY604" s="58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</row>
    <row r="605" spans="1:71" ht="15.75" customHeight="1" x14ac:dyDescent="0.2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1"/>
      <c r="AD605" s="91"/>
      <c r="AE605" s="91"/>
      <c r="AF605" s="91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0"/>
      <c r="AR605" s="90"/>
      <c r="AS605" s="90"/>
      <c r="AT605" s="90"/>
      <c r="AU605" s="90"/>
      <c r="AV605" s="58"/>
      <c r="AW605" s="58"/>
      <c r="AX605" s="58"/>
      <c r="AY605" s="58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</row>
    <row r="606" spans="1:71" ht="15.75" customHeight="1" x14ac:dyDescent="0.2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1"/>
      <c r="AD606" s="91"/>
      <c r="AE606" s="91"/>
      <c r="AF606" s="91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58"/>
      <c r="AW606" s="58"/>
      <c r="AX606" s="58"/>
      <c r="AY606" s="58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</row>
    <row r="607" spans="1:71" ht="15.75" customHeight="1" x14ac:dyDescent="0.2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1"/>
      <c r="AD607" s="91"/>
      <c r="AE607" s="91"/>
      <c r="AF607" s="91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0"/>
      <c r="AR607" s="90"/>
      <c r="AS607" s="90"/>
      <c r="AT607" s="90"/>
      <c r="AU607" s="90"/>
      <c r="AV607" s="58"/>
      <c r="AW607" s="58"/>
      <c r="AX607" s="58"/>
      <c r="AY607" s="58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</row>
    <row r="608" spans="1:71" ht="15.75" customHeight="1" x14ac:dyDescent="0.2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1"/>
      <c r="AD608" s="91"/>
      <c r="AE608" s="91"/>
      <c r="AF608" s="91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58"/>
      <c r="AW608" s="58"/>
      <c r="AX608" s="58"/>
      <c r="AY608" s="58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</row>
    <row r="609" spans="1:71" ht="15.75" customHeight="1" x14ac:dyDescent="0.2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1"/>
      <c r="AD609" s="91"/>
      <c r="AE609" s="91"/>
      <c r="AF609" s="91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0"/>
      <c r="AR609" s="90"/>
      <c r="AS609" s="90"/>
      <c r="AT609" s="90"/>
      <c r="AU609" s="90"/>
      <c r="AV609" s="58"/>
      <c r="AW609" s="58"/>
      <c r="AX609" s="58"/>
      <c r="AY609" s="58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</row>
    <row r="610" spans="1:71" ht="15.75" customHeight="1" x14ac:dyDescent="0.2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1"/>
      <c r="AD610" s="91"/>
      <c r="AE610" s="91"/>
      <c r="AF610" s="91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58"/>
      <c r="AW610" s="58"/>
      <c r="AX610" s="58"/>
      <c r="AY610" s="58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</row>
    <row r="611" spans="1:71" ht="15.75" customHeight="1" x14ac:dyDescent="0.2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1"/>
      <c r="AD611" s="91"/>
      <c r="AE611" s="91"/>
      <c r="AF611" s="91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0"/>
      <c r="AR611" s="90"/>
      <c r="AS611" s="90"/>
      <c r="AT611" s="90"/>
      <c r="AU611" s="90"/>
      <c r="AV611" s="58"/>
      <c r="AW611" s="58"/>
      <c r="AX611" s="58"/>
      <c r="AY611" s="58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</row>
    <row r="612" spans="1:71" ht="15.75" customHeight="1" x14ac:dyDescent="0.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1"/>
      <c r="AD612" s="91"/>
      <c r="AE612" s="91"/>
      <c r="AF612" s="91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58"/>
      <c r="AW612" s="58"/>
      <c r="AX612" s="58"/>
      <c r="AY612" s="58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</row>
    <row r="613" spans="1:71" ht="15.75" customHeight="1" x14ac:dyDescent="0.2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1"/>
      <c r="AD613" s="91"/>
      <c r="AE613" s="91"/>
      <c r="AF613" s="91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0"/>
      <c r="AR613" s="90"/>
      <c r="AS613" s="90"/>
      <c r="AT613" s="90"/>
      <c r="AU613" s="90"/>
      <c r="AV613" s="58"/>
      <c r="AW613" s="58"/>
      <c r="AX613" s="58"/>
      <c r="AY613" s="58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</row>
    <row r="614" spans="1:71" ht="15.75" customHeight="1" x14ac:dyDescent="0.2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1"/>
      <c r="AD614" s="91"/>
      <c r="AE614" s="91"/>
      <c r="AF614" s="91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58"/>
      <c r="AW614" s="58"/>
      <c r="AX614" s="58"/>
      <c r="AY614" s="58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</row>
    <row r="615" spans="1:71" ht="15.75" customHeight="1" x14ac:dyDescent="0.2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1"/>
      <c r="AD615" s="91"/>
      <c r="AE615" s="91"/>
      <c r="AF615" s="91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0"/>
      <c r="AR615" s="90"/>
      <c r="AS615" s="90"/>
      <c r="AT615" s="90"/>
      <c r="AU615" s="90"/>
      <c r="AV615" s="58"/>
      <c r="AW615" s="58"/>
      <c r="AX615" s="58"/>
      <c r="AY615" s="58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</row>
    <row r="616" spans="1:71" ht="15.75" customHeight="1" x14ac:dyDescent="0.2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1"/>
      <c r="AD616" s="91"/>
      <c r="AE616" s="91"/>
      <c r="AF616" s="91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58"/>
      <c r="AW616" s="58"/>
      <c r="AX616" s="58"/>
      <c r="AY616" s="58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</row>
    <row r="617" spans="1:71" ht="15.75" customHeight="1" x14ac:dyDescent="0.2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1"/>
      <c r="AD617" s="91"/>
      <c r="AE617" s="91"/>
      <c r="AF617" s="91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0"/>
      <c r="AR617" s="90"/>
      <c r="AS617" s="90"/>
      <c r="AT617" s="90"/>
      <c r="AU617" s="90"/>
      <c r="AV617" s="58"/>
      <c r="AW617" s="58"/>
      <c r="AX617" s="58"/>
      <c r="AY617" s="58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</row>
    <row r="618" spans="1:71" ht="15.75" customHeight="1" x14ac:dyDescent="0.2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1"/>
      <c r="AD618" s="91"/>
      <c r="AE618" s="91"/>
      <c r="AF618" s="91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58"/>
      <c r="AW618" s="58"/>
      <c r="AX618" s="58"/>
      <c r="AY618" s="58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</row>
    <row r="619" spans="1:71" ht="15.75" customHeight="1" x14ac:dyDescent="0.2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1"/>
      <c r="AD619" s="91"/>
      <c r="AE619" s="91"/>
      <c r="AF619" s="91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0"/>
      <c r="AR619" s="90"/>
      <c r="AS619" s="90"/>
      <c r="AT619" s="90"/>
      <c r="AU619" s="90"/>
      <c r="AV619" s="58"/>
      <c r="AW619" s="58"/>
      <c r="AX619" s="58"/>
      <c r="AY619" s="58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</row>
    <row r="620" spans="1:71" ht="15.75" customHeight="1" x14ac:dyDescent="0.2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1"/>
      <c r="AD620" s="91"/>
      <c r="AE620" s="91"/>
      <c r="AF620" s="91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58"/>
      <c r="AW620" s="58"/>
      <c r="AX620" s="58"/>
      <c r="AY620" s="58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</row>
    <row r="621" spans="1:71" ht="15.75" customHeight="1" x14ac:dyDescent="0.2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1"/>
      <c r="AD621" s="91"/>
      <c r="AE621" s="91"/>
      <c r="AF621" s="91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0"/>
      <c r="AR621" s="90"/>
      <c r="AS621" s="90"/>
      <c r="AT621" s="90"/>
      <c r="AU621" s="90"/>
      <c r="AV621" s="58"/>
      <c r="AW621" s="58"/>
      <c r="AX621" s="58"/>
      <c r="AY621" s="58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</row>
    <row r="622" spans="1:71" ht="15.75" customHeight="1" x14ac:dyDescent="0.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1"/>
      <c r="AD622" s="91"/>
      <c r="AE622" s="91"/>
      <c r="AF622" s="91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58"/>
      <c r="AW622" s="58"/>
      <c r="AX622" s="58"/>
      <c r="AY622" s="58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</row>
    <row r="623" spans="1:71" ht="15.75" customHeight="1" x14ac:dyDescent="0.2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1"/>
      <c r="AD623" s="91"/>
      <c r="AE623" s="91"/>
      <c r="AF623" s="91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0"/>
      <c r="AR623" s="90"/>
      <c r="AS623" s="90"/>
      <c r="AT623" s="90"/>
      <c r="AU623" s="90"/>
      <c r="AV623" s="58"/>
      <c r="AW623" s="58"/>
      <c r="AX623" s="58"/>
      <c r="AY623" s="58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</row>
    <row r="624" spans="1:71" ht="15.75" customHeight="1" x14ac:dyDescent="0.2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1"/>
      <c r="AD624" s="91"/>
      <c r="AE624" s="91"/>
      <c r="AF624" s="91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58"/>
      <c r="AW624" s="58"/>
      <c r="AX624" s="58"/>
      <c r="AY624" s="58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</row>
    <row r="625" spans="1:71" ht="15.75" customHeight="1" x14ac:dyDescent="0.2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1"/>
      <c r="AD625" s="91"/>
      <c r="AE625" s="91"/>
      <c r="AF625" s="91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0"/>
      <c r="AR625" s="90"/>
      <c r="AS625" s="90"/>
      <c r="AT625" s="90"/>
      <c r="AU625" s="90"/>
      <c r="AV625" s="58"/>
      <c r="AW625" s="58"/>
      <c r="AX625" s="58"/>
      <c r="AY625" s="58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</row>
    <row r="626" spans="1:71" ht="15.75" customHeight="1" x14ac:dyDescent="0.2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1"/>
      <c r="AD626" s="91"/>
      <c r="AE626" s="91"/>
      <c r="AF626" s="91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58"/>
      <c r="AW626" s="58"/>
      <c r="AX626" s="58"/>
      <c r="AY626" s="58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</row>
    <row r="627" spans="1:71" ht="15.75" customHeight="1" x14ac:dyDescent="0.2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1"/>
      <c r="AD627" s="91"/>
      <c r="AE627" s="91"/>
      <c r="AF627" s="91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0"/>
      <c r="AR627" s="90"/>
      <c r="AS627" s="90"/>
      <c r="AT627" s="90"/>
      <c r="AU627" s="90"/>
      <c r="AV627" s="58"/>
      <c r="AW627" s="58"/>
      <c r="AX627" s="58"/>
      <c r="AY627" s="58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</row>
    <row r="628" spans="1:71" ht="15.75" customHeight="1" x14ac:dyDescent="0.2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1"/>
      <c r="AD628" s="91"/>
      <c r="AE628" s="91"/>
      <c r="AF628" s="91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58"/>
      <c r="AW628" s="58"/>
      <c r="AX628" s="58"/>
      <c r="AY628" s="58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</row>
    <row r="629" spans="1:71" ht="15.75" customHeight="1" x14ac:dyDescent="0.2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1"/>
      <c r="AD629" s="91"/>
      <c r="AE629" s="91"/>
      <c r="AF629" s="91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0"/>
      <c r="AR629" s="90"/>
      <c r="AS629" s="90"/>
      <c r="AT629" s="90"/>
      <c r="AU629" s="90"/>
      <c r="AV629" s="58"/>
      <c r="AW629" s="58"/>
      <c r="AX629" s="58"/>
      <c r="AY629" s="58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</row>
    <row r="630" spans="1:71" ht="15.75" customHeight="1" x14ac:dyDescent="0.2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1"/>
      <c r="AD630" s="91"/>
      <c r="AE630" s="91"/>
      <c r="AF630" s="91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58"/>
      <c r="AW630" s="58"/>
      <c r="AX630" s="58"/>
      <c r="AY630" s="58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</row>
    <row r="631" spans="1:71" ht="15.75" customHeight="1" x14ac:dyDescent="0.2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1"/>
      <c r="AD631" s="91"/>
      <c r="AE631" s="91"/>
      <c r="AF631" s="91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0"/>
      <c r="AR631" s="90"/>
      <c r="AS631" s="90"/>
      <c r="AT631" s="90"/>
      <c r="AU631" s="90"/>
      <c r="AV631" s="58"/>
      <c r="AW631" s="58"/>
      <c r="AX631" s="58"/>
      <c r="AY631" s="58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</row>
    <row r="632" spans="1:71" ht="15.75" customHeight="1" x14ac:dyDescent="0.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1"/>
      <c r="AD632" s="91"/>
      <c r="AE632" s="91"/>
      <c r="AF632" s="91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58"/>
      <c r="AW632" s="58"/>
      <c r="AX632" s="58"/>
      <c r="AY632" s="58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</row>
    <row r="633" spans="1:71" ht="15.75" customHeight="1" x14ac:dyDescent="0.2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1"/>
      <c r="AD633" s="91"/>
      <c r="AE633" s="91"/>
      <c r="AF633" s="91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0"/>
      <c r="AR633" s="90"/>
      <c r="AS633" s="90"/>
      <c r="AT633" s="90"/>
      <c r="AU633" s="90"/>
      <c r="AV633" s="58"/>
      <c r="AW633" s="58"/>
      <c r="AX633" s="58"/>
      <c r="AY633" s="58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</row>
    <row r="634" spans="1:71" ht="15.75" customHeight="1" x14ac:dyDescent="0.2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1"/>
      <c r="AD634" s="91"/>
      <c r="AE634" s="91"/>
      <c r="AF634" s="91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58"/>
      <c r="AW634" s="58"/>
      <c r="AX634" s="58"/>
      <c r="AY634" s="58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</row>
    <row r="635" spans="1:71" ht="15.75" customHeight="1" x14ac:dyDescent="0.2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1"/>
      <c r="AD635" s="91"/>
      <c r="AE635" s="91"/>
      <c r="AF635" s="91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0"/>
      <c r="AR635" s="90"/>
      <c r="AS635" s="90"/>
      <c r="AT635" s="90"/>
      <c r="AU635" s="90"/>
      <c r="AV635" s="58"/>
      <c r="AW635" s="58"/>
      <c r="AX635" s="58"/>
      <c r="AY635" s="58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</row>
    <row r="636" spans="1:71" ht="15.75" customHeight="1" x14ac:dyDescent="0.2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1"/>
      <c r="AD636" s="91"/>
      <c r="AE636" s="91"/>
      <c r="AF636" s="91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58"/>
      <c r="AW636" s="58"/>
      <c r="AX636" s="58"/>
      <c r="AY636" s="58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</row>
    <row r="637" spans="1:71" ht="15.75" customHeight="1" x14ac:dyDescent="0.2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1"/>
      <c r="AD637" s="91"/>
      <c r="AE637" s="91"/>
      <c r="AF637" s="91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0"/>
      <c r="AR637" s="90"/>
      <c r="AS637" s="90"/>
      <c r="AT637" s="90"/>
      <c r="AU637" s="90"/>
      <c r="AV637" s="58"/>
      <c r="AW637" s="58"/>
      <c r="AX637" s="58"/>
      <c r="AY637" s="58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</row>
    <row r="638" spans="1:71" ht="15.75" customHeight="1" x14ac:dyDescent="0.2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1"/>
      <c r="AD638" s="91"/>
      <c r="AE638" s="91"/>
      <c r="AF638" s="91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58"/>
      <c r="AW638" s="58"/>
      <c r="AX638" s="58"/>
      <c r="AY638" s="58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</row>
    <row r="639" spans="1:71" ht="15.75" customHeight="1" x14ac:dyDescent="0.2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1"/>
      <c r="AD639" s="91"/>
      <c r="AE639" s="91"/>
      <c r="AF639" s="91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0"/>
      <c r="AR639" s="90"/>
      <c r="AS639" s="90"/>
      <c r="AT639" s="90"/>
      <c r="AU639" s="90"/>
      <c r="AV639" s="58"/>
      <c r="AW639" s="58"/>
      <c r="AX639" s="58"/>
      <c r="AY639" s="58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</row>
    <row r="640" spans="1:71" ht="15.75" customHeight="1" x14ac:dyDescent="0.2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1"/>
      <c r="AD640" s="91"/>
      <c r="AE640" s="91"/>
      <c r="AF640" s="91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58"/>
      <c r="AW640" s="58"/>
      <c r="AX640" s="58"/>
      <c r="AY640" s="58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</row>
    <row r="641" spans="1:71" ht="15.75" customHeight="1" x14ac:dyDescent="0.2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1"/>
      <c r="AD641" s="91"/>
      <c r="AE641" s="91"/>
      <c r="AF641" s="91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0"/>
      <c r="AR641" s="90"/>
      <c r="AS641" s="90"/>
      <c r="AT641" s="90"/>
      <c r="AU641" s="90"/>
      <c r="AV641" s="58"/>
      <c r="AW641" s="58"/>
      <c r="AX641" s="58"/>
      <c r="AY641" s="58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</row>
    <row r="642" spans="1:71" ht="15.75" customHeight="1" x14ac:dyDescent="0.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1"/>
      <c r="AD642" s="91"/>
      <c r="AE642" s="91"/>
      <c r="AF642" s="91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58"/>
      <c r="AW642" s="58"/>
      <c r="AX642" s="58"/>
      <c r="AY642" s="58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</row>
    <row r="643" spans="1:71" ht="15.75" customHeight="1" x14ac:dyDescent="0.2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1"/>
      <c r="AD643" s="91"/>
      <c r="AE643" s="91"/>
      <c r="AF643" s="91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0"/>
      <c r="AR643" s="90"/>
      <c r="AS643" s="90"/>
      <c r="AT643" s="90"/>
      <c r="AU643" s="90"/>
      <c r="AV643" s="58"/>
      <c r="AW643" s="58"/>
      <c r="AX643" s="58"/>
      <c r="AY643" s="58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</row>
    <row r="644" spans="1:71" ht="15.75" customHeight="1" x14ac:dyDescent="0.2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1"/>
      <c r="AD644" s="91"/>
      <c r="AE644" s="91"/>
      <c r="AF644" s="91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58"/>
      <c r="AW644" s="58"/>
      <c r="AX644" s="58"/>
      <c r="AY644" s="58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</row>
    <row r="645" spans="1:71" ht="15.75" customHeight="1" x14ac:dyDescent="0.2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1"/>
      <c r="AD645" s="91"/>
      <c r="AE645" s="91"/>
      <c r="AF645" s="91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0"/>
      <c r="AR645" s="90"/>
      <c r="AS645" s="90"/>
      <c r="AT645" s="90"/>
      <c r="AU645" s="90"/>
      <c r="AV645" s="58"/>
      <c r="AW645" s="58"/>
      <c r="AX645" s="58"/>
      <c r="AY645" s="58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</row>
    <row r="646" spans="1:71" ht="15.75" customHeight="1" x14ac:dyDescent="0.2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1"/>
      <c r="AD646" s="91"/>
      <c r="AE646" s="91"/>
      <c r="AF646" s="91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58"/>
      <c r="AW646" s="58"/>
      <c r="AX646" s="58"/>
      <c r="AY646" s="58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</row>
    <row r="647" spans="1:71" ht="15.75" customHeight="1" x14ac:dyDescent="0.2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1"/>
      <c r="AD647" s="91"/>
      <c r="AE647" s="91"/>
      <c r="AF647" s="91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0"/>
      <c r="AR647" s="90"/>
      <c r="AS647" s="90"/>
      <c r="AT647" s="90"/>
      <c r="AU647" s="90"/>
      <c r="AV647" s="58"/>
      <c r="AW647" s="58"/>
      <c r="AX647" s="58"/>
      <c r="AY647" s="58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</row>
    <row r="648" spans="1:71" ht="15.75" customHeight="1" x14ac:dyDescent="0.2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1"/>
      <c r="AD648" s="91"/>
      <c r="AE648" s="91"/>
      <c r="AF648" s="91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58"/>
      <c r="AW648" s="58"/>
      <c r="AX648" s="58"/>
      <c r="AY648" s="58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</row>
    <row r="649" spans="1:71" ht="15.75" customHeight="1" x14ac:dyDescent="0.2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1"/>
      <c r="AD649" s="91"/>
      <c r="AE649" s="91"/>
      <c r="AF649" s="91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0"/>
      <c r="AR649" s="90"/>
      <c r="AS649" s="90"/>
      <c r="AT649" s="90"/>
      <c r="AU649" s="90"/>
      <c r="AV649" s="58"/>
      <c r="AW649" s="58"/>
      <c r="AX649" s="58"/>
      <c r="AY649" s="58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</row>
    <row r="650" spans="1:71" ht="15.75" customHeight="1" x14ac:dyDescent="0.2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1"/>
      <c r="AD650" s="91"/>
      <c r="AE650" s="91"/>
      <c r="AF650" s="91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58"/>
      <c r="AW650" s="58"/>
      <c r="AX650" s="58"/>
      <c r="AY650" s="58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</row>
    <row r="651" spans="1:71" ht="15.75" customHeight="1" x14ac:dyDescent="0.2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1"/>
      <c r="AD651" s="91"/>
      <c r="AE651" s="91"/>
      <c r="AF651" s="91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0"/>
      <c r="AR651" s="90"/>
      <c r="AS651" s="90"/>
      <c r="AT651" s="90"/>
      <c r="AU651" s="90"/>
      <c r="AV651" s="58"/>
      <c r="AW651" s="58"/>
      <c r="AX651" s="58"/>
      <c r="AY651" s="58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</row>
    <row r="652" spans="1:71" ht="15.75" customHeight="1" x14ac:dyDescent="0.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1"/>
      <c r="AD652" s="91"/>
      <c r="AE652" s="91"/>
      <c r="AF652" s="91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58"/>
      <c r="AW652" s="58"/>
      <c r="AX652" s="58"/>
      <c r="AY652" s="58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</row>
    <row r="653" spans="1:71" ht="15.75" customHeight="1" x14ac:dyDescent="0.2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1"/>
      <c r="AD653" s="91"/>
      <c r="AE653" s="91"/>
      <c r="AF653" s="91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0"/>
      <c r="AR653" s="90"/>
      <c r="AS653" s="90"/>
      <c r="AT653" s="90"/>
      <c r="AU653" s="90"/>
      <c r="AV653" s="58"/>
      <c r="AW653" s="58"/>
      <c r="AX653" s="58"/>
      <c r="AY653" s="58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</row>
    <row r="654" spans="1:71" ht="15.75" customHeight="1" x14ac:dyDescent="0.2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1"/>
      <c r="AD654" s="91"/>
      <c r="AE654" s="91"/>
      <c r="AF654" s="91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58"/>
      <c r="AW654" s="58"/>
      <c r="AX654" s="58"/>
      <c r="AY654" s="58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</row>
    <row r="655" spans="1:71" ht="15.75" customHeight="1" x14ac:dyDescent="0.2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1"/>
      <c r="AD655" s="91"/>
      <c r="AE655" s="91"/>
      <c r="AF655" s="91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0"/>
      <c r="AR655" s="90"/>
      <c r="AS655" s="90"/>
      <c r="AT655" s="90"/>
      <c r="AU655" s="90"/>
      <c r="AV655" s="58"/>
      <c r="AW655" s="58"/>
      <c r="AX655" s="58"/>
      <c r="AY655" s="58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</row>
    <row r="656" spans="1:71" ht="15.75" customHeight="1" x14ac:dyDescent="0.2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1"/>
      <c r="AD656" s="91"/>
      <c r="AE656" s="91"/>
      <c r="AF656" s="91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58"/>
      <c r="AW656" s="58"/>
      <c r="AX656" s="58"/>
      <c r="AY656" s="58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</row>
    <row r="657" spans="1:71" ht="15.75" customHeight="1" x14ac:dyDescent="0.2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1"/>
      <c r="AD657" s="91"/>
      <c r="AE657" s="91"/>
      <c r="AF657" s="91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0"/>
      <c r="AR657" s="90"/>
      <c r="AS657" s="90"/>
      <c r="AT657" s="90"/>
      <c r="AU657" s="90"/>
      <c r="AV657" s="58"/>
      <c r="AW657" s="58"/>
      <c r="AX657" s="58"/>
      <c r="AY657" s="58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</row>
    <row r="658" spans="1:71" ht="15.75" customHeight="1" x14ac:dyDescent="0.2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1"/>
      <c r="AD658" s="91"/>
      <c r="AE658" s="91"/>
      <c r="AF658" s="91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58"/>
      <c r="AW658" s="58"/>
      <c r="AX658" s="58"/>
      <c r="AY658" s="58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</row>
    <row r="659" spans="1:71" ht="15.75" customHeight="1" x14ac:dyDescent="0.2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1"/>
      <c r="AD659" s="91"/>
      <c r="AE659" s="91"/>
      <c r="AF659" s="91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0"/>
      <c r="AR659" s="90"/>
      <c r="AS659" s="90"/>
      <c r="AT659" s="90"/>
      <c r="AU659" s="90"/>
      <c r="AV659" s="58"/>
      <c r="AW659" s="58"/>
      <c r="AX659" s="58"/>
      <c r="AY659" s="58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</row>
    <row r="660" spans="1:71" ht="15.75" customHeight="1" x14ac:dyDescent="0.2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1"/>
      <c r="AD660" s="91"/>
      <c r="AE660" s="91"/>
      <c r="AF660" s="91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58"/>
      <c r="AW660" s="58"/>
      <c r="AX660" s="58"/>
      <c r="AY660" s="58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</row>
    <row r="661" spans="1:71" ht="15.75" customHeight="1" x14ac:dyDescent="0.2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1"/>
      <c r="AD661" s="91"/>
      <c r="AE661" s="91"/>
      <c r="AF661" s="91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0"/>
      <c r="AR661" s="90"/>
      <c r="AS661" s="90"/>
      <c r="AT661" s="90"/>
      <c r="AU661" s="90"/>
      <c r="AV661" s="58"/>
      <c r="AW661" s="58"/>
      <c r="AX661" s="58"/>
      <c r="AY661" s="58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</row>
    <row r="662" spans="1:71" ht="15.75" customHeight="1" x14ac:dyDescent="0.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1"/>
      <c r="AD662" s="91"/>
      <c r="AE662" s="91"/>
      <c r="AF662" s="91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58"/>
      <c r="AW662" s="58"/>
      <c r="AX662" s="58"/>
      <c r="AY662" s="58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</row>
    <row r="663" spans="1:71" ht="15.75" customHeight="1" x14ac:dyDescent="0.2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1"/>
      <c r="AD663" s="91"/>
      <c r="AE663" s="91"/>
      <c r="AF663" s="91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0"/>
      <c r="AR663" s="90"/>
      <c r="AS663" s="90"/>
      <c r="AT663" s="90"/>
      <c r="AU663" s="90"/>
      <c r="AV663" s="58"/>
      <c r="AW663" s="58"/>
      <c r="AX663" s="58"/>
      <c r="AY663" s="58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</row>
    <row r="664" spans="1:71" ht="15.75" customHeight="1" x14ac:dyDescent="0.2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1"/>
      <c r="AD664" s="91"/>
      <c r="AE664" s="91"/>
      <c r="AF664" s="91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58"/>
      <c r="AW664" s="58"/>
      <c r="AX664" s="58"/>
      <c r="AY664" s="58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</row>
    <row r="665" spans="1:71" ht="15.75" customHeight="1" x14ac:dyDescent="0.2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1"/>
      <c r="AD665" s="91"/>
      <c r="AE665" s="91"/>
      <c r="AF665" s="91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0"/>
      <c r="AR665" s="90"/>
      <c r="AS665" s="90"/>
      <c r="AT665" s="90"/>
      <c r="AU665" s="90"/>
      <c r="AV665" s="58"/>
      <c r="AW665" s="58"/>
      <c r="AX665" s="58"/>
      <c r="AY665" s="58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</row>
    <row r="666" spans="1:71" ht="15.75" customHeight="1" x14ac:dyDescent="0.2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1"/>
      <c r="AD666" s="91"/>
      <c r="AE666" s="91"/>
      <c r="AF666" s="91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58"/>
      <c r="AW666" s="58"/>
      <c r="AX666" s="58"/>
      <c r="AY666" s="58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</row>
    <row r="667" spans="1:71" ht="15.75" customHeight="1" x14ac:dyDescent="0.2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1"/>
      <c r="AD667" s="91"/>
      <c r="AE667" s="91"/>
      <c r="AF667" s="91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0"/>
      <c r="AR667" s="90"/>
      <c r="AS667" s="90"/>
      <c r="AT667" s="90"/>
      <c r="AU667" s="90"/>
      <c r="AV667" s="58"/>
      <c r="AW667" s="58"/>
      <c r="AX667" s="58"/>
      <c r="AY667" s="58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</row>
    <row r="668" spans="1:71" ht="15.75" customHeight="1" x14ac:dyDescent="0.2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1"/>
      <c r="AD668" s="91"/>
      <c r="AE668" s="91"/>
      <c r="AF668" s="91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58"/>
      <c r="AW668" s="58"/>
      <c r="AX668" s="58"/>
      <c r="AY668" s="58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</row>
    <row r="669" spans="1:71" ht="15.75" customHeight="1" x14ac:dyDescent="0.2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1"/>
      <c r="AD669" s="91"/>
      <c r="AE669" s="91"/>
      <c r="AF669" s="91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0"/>
      <c r="AR669" s="90"/>
      <c r="AS669" s="90"/>
      <c r="AT669" s="90"/>
      <c r="AU669" s="90"/>
      <c r="AV669" s="58"/>
      <c r="AW669" s="58"/>
      <c r="AX669" s="58"/>
      <c r="AY669" s="58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</row>
    <row r="670" spans="1:71" ht="15.75" customHeight="1" x14ac:dyDescent="0.2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1"/>
      <c r="AD670" s="91"/>
      <c r="AE670" s="91"/>
      <c r="AF670" s="91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58"/>
      <c r="AW670" s="58"/>
      <c r="AX670" s="58"/>
      <c r="AY670" s="58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</row>
    <row r="671" spans="1:71" ht="15.75" customHeight="1" x14ac:dyDescent="0.2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1"/>
      <c r="AD671" s="91"/>
      <c r="AE671" s="91"/>
      <c r="AF671" s="91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0"/>
      <c r="AR671" s="90"/>
      <c r="AS671" s="90"/>
      <c r="AT671" s="90"/>
      <c r="AU671" s="90"/>
      <c r="AV671" s="58"/>
      <c r="AW671" s="58"/>
      <c r="AX671" s="58"/>
      <c r="AY671" s="58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</row>
    <row r="672" spans="1:71" ht="15.75" customHeight="1" x14ac:dyDescent="0.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1"/>
      <c r="AD672" s="91"/>
      <c r="AE672" s="91"/>
      <c r="AF672" s="91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58"/>
      <c r="AW672" s="58"/>
      <c r="AX672" s="58"/>
      <c r="AY672" s="58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</row>
    <row r="673" spans="1:71" ht="15.75" customHeight="1" x14ac:dyDescent="0.2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1"/>
      <c r="AD673" s="91"/>
      <c r="AE673" s="91"/>
      <c r="AF673" s="91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0"/>
      <c r="AR673" s="90"/>
      <c r="AS673" s="90"/>
      <c r="AT673" s="90"/>
      <c r="AU673" s="90"/>
      <c r="AV673" s="58"/>
      <c r="AW673" s="58"/>
      <c r="AX673" s="58"/>
      <c r="AY673" s="58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</row>
    <row r="674" spans="1:71" ht="15.75" customHeight="1" x14ac:dyDescent="0.2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1"/>
      <c r="AD674" s="91"/>
      <c r="AE674" s="91"/>
      <c r="AF674" s="91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58"/>
      <c r="AW674" s="58"/>
      <c r="AX674" s="58"/>
      <c r="AY674" s="58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</row>
    <row r="675" spans="1:71" ht="15.75" customHeight="1" x14ac:dyDescent="0.2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1"/>
      <c r="AD675" s="91"/>
      <c r="AE675" s="91"/>
      <c r="AF675" s="91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0"/>
      <c r="AR675" s="90"/>
      <c r="AS675" s="90"/>
      <c r="AT675" s="90"/>
      <c r="AU675" s="90"/>
      <c r="AV675" s="58"/>
      <c r="AW675" s="58"/>
      <c r="AX675" s="58"/>
      <c r="AY675" s="58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</row>
    <row r="676" spans="1:71" ht="15.75" customHeight="1" x14ac:dyDescent="0.2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1"/>
      <c r="AD676" s="91"/>
      <c r="AE676" s="91"/>
      <c r="AF676" s="91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58"/>
      <c r="AW676" s="58"/>
      <c r="AX676" s="58"/>
      <c r="AY676" s="58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</row>
    <row r="677" spans="1:71" ht="15.75" customHeight="1" x14ac:dyDescent="0.2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1"/>
      <c r="AD677" s="91"/>
      <c r="AE677" s="91"/>
      <c r="AF677" s="91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0"/>
      <c r="AR677" s="90"/>
      <c r="AS677" s="90"/>
      <c r="AT677" s="90"/>
      <c r="AU677" s="90"/>
      <c r="AV677" s="58"/>
      <c r="AW677" s="58"/>
      <c r="AX677" s="58"/>
      <c r="AY677" s="58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</row>
    <row r="678" spans="1:71" ht="15.75" customHeight="1" x14ac:dyDescent="0.2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1"/>
      <c r="AD678" s="91"/>
      <c r="AE678" s="91"/>
      <c r="AF678" s="91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58"/>
      <c r="AW678" s="58"/>
      <c r="AX678" s="58"/>
      <c r="AY678" s="58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</row>
    <row r="679" spans="1:71" ht="15.75" customHeight="1" x14ac:dyDescent="0.2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1"/>
      <c r="AD679" s="91"/>
      <c r="AE679" s="91"/>
      <c r="AF679" s="91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0"/>
      <c r="AR679" s="90"/>
      <c r="AS679" s="90"/>
      <c r="AT679" s="90"/>
      <c r="AU679" s="90"/>
      <c r="AV679" s="58"/>
      <c r="AW679" s="58"/>
      <c r="AX679" s="58"/>
      <c r="AY679" s="58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</row>
    <row r="680" spans="1:71" ht="15.75" customHeight="1" x14ac:dyDescent="0.2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1"/>
      <c r="AD680" s="91"/>
      <c r="AE680" s="91"/>
      <c r="AF680" s="91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58"/>
      <c r="AW680" s="58"/>
      <c r="AX680" s="58"/>
      <c r="AY680" s="58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</row>
    <row r="681" spans="1:71" ht="15.75" customHeight="1" x14ac:dyDescent="0.2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1"/>
      <c r="AD681" s="91"/>
      <c r="AE681" s="91"/>
      <c r="AF681" s="91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0"/>
      <c r="AR681" s="90"/>
      <c r="AS681" s="90"/>
      <c r="AT681" s="90"/>
      <c r="AU681" s="90"/>
      <c r="AV681" s="58"/>
      <c r="AW681" s="58"/>
      <c r="AX681" s="58"/>
      <c r="AY681" s="58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</row>
    <row r="682" spans="1:71" ht="15.75" customHeight="1" x14ac:dyDescent="0.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1"/>
      <c r="AD682" s="91"/>
      <c r="AE682" s="91"/>
      <c r="AF682" s="91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58"/>
      <c r="AW682" s="58"/>
      <c r="AX682" s="58"/>
      <c r="AY682" s="58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</row>
    <row r="683" spans="1:71" ht="15.75" customHeight="1" x14ac:dyDescent="0.2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1"/>
      <c r="AD683" s="91"/>
      <c r="AE683" s="91"/>
      <c r="AF683" s="91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0"/>
      <c r="AR683" s="90"/>
      <c r="AS683" s="90"/>
      <c r="AT683" s="90"/>
      <c r="AU683" s="90"/>
      <c r="AV683" s="58"/>
      <c r="AW683" s="58"/>
      <c r="AX683" s="58"/>
      <c r="AY683" s="58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</row>
    <row r="684" spans="1:71" ht="15.75" customHeight="1" x14ac:dyDescent="0.2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1"/>
      <c r="AD684" s="91"/>
      <c r="AE684" s="91"/>
      <c r="AF684" s="91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58"/>
      <c r="AW684" s="58"/>
      <c r="AX684" s="58"/>
      <c r="AY684" s="58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</row>
    <row r="685" spans="1:71" ht="15.75" customHeight="1" x14ac:dyDescent="0.2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1"/>
      <c r="AD685" s="91"/>
      <c r="AE685" s="91"/>
      <c r="AF685" s="91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0"/>
      <c r="AR685" s="90"/>
      <c r="AS685" s="90"/>
      <c r="AT685" s="90"/>
      <c r="AU685" s="90"/>
      <c r="AV685" s="58"/>
      <c r="AW685" s="58"/>
      <c r="AX685" s="58"/>
      <c r="AY685" s="58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</row>
    <row r="686" spans="1:71" ht="15.75" customHeight="1" x14ac:dyDescent="0.2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1"/>
      <c r="AD686" s="91"/>
      <c r="AE686" s="91"/>
      <c r="AF686" s="91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58"/>
      <c r="AW686" s="58"/>
      <c r="AX686" s="58"/>
      <c r="AY686" s="58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</row>
    <row r="687" spans="1:71" ht="15.75" customHeight="1" x14ac:dyDescent="0.2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1"/>
      <c r="AD687" s="91"/>
      <c r="AE687" s="91"/>
      <c r="AF687" s="91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0"/>
      <c r="AR687" s="90"/>
      <c r="AS687" s="90"/>
      <c r="AT687" s="90"/>
      <c r="AU687" s="90"/>
      <c r="AV687" s="58"/>
      <c r="AW687" s="58"/>
      <c r="AX687" s="58"/>
      <c r="AY687" s="58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</row>
    <row r="688" spans="1:71" ht="15.75" customHeight="1" x14ac:dyDescent="0.2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1"/>
      <c r="AD688" s="91"/>
      <c r="AE688" s="91"/>
      <c r="AF688" s="91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58"/>
      <c r="AW688" s="58"/>
      <c r="AX688" s="58"/>
      <c r="AY688" s="58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</row>
    <row r="689" spans="1:71" ht="15.75" customHeight="1" x14ac:dyDescent="0.2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1"/>
      <c r="AD689" s="91"/>
      <c r="AE689" s="91"/>
      <c r="AF689" s="91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0"/>
      <c r="AR689" s="90"/>
      <c r="AS689" s="90"/>
      <c r="AT689" s="90"/>
      <c r="AU689" s="90"/>
      <c r="AV689" s="58"/>
      <c r="AW689" s="58"/>
      <c r="AX689" s="58"/>
      <c r="AY689" s="58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</row>
    <row r="690" spans="1:71" ht="15.75" customHeight="1" x14ac:dyDescent="0.2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1"/>
      <c r="AD690" s="91"/>
      <c r="AE690" s="91"/>
      <c r="AF690" s="91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58"/>
      <c r="AW690" s="58"/>
      <c r="AX690" s="58"/>
      <c r="AY690" s="58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</row>
    <row r="691" spans="1:71" ht="15.75" customHeight="1" x14ac:dyDescent="0.2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1"/>
      <c r="AD691" s="91"/>
      <c r="AE691" s="91"/>
      <c r="AF691" s="91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0"/>
      <c r="AR691" s="90"/>
      <c r="AS691" s="90"/>
      <c r="AT691" s="90"/>
      <c r="AU691" s="90"/>
      <c r="AV691" s="58"/>
      <c r="AW691" s="58"/>
      <c r="AX691" s="58"/>
      <c r="AY691" s="58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</row>
    <row r="692" spans="1:71" ht="15.75" customHeight="1" x14ac:dyDescent="0.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1"/>
      <c r="AD692" s="91"/>
      <c r="AE692" s="91"/>
      <c r="AF692" s="91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58"/>
      <c r="AW692" s="58"/>
      <c r="AX692" s="58"/>
      <c r="AY692" s="58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</row>
    <row r="693" spans="1:71" ht="15.75" customHeight="1" x14ac:dyDescent="0.2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1"/>
      <c r="AD693" s="91"/>
      <c r="AE693" s="91"/>
      <c r="AF693" s="91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0"/>
      <c r="AR693" s="90"/>
      <c r="AS693" s="90"/>
      <c r="AT693" s="90"/>
      <c r="AU693" s="90"/>
      <c r="AV693" s="58"/>
      <c r="AW693" s="58"/>
      <c r="AX693" s="58"/>
      <c r="AY693" s="58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</row>
    <row r="694" spans="1:71" ht="15.75" customHeight="1" x14ac:dyDescent="0.2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1"/>
      <c r="AD694" s="91"/>
      <c r="AE694" s="91"/>
      <c r="AF694" s="91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58"/>
      <c r="AW694" s="58"/>
      <c r="AX694" s="58"/>
      <c r="AY694" s="58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</row>
    <row r="695" spans="1:71" ht="15.75" customHeight="1" x14ac:dyDescent="0.2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1"/>
      <c r="AD695" s="91"/>
      <c r="AE695" s="91"/>
      <c r="AF695" s="91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0"/>
      <c r="AR695" s="90"/>
      <c r="AS695" s="90"/>
      <c r="AT695" s="90"/>
      <c r="AU695" s="90"/>
      <c r="AV695" s="58"/>
      <c r="AW695" s="58"/>
      <c r="AX695" s="58"/>
      <c r="AY695" s="58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</row>
    <row r="696" spans="1:71" ht="15.75" customHeight="1" x14ac:dyDescent="0.2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1"/>
      <c r="AD696" s="91"/>
      <c r="AE696" s="91"/>
      <c r="AF696" s="91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58"/>
      <c r="AW696" s="58"/>
      <c r="AX696" s="58"/>
      <c r="AY696" s="58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</row>
    <row r="697" spans="1:71" ht="15.75" customHeight="1" x14ac:dyDescent="0.2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1"/>
      <c r="AD697" s="91"/>
      <c r="AE697" s="91"/>
      <c r="AF697" s="91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0"/>
      <c r="AR697" s="90"/>
      <c r="AS697" s="90"/>
      <c r="AT697" s="90"/>
      <c r="AU697" s="90"/>
      <c r="AV697" s="58"/>
      <c r="AW697" s="58"/>
      <c r="AX697" s="58"/>
      <c r="AY697" s="58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</row>
    <row r="698" spans="1:71" ht="15.75" customHeight="1" x14ac:dyDescent="0.2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1"/>
      <c r="AD698" s="91"/>
      <c r="AE698" s="91"/>
      <c r="AF698" s="91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58"/>
      <c r="AW698" s="58"/>
      <c r="AX698" s="58"/>
      <c r="AY698" s="58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</row>
    <row r="699" spans="1:71" ht="15.75" customHeight="1" x14ac:dyDescent="0.2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1"/>
      <c r="AD699" s="91"/>
      <c r="AE699" s="91"/>
      <c r="AF699" s="91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0"/>
      <c r="AR699" s="90"/>
      <c r="AS699" s="90"/>
      <c r="AT699" s="90"/>
      <c r="AU699" s="90"/>
      <c r="AV699" s="58"/>
      <c r="AW699" s="58"/>
      <c r="AX699" s="58"/>
      <c r="AY699" s="58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</row>
    <row r="700" spans="1:71" ht="15.75" customHeight="1" x14ac:dyDescent="0.2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1"/>
      <c r="AD700" s="91"/>
      <c r="AE700" s="91"/>
      <c r="AF700" s="91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58"/>
      <c r="AW700" s="58"/>
      <c r="AX700" s="58"/>
      <c r="AY700" s="58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</row>
    <row r="701" spans="1:71" ht="15.75" customHeight="1" x14ac:dyDescent="0.2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1"/>
      <c r="AD701" s="91"/>
      <c r="AE701" s="91"/>
      <c r="AF701" s="91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0"/>
      <c r="AR701" s="90"/>
      <c r="AS701" s="90"/>
      <c r="AT701" s="90"/>
      <c r="AU701" s="90"/>
      <c r="AV701" s="58"/>
      <c r="AW701" s="58"/>
      <c r="AX701" s="58"/>
      <c r="AY701" s="58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</row>
    <row r="702" spans="1:71" ht="15.75" customHeight="1" x14ac:dyDescent="0.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1"/>
      <c r="AD702" s="91"/>
      <c r="AE702" s="91"/>
      <c r="AF702" s="91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58"/>
      <c r="AW702" s="58"/>
      <c r="AX702" s="58"/>
      <c r="AY702" s="58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</row>
    <row r="703" spans="1:71" ht="15.75" customHeight="1" x14ac:dyDescent="0.2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1"/>
      <c r="AD703" s="91"/>
      <c r="AE703" s="91"/>
      <c r="AF703" s="91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0"/>
      <c r="AR703" s="90"/>
      <c r="AS703" s="90"/>
      <c r="AT703" s="90"/>
      <c r="AU703" s="90"/>
      <c r="AV703" s="58"/>
      <c r="AW703" s="58"/>
      <c r="AX703" s="58"/>
      <c r="AY703" s="58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</row>
    <row r="704" spans="1:71" ht="15.75" customHeight="1" x14ac:dyDescent="0.2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1"/>
      <c r="AD704" s="91"/>
      <c r="AE704" s="91"/>
      <c r="AF704" s="91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58"/>
      <c r="AW704" s="58"/>
      <c r="AX704" s="58"/>
      <c r="AY704" s="58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</row>
    <row r="705" spans="1:71" ht="15.75" customHeight="1" x14ac:dyDescent="0.2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1"/>
      <c r="AD705" s="91"/>
      <c r="AE705" s="91"/>
      <c r="AF705" s="91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0"/>
      <c r="AR705" s="90"/>
      <c r="AS705" s="90"/>
      <c r="AT705" s="90"/>
      <c r="AU705" s="90"/>
      <c r="AV705" s="58"/>
      <c r="AW705" s="58"/>
      <c r="AX705" s="58"/>
      <c r="AY705" s="58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</row>
    <row r="706" spans="1:71" ht="15.75" customHeight="1" x14ac:dyDescent="0.2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1"/>
      <c r="AD706" s="91"/>
      <c r="AE706" s="91"/>
      <c r="AF706" s="91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58"/>
      <c r="AW706" s="58"/>
      <c r="AX706" s="58"/>
      <c r="AY706" s="58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</row>
    <row r="707" spans="1:71" ht="15.75" customHeight="1" x14ac:dyDescent="0.2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1"/>
      <c r="AD707" s="91"/>
      <c r="AE707" s="91"/>
      <c r="AF707" s="91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0"/>
      <c r="AR707" s="90"/>
      <c r="AS707" s="90"/>
      <c r="AT707" s="90"/>
      <c r="AU707" s="90"/>
      <c r="AV707" s="58"/>
      <c r="AW707" s="58"/>
      <c r="AX707" s="58"/>
      <c r="AY707" s="58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</row>
    <row r="708" spans="1:71" ht="15.75" customHeight="1" x14ac:dyDescent="0.2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1"/>
      <c r="AD708" s="91"/>
      <c r="AE708" s="91"/>
      <c r="AF708" s="91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58"/>
      <c r="AW708" s="58"/>
      <c r="AX708" s="58"/>
      <c r="AY708" s="58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</row>
    <row r="709" spans="1:71" ht="15.75" customHeight="1" x14ac:dyDescent="0.2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1"/>
      <c r="AD709" s="91"/>
      <c r="AE709" s="91"/>
      <c r="AF709" s="91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0"/>
      <c r="AR709" s="90"/>
      <c r="AS709" s="90"/>
      <c r="AT709" s="90"/>
      <c r="AU709" s="90"/>
      <c r="AV709" s="58"/>
      <c r="AW709" s="58"/>
      <c r="AX709" s="58"/>
      <c r="AY709" s="58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</row>
    <row r="710" spans="1:71" ht="15.75" customHeight="1" x14ac:dyDescent="0.2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1"/>
      <c r="AD710" s="91"/>
      <c r="AE710" s="91"/>
      <c r="AF710" s="91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58"/>
      <c r="AW710" s="58"/>
      <c r="AX710" s="58"/>
      <c r="AY710" s="58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</row>
    <row r="711" spans="1:71" ht="15.75" customHeight="1" x14ac:dyDescent="0.2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1"/>
      <c r="AD711" s="91"/>
      <c r="AE711" s="91"/>
      <c r="AF711" s="91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0"/>
      <c r="AR711" s="90"/>
      <c r="AS711" s="90"/>
      <c r="AT711" s="90"/>
      <c r="AU711" s="90"/>
      <c r="AV711" s="58"/>
      <c r="AW711" s="58"/>
      <c r="AX711" s="58"/>
      <c r="AY711" s="58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</row>
    <row r="712" spans="1:71" ht="15.75" customHeight="1" x14ac:dyDescent="0.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1"/>
      <c r="AD712" s="91"/>
      <c r="AE712" s="91"/>
      <c r="AF712" s="91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58"/>
      <c r="AW712" s="58"/>
      <c r="AX712" s="58"/>
      <c r="AY712" s="58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</row>
    <row r="713" spans="1:71" ht="15.75" customHeight="1" x14ac:dyDescent="0.2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1"/>
      <c r="AD713" s="91"/>
      <c r="AE713" s="91"/>
      <c r="AF713" s="91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0"/>
      <c r="AR713" s="90"/>
      <c r="AS713" s="90"/>
      <c r="AT713" s="90"/>
      <c r="AU713" s="90"/>
      <c r="AV713" s="58"/>
      <c r="AW713" s="58"/>
      <c r="AX713" s="58"/>
      <c r="AY713" s="58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</row>
    <row r="714" spans="1:71" ht="15.75" customHeight="1" x14ac:dyDescent="0.2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1"/>
      <c r="AD714" s="91"/>
      <c r="AE714" s="91"/>
      <c r="AF714" s="91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58"/>
      <c r="AW714" s="58"/>
      <c r="AX714" s="58"/>
      <c r="AY714" s="58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</row>
    <row r="715" spans="1:71" ht="15.75" customHeight="1" x14ac:dyDescent="0.2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1"/>
      <c r="AD715" s="91"/>
      <c r="AE715" s="91"/>
      <c r="AF715" s="91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0"/>
      <c r="AR715" s="90"/>
      <c r="AS715" s="90"/>
      <c r="AT715" s="90"/>
      <c r="AU715" s="90"/>
      <c r="AV715" s="58"/>
      <c r="AW715" s="58"/>
      <c r="AX715" s="58"/>
      <c r="AY715" s="58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</row>
    <row r="716" spans="1:71" ht="15.75" customHeight="1" x14ac:dyDescent="0.2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1"/>
      <c r="AD716" s="91"/>
      <c r="AE716" s="91"/>
      <c r="AF716" s="91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58"/>
      <c r="AW716" s="58"/>
      <c r="AX716" s="58"/>
      <c r="AY716" s="58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</row>
    <row r="717" spans="1:71" ht="15.75" customHeight="1" x14ac:dyDescent="0.2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1"/>
      <c r="AD717" s="91"/>
      <c r="AE717" s="91"/>
      <c r="AF717" s="91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0"/>
      <c r="AR717" s="90"/>
      <c r="AS717" s="90"/>
      <c r="AT717" s="90"/>
      <c r="AU717" s="90"/>
      <c r="AV717" s="58"/>
      <c r="AW717" s="58"/>
      <c r="AX717" s="58"/>
      <c r="AY717" s="58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</row>
    <row r="718" spans="1:71" ht="15.75" customHeight="1" x14ac:dyDescent="0.2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1"/>
      <c r="AD718" s="91"/>
      <c r="AE718" s="91"/>
      <c r="AF718" s="91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58"/>
      <c r="AW718" s="58"/>
      <c r="AX718" s="58"/>
      <c r="AY718" s="58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</row>
    <row r="719" spans="1:71" ht="15.75" customHeight="1" x14ac:dyDescent="0.2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1"/>
      <c r="AD719" s="91"/>
      <c r="AE719" s="91"/>
      <c r="AF719" s="91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0"/>
      <c r="AR719" s="90"/>
      <c r="AS719" s="90"/>
      <c r="AT719" s="90"/>
      <c r="AU719" s="90"/>
      <c r="AV719" s="58"/>
      <c r="AW719" s="58"/>
      <c r="AX719" s="58"/>
      <c r="AY719" s="58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</row>
    <row r="720" spans="1:71" ht="15.75" customHeight="1" x14ac:dyDescent="0.2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1"/>
      <c r="AD720" s="91"/>
      <c r="AE720" s="91"/>
      <c r="AF720" s="91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58"/>
      <c r="AW720" s="58"/>
      <c r="AX720" s="58"/>
      <c r="AY720" s="58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</row>
    <row r="721" spans="1:71" ht="15.75" customHeight="1" x14ac:dyDescent="0.2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1"/>
      <c r="AD721" s="91"/>
      <c r="AE721" s="91"/>
      <c r="AF721" s="91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0"/>
      <c r="AR721" s="90"/>
      <c r="AS721" s="90"/>
      <c r="AT721" s="90"/>
      <c r="AU721" s="90"/>
      <c r="AV721" s="58"/>
      <c r="AW721" s="58"/>
      <c r="AX721" s="58"/>
      <c r="AY721" s="58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</row>
    <row r="722" spans="1:71" ht="15.75" customHeight="1" x14ac:dyDescent="0.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1"/>
      <c r="AD722" s="91"/>
      <c r="AE722" s="91"/>
      <c r="AF722" s="91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58"/>
      <c r="AW722" s="58"/>
      <c r="AX722" s="58"/>
      <c r="AY722" s="58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</row>
    <row r="723" spans="1:71" ht="15.75" customHeight="1" x14ac:dyDescent="0.2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1"/>
      <c r="AD723" s="91"/>
      <c r="AE723" s="91"/>
      <c r="AF723" s="91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0"/>
      <c r="AR723" s="90"/>
      <c r="AS723" s="90"/>
      <c r="AT723" s="90"/>
      <c r="AU723" s="90"/>
      <c r="AV723" s="58"/>
      <c r="AW723" s="58"/>
      <c r="AX723" s="58"/>
      <c r="AY723" s="58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</row>
    <row r="724" spans="1:71" ht="15.75" customHeight="1" x14ac:dyDescent="0.2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1"/>
      <c r="AD724" s="91"/>
      <c r="AE724" s="91"/>
      <c r="AF724" s="91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58"/>
      <c r="AW724" s="58"/>
      <c r="AX724" s="58"/>
      <c r="AY724" s="58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</row>
    <row r="725" spans="1:71" ht="15.75" customHeight="1" x14ac:dyDescent="0.2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1"/>
      <c r="AD725" s="91"/>
      <c r="AE725" s="91"/>
      <c r="AF725" s="91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0"/>
      <c r="AR725" s="90"/>
      <c r="AS725" s="90"/>
      <c r="AT725" s="90"/>
      <c r="AU725" s="90"/>
      <c r="AV725" s="58"/>
      <c r="AW725" s="58"/>
      <c r="AX725" s="58"/>
      <c r="AY725" s="58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</row>
    <row r="726" spans="1:71" ht="15.75" customHeight="1" x14ac:dyDescent="0.2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1"/>
      <c r="AD726" s="91"/>
      <c r="AE726" s="91"/>
      <c r="AF726" s="91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58"/>
      <c r="AW726" s="58"/>
      <c r="AX726" s="58"/>
      <c r="AY726" s="58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</row>
    <row r="727" spans="1:71" ht="15.75" customHeight="1" x14ac:dyDescent="0.2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1"/>
      <c r="AD727" s="91"/>
      <c r="AE727" s="91"/>
      <c r="AF727" s="91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0"/>
      <c r="AR727" s="90"/>
      <c r="AS727" s="90"/>
      <c r="AT727" s="90"/>
      <c r="AU727" s="90"/>
      <c r="AV727" s="58"/>
      <c r="AW727" s="58"/>
      <c r="AX727" s="58"/>
      <c r="AY727" s="58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</row>
    <row r="728" spans="1:71" ht="15.75" customHeight="1" x14ac:dyDescent="0.2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1"/>
      <c r="AD728" s="91"/>
      <c r="AE728" s="91"/>
      <c r="AF728" s="91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58"/>
      <c r="AW728" s="58"/>
      <c r="AX728" s="58"/>
      <c r="AY728" s="58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</row>
    <row r="729" spans="1:71" ht="15.75" customHeight="1" x14ac:dyDescent="0.2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1"/>
      <c r="AD729" s="91"/>
      <c r="AE729" s="91"/>
      <c r="AF729" s="91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0"/>
      <c r="AR729" s="90"/>
      <c r="AS729" s="90"/>
      <c r="AT729" s="90"/>
      <c r="AU729" s="90"/>
      <c r="AV729" s="58"/>
      <c r="AW729" s="58"/>
      <c r="AX729" s="58"/>
      <c r="AY729" s="58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</row>
    <row r="730" spans="1:71" ht="15.75" customHeight="1" x14ac:dyDescent="0.2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1"/>
      <c r="AD730" s="91"/>
      <c r="AE730" s="91"/>
      <c r="AF730" s="91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58"/>
      <c r="AW730" s="58"/>
      <c r="AX730" s="58"/>
      <c r="AY730" s="58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</row>
    <row r="731" spans="1:71" ht="15.75" customHeight="1" x14ac:dyDescent="0.2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1"/>
      <c r="AD731" s="91"/>
      <c r="AE731" s="91"/>
      <c r="AF731" s="91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0"/>
      <c r="AR731" s="90"/>
      <c r="AS731" s="90"/>
      <c r="AT731" s="90"/>
      <c r="AU731" s="90"/>
      <c r="AV731" s="58"/>
      <c r="AW731" s="58"/>
      <c r="AX731" s="58"/>
      <c r="AY731" s="58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</row>
    <row r="732" spans="1:71" ht="15.75" customHeight="1" x14ac:dyDescent="0.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1"/>
      <c r="AD732" s="91"/>
      <c r="AE732" s="91"/>
      <c r="AF732" s="91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58"/>
      <c r="AW732" s="58"/>
      <c r="AX732" s="58"/>
      <c r="AY732" s="58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</row>
    <row r="733" spans="1:71" ht="15.75" customHeight="1" x14ac:dyDescent="0.2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1"/>
      <c r="AD733" s="91"/>
      <c r="AE733" s="91"/>
      <c r="AF733" s="91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0"/>
      <c r="AR733" s="90"/>
      <c r="AS733" s="90"/>
      <c r="AT733" s="90"/>
      <c r="AU733" s="90"/>
      <c r="AV733" s="58"/>
      <c r="AW733" s="58"/>
      <c r="AX733" s="58"/>
      <c r="AY733" s="58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</row>
    <row r="734" spans="1:71" ht="15.75" customHeight="1" x14ac:dyDescent="0.2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1"/>
      <c r="AD734" s="91"/>
      <c r="AE734" s="91"/>
      <c r="AF734" s="91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58"/>
      <c r="AW734" s="58"/>
      <c r="AX734" s="58"/>
      <c r="AY734" s="58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</row>
    <row r="735" spans="1:71" ht="15.75" customHeight="1" x14ac:dyDescent="0.2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1"/>
      <c r="AD735" s="91"/>
      <c r="AE735" s="91"/>
      <c r="AF735" s="91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0"/>
      <c r="AR735" s="90"/>
      <c r="AS735" s="90"/>
      <c r="AT735" s="90"/>
      <c r="AU735" s="90"/>
      <c r="AV735" s="58"/>
      <c r="AW735" s="58"/>
      <c r="AX735" s="58"/>
      <c r="AY735" s="58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</row>
    <row r="736" spans="1:71" ht="15.75" customHeight="1" x14ac:dyDescent="0.2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1"/>
      <c r="AD736" s="91"/>
      <c r="AE736" s="91"/>
      <c r="AF736" s="91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58"/>
      <c r="AW736" s="58"/>
      <c r="AX736" s="58"/>
      <c r="AY736" s="58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</row>
    <row r="737" spans="1:71" ht="15.75" customHeight="1" x14ac:dyDescent="0.2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1"/>
      <c r="AD737" s="91"/>
      <c r="AE737" s="91"/>
      <c r="AF737" s="91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0"/>
      <c r="AR737" s="90"/>
      <c r="AS737" s="90"/>
      <c r="AT737" s="90"/>
      <c r="AU737" s="90"/>
      <c r="AV737" s="58"/>
      <c r="AW737" s="58"/>
      <c r="AX737" s="58"/>
      <c r="AY737" s="58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</row>
    <row r="738" spans="1:71" ht="15.75" customHeight="1" x14ac:dyDescent="0.2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1"/>
      <c r="AD738" s="91"/>
      <c r="AE738" s="91"/>
      <c r="AF738" s="91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58"/>
      <c r="AW738" s="58"/>
      <c r="AX738" s="58"/>
      <c r="AY738" s="58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</row>
    <row r="739" spans="1:71" ht="15.75" customHeight="1" x14ac:dyDescent="0.2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1"/>
      <c r="AD739" s="91"/>
      <c r="AE739" s="91"/>
      <c r="AF739" s="91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0"/>
      <c r="AR739" s="90"/>
      <c r="AS739" s="90"/>
      <c r="AT739" s="90"/>
      <c r="AU739" s="90"/>
      <c r="AV739" s="58"/>
      <c r="AW739" s="58"/>
      <c r="AX739" s="58"/>
      <c r="AY739" s="58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</row>
    <row r="740" spans="1:71" ht="15.75" customHeight="1" x14ac:dyDescent="0.2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1"/>
      <c r="AD740" s="91"/>
      <c r="AE740" s="91"/>
      <c r="AF740" s="91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58"/>
      <c r="AW740" s="58"/>
      <c r="AX740" s="58"/>
      <c r="AY740" s="58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</row>
    <row r="741" spans="1:71" ht="15.75" customHeight="1" x14ac:dyDescent="0.2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1"/>
      <c r="AD741" s="91"/>
      <c r="AE741" s="91"/>
      <c r="AF741" s="91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0"/>
      <c r="AR741" s="90"/>
      <c r="AS741" s="90"/>
      <c r="AT741" s="90"/>
      <c r="AU741" s="90"/>
      <c r="AV741" s="58"/>
      <c r="AW741" s="58"/>
      <c r="AX741" s="58"/>
      <c r="AY741" s="58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</row>
    <row r="742" spans="1:71" ht="15.75" customHeight="1" x14ac:dyDescent="0.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1"/>
      <c r="AD742" s="91"/>
      <c r="AE742" s="91"/>
      <c r="AF742" s="91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58"/>
      <c r="AW742" s="58"/>
      <c r="AX742" s="58"/>
      <c r="AY742" s="58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</row>
    <row r="743" spans="1:71" ht="15.75" customHeight="1" x14ac:dyDescent="0.2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1"/>
      <c r="AD743" s="91"/>
      <c r="AE743" s="91"/>
      <c r="AF743" s="91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0"/>
      <c r="AR743" s="90"/>
      <c r="AS743" s="90"/>
      <c r="AT743" s="90"/>
      <c r="AU743" s="90"/>
      <c r="AV743" s="58"/>
      <c r="AW743" s="58"/>
      <c r="AX743" s="58"/>
      <c r="AY743" s="58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</row>
    <row r="744" spans="1:71" ht="15.75" customHeight="1" x14ac:dyDescent="0.2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1"/>
      <c r="AD744" s="91"/>
      <c r="AE744" s="91"/>
      <c r="AF744" s="91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58"/>
      <c r="AW744" s="58"/>
      <c r="AX744" s="58"/>
      <c r="AY744" s="58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</row>
    <row r="745" spans="1:71" ht="15.75" customHeight="1" x14ac:dyDescent="0.2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1"/>
      <c r="AD745" s="91"/>
      <c r="AE745" s="91"/>
      <c r="AF745" s="91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0"/>
      <c r="AR745" s="90"/>
      <c r="AS745" s="90"/>
      <c r="AT745" s="90"/>
      <c r="AU745" s="90"/>
      <c r="AV745" s="58"/>
      <c r="AW745" s="58"/>
      <c r="AX745" s="58"/>
      <c r="AY745" s="58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</row>
    <row r="746" spans="1:71" ht="15.75" customHeight="1" x14ac:dyDescent="0.2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1"/>
      <c r="AD746" s="91"/>
      <c r="AE746" s="91"/>
      <c r="AF746" s="91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58"/>
      <c r="AW746" s="58"/>
      <c r="AX746" s="58"/>
      <c r="AY746" s="58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</row>
    <row r="747" spans="1:71" ht="15.75" customHeight="1" x14ac:dyDescent="0.2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1"/>
      <c r="AD747" s="91"/>
      <c r="AE747" s="91"/>
      <c r="AF747" s="91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0"/>
      <c r="AR747" s="90"/>
      <c r="AS747" s="90"/>
      <c r="AT747" s="90"/>
      <c r="AU747" s="90"/>
      <c r="AV747" s="58"/>
      <c r="AW747" s="58"/>
      <c r="AX747" s="58"/>
      <c r="AY747" s="58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</row>
    <row r="748" spans="1:71" ht="15.75" customHeight="1" x14ac:dyDescent="0.2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1"/>
      <c r="AD748" s="91"/>
      <c r="AE748" s="91"/>
      <c r="AF748" s="91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58"/>
      <c r="AW748" s="58"/>
      <c r="AX748" s="58"/>
      <c r="AY748" s="58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</row>
    <row r="749" spans="1:71" ht="15.75" customHeight="1" x14ac:dyDescent="0.2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1"/>
      <c r="AD749" s="91"/>
      <c r="AE749" s="91"/>
      <c r="AF749" s="91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0"/>
      <c r="AR749" s="90"/>
      <c r="AS749" s="90"/>
      <c r="AT749" s="90"/>
      <c r="AU749" s="90"/>
      <c r="AV749" s="58"/>
      <c r="AW749" s="58"/>
      <c r="AX749" s="58"/>
      <c r="AY749" s="58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</row>
    <row r="750" spans="1:71" ht="15.75" customHeight="1" x14ac:dyDescent="0.2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1"/>
      <c r="AD750" s="91"/>
      <c r="AE750" s="91"/>
      <c r="AF750" s="91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58"/>
      <c r="AW750" s="58"/>
      <c r="AX750" s="58"/>
      <c r="AY750" s="58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</row>
    <row r="751" spans="1:71" ht="15.75" customHeight="1" x14ac:dyDescent="0.2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1"/>
      <c r="AD751" s="91"/>
      <c r="AE751" s="91"/>
      <c r="AF751" s="91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0"/>
      <c r="AR751" s="90"/>
      <c r="AS751" s="90"/>
      <c r="AT751" s="90"/>
      <c r="AU751" s="90"/>
      <c r="AV751" s="58"/>
      <c r="AW751" s="58"/>
      <c r="AX751" s="58"/>
      <c r="AY751" s="58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</row>
    <row r="752" spans="1:71" ht="15.75" customHeight="1" x14ac:dyDescent="0.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1"/>
      <c r="AD752" s="91"/>
      <c r="AE752" s="91"/>
      <c r="AF752" s="91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58"/>
      <c r="AW752" s="58"/>
      <c r="AX752" s="58"/>
      <c r="AY752" s="58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</row>
    <row r="753" spans="1:71" ht="15.75" customHeight="1" x14ac:dyDescent="0.2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1"/>
      <c r="AD753" s="91"/>
      <c r="AE753" s="91"/>
      <c r="AF753" s="91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0"/>
      <c r="AR753" s="90"/>
      <c r="AS753" s="90"/>
      <c r="AT753" s="90"/>
      <c r="AU753" s="90"/>
      <c r="AV753" s="58"/>
      <c r="AW753" s="58"/>
      <c r="AX753" s="58"/>
      <c r="AY753" s="58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</row>
    <row r="754" spans="1:71" ht="15.75" customHeight="1" x14ac:dyDescent="0.2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1"/>
      <c r="AD754" s="91"/>
      <c r="AE754" s="91"/>
      <c r="AF754" s="91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58"/>
      <c r="AW754" s="58"/>
      <c r="AX754" s="58"/>
      <c r="AY754" s="58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</row>
    <row r="755" spans="1:71" ht="15.75" customHeight="1" x14ac:dyDescent="0.2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1"/>
      <c r="AD755" s="91"/>
      <c r="AE755" s="91"/>
      <c r="AF755" s="91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0"/>
      <c r="AR755" s="90"/>
      <c r="AS755" s="90"/>
      <c r="AT755" s="90"/>
      <c r="AU755" s="90"/>
      <c r="AV755" s="58"/>
      <c r="AW755" s="58"/>
      <c r="AX755" s="58"/>
      <c r="AY755" s="58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</row>
    <row r="756" spans="1:71" ht="15.75" customHeight="1" x14ac:dyDescent="0.2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1"/>
      <c r="AD756" s="91"/>
      <c r="AE756" s="91"/>
      <c r="AF756" s="91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58"/>
      <c r="AW756" s="58"/>
      <c r="AX756" s="58"/>
      <c r="AY756" s="58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</row>
    <row r="757" spans="1:71" ht="15.75" customHeight="1" x14ac:dyDescent="0.2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1"/>
      <c r="AD757" s="91"/>
      <c r="AE757" s="91"/>
      <c r="AF757" s="91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0"/>
      <c r="AR757" s="90"/>
      <c r="AS757" s="90"/>
      <c r="AT757" s="90"/>
      <c r="AU757" s="90"/>
      <c r="AV757" s="58"/>
      <c r="AW757" s="58"/>
      <c r="AX757" s="58"/>
      <c r="AY757" s="58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</row>
    <row r="758" spans="1:71" ht="15.75" customHeight="1" x14ac:dyDescent="0.2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1"/>
      <c r="AD758" s="91"/>
      <c r="AE758" s="91"/>
      <c r="AF758" s="91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58"/>
      <c r="AW758" s="58"/>
      <c r="AX758" s="58"/>
      <c r="AY758" s="58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</row>
    <row r="759" spans="1:71" ht="15.75" customHeight="1" x14ac:dyDescent="0.2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1"/>
      <c r="AD759" s="91"/>
      <c r="AE759" s="91"/>
      <c r="AF759" s="91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0"/>
      <c r="AR759" s="90"/>
      <c r="AS759" s="90"/>
      <c r="AT759" s="90"/>
      <c r="AU759" s="90"/>
      <c r="AV759" s="58"/>
      <c r="AW759" s="58"/>
      <c r="AX759" s="58"/>
      <c r="AY759" s="58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</row>
    <row r="760" spans="1:71" ht="15.75" customHeight="1" x14ac:dyDescent="0.2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1"/>
      <c r="AD760" s="91"/>
      <c r="AE760" s="91"/>
      <c r="AF760" s="91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58"/>
      <c r="AW760" s="58"/>
      <c r="AX760" s="58"/>
      <c r="AY760" s="58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</row>
    <row r="761" spans="1:71" ht="15.75" customHeight="1" x14ac:dyDescent="0.2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1"/>
      <c r="AD761" s="91"/>
      <c r="AE761" s="91"/>
      <c r="AF761" s="91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0"/>
      <c r="AR761" s="90"/>
      <c r="AS761" s="90"/>
      <c r="AT761" s="90"/>
      <c r="AU761" s="90"/>
      <c r="AV761" s="58"/>
      <c r="AW761" s="58"/>
      <c r="AX761" s="58"/>
      <c r="AY761" s="58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</row>
    <row r="762" spans="1:71" ht="15.75" customHeight="1" x14ac:dyDescent="0.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1"/>
      <c r="AD762" s="91"/>
      <c r="AE762" s="91"/>
      <c r="AF762" s="91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58"/>
      <c r="AW762" s="58"/>
      <c r="AX762" s="58"/>
      <c r="AY762" s="58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</row>
    <row r="763" spans="1:71" ht="15.75" customHeight="1" x14ac:dyDescent="0.2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1"/>
      <c r="AD763" s="91"/>
      <c r="AE763" s="91"/>
      <c r="AF763" s="91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0"/>
      <c r="AR763" s="90"/>
      <c r="AS763" s="90"/>
      <c r="AT763" s="90"/>
      <c r="AU763" s="90"/>
      <c r="AV763" s="58"/>
      <c r="AW763" s="58"/>
      <c r="AX763" s="58"/>
      <c r="AY763" s="58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</row>
    <row r="764" spans="1:71" ht="15.75" customHeight="1" x14ac:dyDescent="0.2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1"/>
      <c r="AD764" s="91"/>
      <c r="AE764" s="91"/>
      <c r="AF764" s="91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58"/>
      <c r="AW764" s="58"/>
      <c r="AX764" s="58"/>
      <c r="AY764" s="58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</row>
    <row r="765" spans="1:71" ht="15.75" customHeight="1" x14ac:dyDescent="0.2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1"/>
      <c r="AD765" s="91"/>
      <c r="AE765" s="91"/>
      <c r="AF765" s="91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0"/>
      <c r="AR765" s="90"/>
      <c r="AS765" s="90"/>
      <c r="AT765" s="90"/>
      <c r="AU765" s="90"/>
      <c r="AV765" s="58"/>
      <c r="AW765" s="58"/>
      <c r="AX765" s="58"/>
      <c r="AY765" s="58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</row>
    <row r="766" spans="1:71" ht="15.75" customHeight="1" x14ac:dyDescent="0.2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1"/>
      <c r="AD766" s="91"/>
      <c r="AE766" s="91"/>
      <c r="AF766" s="91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58"/>
      <c r="AW766" s="58"/>
      <c r="AX766" s="58"/>
      <c r="AY766" s="58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</row>
    <row r="767" spans="1:71" ht="15.75" customHeight="1" x14ac:dyDescent="0.2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1"/>
      <c r="AD767" s="91"/>
      <c r="AE767" s="91"/>
      <c r="AF767" s="91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0"/>
      <c r="AR767" s="90"/>
      <c r="AS767" s="90"/>
      <c r="AT767" s="90"/>
      <c r="AU767" s="90"/>
      <c r="AV767" s="58"/>
      <c r="AW767" s="58"/>
      <c r="AX767" s="58"/>
      <c r="AY767" s="58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</row>
    <row r="768" spans="1:71" ht="15.75" customHeight="1" x14ac:dyDescent="0.2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1"/>
      <c r="AD768" s="91"/>
      <c r="AE768" s="91"/>
      <c r="AF768" s="91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58"/>
      <c r="AW768" s="58"/>
      <c r="AX768" s="58"/>
      <c r="AY768" s="58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</row>
    <row r="769" spans="1:71" ht="15.75" customHeight="1" x14ac:dyDescent="0.2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1"/>
      <c r="AD769" s="91"/>
      <c r="AE769" s="91"/>
      <c r="AF769" s="91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0"/>
      <c r="AR769" s="90"/>
      <c r="AS769" s="90"/>
      <c r="AT769" s="90"/>
      <c r="AU769" s="90"/>
      <c r="AV769" s="58"/>
      <c r="AW769" s="58"/>
      <c r="AX769" s="58"/>
      <c r="AY769" s="58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</row>
    <row r="770" spans="1:71" ht="15.75" customHeight="1" x14ac:dyDescent="0.2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1"/>
      <c r="AD770" s="91"/>
      <c r="AE770" s="91"/>
      <c r="AF770" s="91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58"/>
      <c r="AW770" s="58"/>
      <c r="AX770" s="58"/>
      <c r="AY770" s="58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</row>
    <row r="771" spans="1:71" ht="15.75" customHeight="1" x14ac:dyDescent="0.2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1"/>
      <c r="AD771" s="91"/>
      <c r="AE771" s="91"/>
      <c r="AF771" s="91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0"/>
      <c r="AR771" s="90"/>
      <c r="AS771" s="90"/>
      <c r="AT771" s="90"/>
      <c r="AU771" s="90"/>
      <c r="AV771" s="58"/>
      <c r="AW771" s="58"/>
      <c r="AX771" s="58"/>
      <c r="AY771" s="58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</row>
    <row r="772" spans="1:71" ht="15.75" customHeight="1" x14ac:dyDescent="0.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1"/>
      <c r="AD772" s="91"/>
      <c r="AE772" s="91"/>
      <c r="AF772" s="91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58"/>
      <c r="AW772" s="58"/>
      <c r="AX772" s="58"/>
      <c r="AY772" s="58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</row>
    <row r="773" spans="1:71" ht="15.75" customHeight="1" x14ac:dyDescent="0.2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1"/>
      <c r="AD773" s="91"/>
      <c r="AE773" s="91"/>
      <c r="AF773" s="91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0"/>
      <c r="AR773" s="90"/>
      <c r="AS773" s="90"/>
      <c r="AT773" s="90"/>
      <c r="AU773" s="90"/>
      <c r="AV773" s="58"/>
      <c r="AW773" s="58"/>
      <c r="AX773" s="58"/>
      <c r="AY773" s="58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</row>
    <row r="774" spans="1:71" ht="15.75" customHeight="1" x14ac:dyDescent="0.2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1"/>
      <c r="AD774" s="91"/>
      <c r="AE774" s="91"/>
      <c r="AF774" s="91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58"/>
      <c r="AW774" s="58"/>
      <c r="AX774" s="58"/>
      <c r="AY774" s="58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</row>
    <row r="775" spans="1:71" ht="15.75" customHeight="1" x14ac:dyDescent="0.2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1"/>
      <c r="AD775" s="91"/>
      <c r="AE775" s="91"/>
      <c r="AF775" s="91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0"/>
      <c r="AR775" s="90"/>
      <c r="AS775" s="90"/>
      <c r="AT775" s="90"/>
      <c r="AU775" s="90"/>
      <c r="AV775" s="58"/>
      <c r="AW775" s="58"/>
      <c r="AX775" s="58"/>
      <c r="AY775" s="58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</row>
    <row r="776" spans="1:71" ht="15.75" customHeight="1" x14ac:dyDescent="0.2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1"/>
      <c r="AD776" s="91"/>
      <c r="AE776" s="91"/>
      <c r="AF776" s="91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58"/>
      <c r="AW776" s="58"/>
      <c r="AX776" s="58"/>
      <c r="AY776" s="58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</row>
    <row r="777" spans="1:71" ht="15.75" customHeight="1" x14ac:dyDescent="0.2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1"/>
      <c r="AD777" s="91"/>
      <c r="AE777" s="91"/>
      <c r="AF777" s="91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0"/>
      <c r="AR777" s="90"/>
      <c r="AS777" s="90"/>
      <c r="AT777" s="90"/>
      <c r="AU777" s="90"/>
      <c r="AV777" s="58"/>
      <c r="AW777" s="58"/>
      <c r="AX777" s="58"/>
      <c r="AY777" s="58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</row>
    <row r="778" spans="1:71" ht="15.75" customHeight="1" x14ac:dyDescent="0.2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1"/>
      <c r="AD778" s="91"/>
      <c r="AE778" s="91"/>
      <c r="AF778" s="91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58"/>
      <c r="AW778" s="58"/>
      <c r="AX778" s="58"/>
      <c r="AY778" s="58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</row>
    <row r="779" spans="1:71" ht="15.75" customHeight="1" x14ac:dyDescent="0.2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1"/>
      <c r="AD779" s="91"/>
      <c r="AE779" s="91"/>
      <c r="AF779" s="91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0"/>
      <c r="AR779" s="90"/>
      <c r="AS779" s="90"/>
      <c r="AT779" s="90"/>
      <c r="AU779" s="90"/>
      <c r="AV779" s="58"/>
      <c r="AW779" s="58"/>
      <c r="AX779" s="58"/>
      <c r="AY779" s="58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</row>
    <row r="780" spans="1:71" ht="15.75" customHeight="1" x14ac:dyDescent="0.2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1"/>
      <c r="AD780" s="91"/>
      <c r="AE780" s="91"/>
      <c r="AF780" s="91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58"/>
      <c r="AW780" s="58"/>
      <c r="AX780" s="58"/>
      <c r="AY780" s="58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</row>
    <row r="781" spans="1:71" ht="15.75" customHeight="1" x14ac:dyDescent="0.2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1"/>
      <c r="AD781" s="91"/>
      <c r="AE781" s="91"/>
      <c r="AF781" s="91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0"/>
      <c r="AR781" s="90"/>
      <c r="AS781" s="90"/>
      <c r="AT781" s="90"/>
      <c r="AU781" s="90"/>
      <c r="AV781" s="58"/>
      <c r="AW781" s="58"/>
      <c r="AX781" s="58"/>
      <c r="AY781" s="58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</row>
    <row r="782" spans="1:71" ht="15.75" customHeight="1" x14ac:dyDescent="0.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1"/>
      <c r="AD782" s="91"/>
      <c r="AE782" s="91"/>
      <c r="AF782" s="91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58"/>
      <c r="AW782" s="58"/>
      <c r="AX782" s="58"/>
      <c r="AY782" s="58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</row>
    <row r="783" spans="1:71" ht="15.75" customHeight="1" x14ac:dyDescent="0.2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1"/>
      <c r="AD783" s="91"/>
      <c r="AE783" s="91"/>
      <c r="AF783" s="91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0"/>
      <c r="AR783" s="90"/>
      <c r="AS783" s="90"/>
      <c r="AT783" s="90"/>
      <c r="AU783" s="90"/>
      <c r="AV783" s="58"/>
      <c r="AW783" s="58"/>
      <c r="AX783" s="58"/>
      <c r="AY783" s="58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</row>
    <row r="784" spans="1:71" ht="15.75" customHeight="1" x14ac:dyDescent="0.2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1"/>
      <c r="AD784" s="91"/>
      <c r="AE784" s="91"/>
      <c r="AF784" s="91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58"/>
      <c r="AW784" s="58"/>
      <c r="AX784" s="58"/>
      <c r="AY784" s="58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</row>
    <row r="785" spans="1:71" ht="15.75" customHeight="1" x14ac:dyDescent="0.2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1"/>
      <c r="AD785" s="91"/>
      <c r="AE785" s="91"/>
      <c r="AF785" s="91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0"/>
      <c r="AR785" s="90"/>
      <c r="AS785" s="90"/>
      <c r="AT785" s="90"/>
      <c r="AU785" s="90"/>
      <c r="AV785" s="58"/>
      <c r="AW785" s="58"/>
      <c r="AX785" s="58"/>
      <c r="AY785" s="58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</row>
    <row r="786" spans="1:71" ht="15.75" customHeight="1" x14ac:dyDescent="0.2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1"/>
      <c r="AD786" s="91"/>
      <c r="AE786" s="91"/>
      <c r="AF786" s="91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58"/>
      <c r="AW786" s="58"/>
      <c r="AX786" s="58"/>
      <c r="AY786" s="58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</row>
    <row r="787" spans="1:71" ht="15.75" customHeight="1" x14ac:dyDescent="0.2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1"/>
      <c r="AD787" s="91"/>
      <c r="AE787" s="91"/>
      <c r="AF787" s="91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0"/>
      <c r="AR787" s="90"/>
      <c r="AS787" s="90"/>
      <c r="AT787" s="90"/>
      <c r="AU787" s="90"/>
      <c r="AV787" s="58"/>
      <c r="AW787" s="58"/>
      <c r="AX787" s="58"/>
      <c r="AY787" s="58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</row>
    <row r="788" spans="1:71" ht="15.75" customHeight="1" x14ac:dyDescent="0.2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1"/>
      <c r="AD788" s="91"/>
      <c r="AE788" s="91"/>
      <c r="AF788" s="91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58"/>
      <c r="AW788" s="58"/>
      <c r="AX788" s="58"/>
      <c r="AY788" s="58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</row>
    <row r="789" spans="1:71" ht="15.75" customHeight="1" x14ac:dyDescent="0.2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1"/>
      <c r="AD789" s="91"/>
      <c r="AE789" s="91"/>
      <c r="AF789" s="91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0"/>
      <c r="AR789" s="90"/>
      <c r="AS789" s="90"/>
      <c r="AT789" s="90"/>
      <c r="AU789" s="90"/>
      <c r="AV789" s="58"/>
      <c r="AW789" s="58"/>
      <c r="AX789" s="58"/>
      <c r="AY789" s="58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</row>
    <row r="790" spans="1:71" ht="15.75" customHeight="1" x14ac:dyDescent="0.2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1"/>
      <c r="AD790" s="91"/>
      <c r="AE790" s="91"/>
      <c r="AF790" s="91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58"/>
      <c r="AW790" s="58"/>
      <c r="AX790" s="58"/>
      <c r="AY790" s="58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</row>
    <row r="791" spans="1:71" ht="15.75" customHeight="1" x14ac:dyDescent="0.2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1"/>
      <c r="AD791" s="91"/>
      <c r="AE791" s="91"/>
      <c r="AF791" s="91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0"/>
      <c r="AR791" s="90"/>
      <c r="AS791" s="90"/>
      <c r="AT791" s="90"/>
      <c r="AU791" s="90"/>
      <c r="AV791" s="58"/>
      <c r="AW791" s="58"/>
      <c r="AX791" s="58"/>
      <c r="AY791" s="58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</row>
    <row r="792" spans="1:71" ht="15.75" customHeight="1" x14ac:dyDescent="0.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1"/>
      <c r="AD792" s="91"/>
      <c r="AE792" s="91"/>
      <c r="AF792" s="91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58"/>
      <c r="AW792" s="58"/>
      <c r="AX792" s="58"/>
      <c r="AY792" s="58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</row>
    <row r="793" spans="1:71" ht="15.75" customHeight="1" x14ac:dyDescent="0.2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1"/>
      <c r="AD793" s="91"/>
      <c r="AE793" s="91"/>
      <c r="AF793" s="91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0"/>
      <c r="AR793" s="90"/>
      <c r="AS793" s="90"/>
      <c r="AT793" s="90"/>
      <c r="AU793" s="90"/>
      <c r="AV793" s="58"/>
      <c r="AW793" s="58"/>
      <c r="AX793" s="58"/>
      <c r="AY793" s="58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</row>
    <row r="794" spans="1:71" ht="15.75" customHeight="1" x14ac:dyDescent="0.2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1"/>
      <c r="AD794" s="91"/>
      <c r="AE794" s="91"/>
      <c r="AF794" s="91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58"/>
      <c r="AW794" s="58"/>
      <c r="AX794" s="58"/>
      <c r="AY794" s="58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</row>
    <row r="795" spans="1:71" ht="15.75" customHeight="1" x14ac:dyDescent="0.2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1"/>
      <c r="AD795" s="91"/>
      <c r="AE795" s="91"/>
      <c r="AF795" s="91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0"/>
      <c r="AR795" s="90"/>
      <c r="AS795" s="90"/>
      <c r="AT795" s="90"/>
      <c r="AU795" s="90"/>
      <c r="AV795" s="58"/>
      <c r="AW795" s="58"/>
      <c r="AX795" s="58"/>
      <c r="AY795" s="58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</row>
    <row r="796" spans="1:71" ht="15.75" customHeight="1" x14ac:dyDescent="0.2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1"/>
      <c r="AD796" s="91"/>
      <c r="AE796" s="91"/>
      <c r="AF796" s="91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58"/>
      <c r="AW796" s="58"/>
      <c r="AX796" s="58"/>
      <c r="AY796" s="58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</row>
    <row r="797" spans="1:71" ht="15.75" customHeight="1" x14ac:dyDescent="0.2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1"/>
      <c r="AD797" s="91"/>
      <c r="AE797" s="91"/>
      <c r="AF797" s="91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0"/>
      <c r="AR797" s="90"/>
      <c r="AS797" s="90"/>
      <c r="AT797" s="90"/>
      <c r="AU797" s="90"/>
      <c r="AV797" s="58"/>
      <c r="AW797" s="58"/>
      <c r="AX797" s="58"/>
      <c r="AY797" s="58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</row>
    <row r="798" spans="1:71" ht="15.75" customHeight="1" x14ac:dyDescent="0.2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1"/>
      <c r="AD798" s="91"/>
      <c r="AE798" s="91"/>
      <c r="AF798" s="91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58"/>
      <c r="AW798" s="58"/>
      <c r="AX798" s="58"/>
      <c r="AY798" s="58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</row>
    <row r="799" spans="1:71" ht="15.75" customHeight="1" x14ac:dyDescent="0.2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1"/>
      <c r="AD799" s="91"/>
      <c r="AE799" s="91"/>
      <c r="AF799" s="91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0"/>
      <c r="AR799" s="90"/>
      <c r="AS799" s="90"/>
      <c r="AT799" s="90"/>
      <c r="AU799" s="90"/>
      <c r="AV799" s="58"/>
      <c r="AW799" s="58"/>
      <c r="AX799" s="58"/>
      <c r="AY799" s="58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</row>
    <row r="800" spans="1:71" ht="15.75" customHeight="1" x14ac:dyDescent="0.2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1"/>
      <c r="AD800" s="91"/>
      <c r="AE800" s="91"/>
      <c r="AF800" s="91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58"/>
      <c r="AW800" s="58"/>
      <c r="AX800" s="58"/>
      <c r="AY800" s="58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</row>
    <row r="801" spans="1:71" ht="15.75" customHeight="1" x14ac:dyDescent="0.2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1"/>
      <c r="AD801" s="91"/>
      <c r="AE801" s="91"/>
      <c r="AF801" s="91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0"/>
      <c r="AR801" s="90"/>
      <c r="AS801" s="90"/>
      <c r="AT801" s="90"/>
      <c r="AU801" s="90"/>
      <c r="AV801" s="58"/>
      <c r="AW801" s="58"/>
      <c r="AX801" s="58"/>
      <c r="AY801" s="58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</row>
    <row r="802" spans="1:71" ht="15.75" customHeight="1" x14ac:dyDescent="0.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1"/>
      <c r="AD802" s="91"/>
      <c r="AE802" s="91"/>
      <c r="AF802" s="91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58"/>
      <c r="AW802" s="58"/>
      <c r="AX802" s="58"/>
      <c r="AY802" s="58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</row>
    <row r="803" spans="1:71" ht="15.75" customHeight="1" x14ac:dyDescent="0.2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1"/>
      <c r="AD803" s="91"/>
      <c r="AE803" s="91"/>
      <c r="AF803" s="91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0"/>
      <c r="AR803" s="90"/>
      <c r="AS803" s="90"/>
      <c r="AT803" s="90"/>
      <c r="AU803" s="90"/>
      <c r="AV803" s="58"/>
      <c r="AW803" s="58"/>
      <c r="AX803" s="58"/>
      <c r="AY803" s="58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</row>
    <row r="804" spans="1:71" ht="15.75" customHeight="1" x14ac:dyDescent="0.2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1"/>
      <c r="AD804" s="91"/>
      <c r="AE804" s="91"/>
      <c r="AF804" s="91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58"/>
      <c r="AW804" s="58"/>
      <c r="AX804" s="58"/>
      <c r="AY804" s="58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</row>
    <row r="805" spans="1:71" ht="15.75" customHeight="1" x14ac:dyDescent="0.2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1"/>
      <c r="AD805" s="91"/>
      <c r="AE805" s="91"/>
      <c r="AF805" s="91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0"/>
      <c r="AR805" s="90"/>
      <c r="AS805" s="90"/>
      <c r="AT805" s="90"/>
      <c r="AU805" s="90"/>
      <c r="AV805" s="58"/>
      <c r="AW805" s="58"/>
      <c r="AX805" s="58"/>
      <c r="AY805" s="58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</row>
    <row r="806" spans="1:71" ht="15.75" customHeight="1" x14ac:dyDescent="0.2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1"/>
      <c r="AD806" s="91"/>
      <c r="AE806" s="91"/>
      <c r="AF806" s="91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58"/>
      <c r="AW806" s="58"/>
      <c r="AX806" s="58"/>
      <c r="AY806" s="58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</row>
    <row r="807" spans="1:71" ht="15.75" customHeight="1" x14ac:dyDescent="0.2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1"/>
      <c r="AD807" s="91"/>
      <c r="AE807" s="91"/>
      <c r="AF807" s="91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0"/>
      <c r="AR807" s="90"/>
      <c r="AS807" s="90"/>
      <c r="AT807" s="90"/>
      <c r="AU807" s="90"/>
      <c r="AV807" s="58"/>
      <c r="AW807" s="58"/>
      <c r="AX807" s="58"/>
      <c r="AY807" s="58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</row>
    <row r="808" spans="1:71" ht="15.75" customHeight="1" x14ac:dyDescent="0.2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1"/>
      <c r="AD808" s="91"/>
      <c r="AE808" s="91"/>
      <c r="AF808" s="91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58"/>
      <c r="AW808" s="58"/>
      <c r="AX808" s="58"/>
      <c r="AY808" s="58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</row>
    <row r="809" spans="1:71" ht="15.75" customHeight="1" x14ac:dyDescent="0.2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1"/>
      <c r="AD809" s="91"/>
      <c r="AE809" s="91"/>
      <c r="AF809" s="91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0"/>
      <c r="AR809" s="90"/>
      <c r="AS809" s="90"/>
      <c r="AT809" s="90"/>
      <c r="AU809" s="90"/>
      <c r="AV809" s="58"/>
      <c r="AW809" s="58"/>
      <c r="AX809" s="58"/>
      <c r="AY809" s="58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</row>
    <row r="810" spans="1:71" ht="15.75" customHeight="1" x14ac:dyDescent="0.2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1"/>
      <c r="AD810" s="91"/>
      <c r="AE810" s="91"/>
      <c r="AF810" s="91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58"/>
      <c r="AW810" s="58"/>
      <c r="AX810" s="58"/>
      <c r="AY810" s="58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</row>
    <row r="811" spans="1:71" ht="15.75" customHeight="1" x14ac:dyDescent="0.2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1"/>
      <c r="AD811" s="91"/>
      <c r="AE811" s="91"/>
      <c r="AF811" s="91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0"/>
      <c r="AR811" s="90"/>
      <c r="AS811" s="90"/>
      <c r="AT811" s="90"/>
      <c r="AU811" s="90"/>
      <c r="AV811" s="58"/>
      <c r="AW811" s="58"/>
      <c r="AX811" s="58"/>
      <c r="AY811" s="58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</row>
    <row r="812" spans="1:71" ht="15.75" customHeight="1" x14ac:dyDescent="0.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1"/>
      <c r="AD812" s="91"/>
      <c r="AE812" s="91"/>
      <c r="AF812" s="91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58"/>
      <c r="AW812" s="58"/>
      <c r="AX812" s="58"/>
      <c r="AY812" s="58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</row>
    <row r="813" spans="1:71" ht="15.75" customHeight="1" x14ac:dyDescent="0.2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1"/>
      <c r="AD813" s="91"/>
      <c r="AE813" s="91"/>
      <c r="AF813" s="91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0"/>
      <c r="AR813" s="90"/>
      <c r="AS813" s="90"/>
      <c r="AT813" s="90"/>
      <c r="AU813" s="90"/>
      <c r="AV813" s="58"/>
      <c r="AW813" s="58"/>
      <c r="AX813" s="58"/>
      <c r="AY813" s="58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</row>
    <row r="814" spans="1:71" ht="15.75" customHeight="1" x14ac:dyDescent="0.2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1"/>
      <c r="AD814" s="91"/>
      <c r="AE814" s="91"/>
      <c r="AF814" s="91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58"/>
      <c r="AW814" s="58"/>
      <c r="AX814" s="58"/>
      <c r="AY814" s="58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</row>
    <row r="815" spans="1:71" ht="15.75" customHeight="1" x14ac:dyDescent="0.2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1"/>
      <c r="AD815" s="91"/>
      <c r="AE815" s="91"/>
      <c r="AF815" s="91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0"/>
      <c r="AR815" s="90"/>
      <c r="AS815" s="90"/>
      <c r="AT815" s="90"/>
      <c r="AU815" s="90"/>
      <c r="AV815" s="58"/>
      <c r="AW815" s="58"/>
      <c r="AX815" s="58"/>
      <c r="AY815" s="58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</row>
    <row r="816" spans="1:71" ht="15.75" customHeight="1" x14ac:dyDescent="0.2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1"/>
      <c r="AD816" s="91"/>
      <c r="AE816" s="91"/>
      <c r="AF816" s="91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58"/>
      <c r="AW816" s="58"/>
      <c r="AX816" s="58"/>
      <c r="AY816" s="58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</row>
    <row r="817" spans="1:71" ht="15.75" customHeight="1" x14ac:dyDescent="0.2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1"/>
      <c r="AD817" s="91"/>
      <c r="AE817" s="91"/>
      <c r="AF817" s="91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0"/>
      <c r="AR817" s="90"/>
      <c r="AS817" s="90"/>
      <c r="AT817" s="90"/>
      <c r="AU817" s="90"/>
      <c r="AV817" s="58"/>
      <c r="AW817" s="58"/>
      <c r="AX817" s="58"/>
      <c r="AY817" s="58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</row>
    <row r="818" spans="1:71" ht="15.75" customHeight="1" x14ac:dyDescent="0.2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1"/>
      <c r="AD818" s="91"/>
      <c r="AE818" s="91"/>
      <c r="AF818" s="91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58"/>
      <c r="AW818" s="58"/>
      <c r="AX818" s="58"/>
      <c r="AY818" s="58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</row>
    <row r="819" spans="1:71" ht="15.75" customHeight="1" x14ac:dyDescent="0.2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1"/>
      <c r="AD819" s="91"/>
      <c r="AE819" s="91"/>
      <c r="AF819" s="91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0"/>
      <c r="AR819" s="90"/>
      <c r="AS819" s="90"/>
      <c r="AT819" s="90"/>
      <c r="AU819" s="90"/>
      <c r="AV819" s="58"/>
      <c r="AW819" s="58"/>
      <c r="AX819" s="58"/>
      <c r="AY819" s="58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</row>
    <row r="820" spans="1:71" ht="15.75" customHeight="1" x14ac:dyDescent="0.2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1"/>
      <c r="AD820" s="91"/>
      <c r="AE820" s="91"/>
      <c r="AF820" s="91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58"/>
      <c r="AW820" s="58"/>
      <c r="AX820" s="58"/>
      <c r="AY820" s="58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</row>
    <row r="821" spans="1:71" ht="15.75" customHeight="1" x14ac:dyDescent="0.2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1"/>
      <c r="AD821" s="91"/>
      <c r="AE821" s="91"/>
      <c r="AF821" s="91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0"/>
      <c r="AR821" s="90"/>
      <c r="AS821" s="90"/>
      <c r="AT821" s="90"/>
      <c r="AU821" s="90"/>
      <c r="AV821" s="58"/>
      <c r="AW821" s="58"/>
      <c r="AX821" s="58"/>
      <c r="AY821" s="58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</row>
    <row r="822" spans="1:71" ht="15.75" customHeight="1" x14ac:dyDescent="0.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1"/>
      <c r="AD822" s="91"/>
      <c r="AE822" s="91"/>
      <c r="AF822" s="91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58"/>
      <c r="AW822" s="58"/>
      <c r="AX822" s="58"/>
      <c r="AY822" s="58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</row>
    <row r="823" spans="1:71" ht="15.75" customHeight="1" x14ac:dyDescent="0.2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1"/>
      <c r="AD823" s="91"/>
      <c r="AE823" s="91"/>
      <c r="AF823" s="91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0"/>
      <c r="AR823" s="90"/>
      <c r="AS823" s="90"/>
      <c r="AT823" s="90"/>
      <c r="AU823" s="90"/>
      <c r="AV823" s="58"/>
      <c r="AW823" s="58"/>
      <c r="AX823" s="58"/>
      <c r="AY823" s="58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</row>
    <row r="824" spans="1:71" ht="15.75" customHeight="1" x14ac:dyDescent="0.2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1"/>
      <c r="AD824" s="91"/>
      <c r="AE824" s="91"/>
      <c r="AF824" s="91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58"/>
      <c r="AW824" s="58"/>
      <c r="AX824" s="58"/>
      <c r="AY824" s="58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</row>
    <row r="825" spans="1:71" ht="15.75" customHeight="1" x14ac:dyDescent="0.2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1"/>
      <c r="AD825" s="91"/>
      <c r="AE825" s="91"/>
      <c r="AF825" s="91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0"/>
      <c r="AR825" s="90"/>
      <c r="AS825" s="90"/>
      <c r="AT825" s="90"/>
      <c r="AU825" s="90"/>
      <c r="AV825" s="58"/>
      <c r="AW825" s="58"/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</row>
    <row r="826" spans="1:71" ht="15.75" customHeight="1" x14ac:dyDescent="0.2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1"/>
      <c r="AD826" s="91"/>
      <c r="AE826" s="91"/>
      <c r="AF826" s="91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58"/>
      <c r="AW826" s="58"/>
      <c r="AX826" s="58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</row>
    <row r="827" spans="1:71" ht="15.75" customHeight="1" x14ac:dyDescent="0.2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1"/>
      <c r="AD827" s="91"/>
      <c r="AE827" s="91"/>
      <c r="AF827" s="91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0"/>
      <c r="AR827" s="90"/>
      <c r="AS827" s="90"/>
      <c r="AT827" s="90"/>
      <c r="AU827" s="90"/>
      <c r="AV827" s="58"/>
      <c r="AW827" s="58"/>
      <c r="AX827" s="58"/>
      <c r="AY827" s="58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</row>
    <row r="828" spans="1:71" ht="15.75" customHeight="1" x14ac:dyDescent="0.2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1"/>
      <c r="AD828" s="91"/>
      <c r="AE828" s="91"/>
      <c r="AF828" s="91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58"/>
      <c r="AW828" s="58"/>
      <c r="AX828" s="58"/>
      <c r="AY828" s="58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</row>
    <row r="829" spans="1:71" ht="15.75" customHeight="1" x14ac:dyDescent="0.2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1"/>
      <c r="AD829" s="91"/>
      <c r="AE829" s="91"/>
      <c r="AF829" s="91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0"/>
      <c r="AR829" s="90"/>
      <c r="AS829" s="90"/>
      <c r="AT829" s="90"/>
      <c r="AU829" s="90"/>
      <c r="AV829" s="58"/>
      <c r="AW829" s="58"/>
      <c r="AX829" s="58"/>
      <c r="AY829" s="58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</row>
    <row r="830" spans="1:71" ht="15.75" customHeight="1" x14ac:dyDescent="0.2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1"/>
      <c r="AD830" s="91"/>
      <c r="AE830" s="91"/>
      <c r="AF830" s="91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58"/>
      <c r="AW830" s="58"/>
      <c r="AX830" s="58"/>
      <c r="AY830" s="58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</row>
    <row r="831" spans="1:71" ht="15.75" customHeight="1" x14ac:dyDescent="0.2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1"/>
      <c r="AD831" s="91"/>
      <c r="AE831" s="91"/>
      <c r="AF831" s="91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0"/>
      <c r="AR831" s="90"/>
      <c r="AS831" s="90"/>
      <c r="AT831" s="90"/>
      <c r="AU831" s="90"/>
      <c r="AV831" s="58"/>
      <c r="AW831" s="58"/>
      <c r="AX831" s="58"/>
      <c r="AY831" s="58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</row>
    <row r="832" spans="1:71" ht="15.75" customHeight="1" x14ac:dyDescent="0.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1"/>
      <c r="AD832" s="91"/>
      <c r="AE832" s="91"/>
      <c r="AF832" s="91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58"/>
      <c r="AW832" s="58"/>
      <c r="AX832" s="58"/>
      <c r="AY832" s="58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</row>
    <row r="833" spans="1:71" ht="15.75" customHeight="1" x14ac:dyDescent="0.2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1"/>
      <c r="AD833" s="91"/>
      <c r="AE833" s="91"/>
      <c r="AF833" s="91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0"/>
      <c r="AR833" s="90"/>
      <c r="AS833" s="90"/>
      <c r="AT833" s="90"/>
      <c r="AU833" s="90"/>
      <c r="AV833" s="58"/>
      <c r="AW833" s="58"/>
      <c r="AX833" s="58"/>
      <c r="AY833" s="58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</row>
    <row r="834" spans="1:71" ht="15.75" customHeight="1" x14ac:dyDescent="0.2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1"/>
      <c r="AD834" s="91"/>
      <c r="AE834" s="91"/>
      <c r="AF834" s="91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58"/>
      <c r="AW834" s="58"/>
      <c r="AX834" s="58"/>
      <c r="AY834" s="58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</row>
    <row r="835" spans="1:71" ht="15.75" customHeight="1" x14ac:dyDescent="0.2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1"/>
      <c r="AD835" s="91"/>
      <c r="AE835" s="91"/>
      <c r="AF835" s="91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0"/>
      <c r="AR835" s="90"/>
      <c r="AS835" s="90"/>
      <c r="AT835" s="90"/>
      <c r="AU835" s="90"/>
      <c r="AV835" s="58"/>
      <c r="AW835" s="58"/>
      <c r="AX835" s="58"/>
      <c r="AY835" s="58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</row>
    <row r="836" spans="1:71" ht="15.75" customHeight="1" x14ac:dyDescent="0.2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1"/>
      <c r="AD836" s="91"/>
      <c r="AE836" s="91"/>
      <c r="AF836" s="91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58"/>
      <c r="AW836" s="58"/>
      <c r="AX836" s="58"/>
      <c r="AY836" s="58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</row>
    <row r="837" spans="1:71" ht="15.75" customHeight="1" x14ac:dyDescent="0.2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1"/>
      <c r="AD837" s="91"/>
      <c r="AE837" s="91"/>
      <c r="AF837" s="91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0"/>
      <c r="AR837" s="90"/>
      <c r="AS837" s="90"/>
      <c r="AT837" s="90"/>
      <c r="AU837" s="90"/>
      <c r="AV837" s="58"/>
      <c r="AW837" s="58"/>
      <c r="AX837" s="58"/>
      <c r="AY837" s="58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</row>
    <row r="838" spans="1:71" ht="15.75" customHeight="1" x14ac:dyDescent="0.2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1"/>
      <c r="AD838" s="91"/>
      <c r="AE838" s="91"/>
      <c r="AF838" s="91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58"/>
      <c r="AW838" s="58"/>
      <c r="AX838" s="58"/>
      <c r="AY838" s="58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</row>
    <row r="839" spans="1:71" ht="15.75" customHeight="1" x14ac:dyDescent="0.2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1"/>
      <c r="AD839" s="91"/>
      <c r="AE839" s="91"/>
      <c r="AF839" s="91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0"/>
      <c r="AR839" s="90"/>
      <c r="AS839" s="90"/>
      <c r="AT839" s="90"/>
      <c r="AU839" s="90"/>
      <c r="AV839" s="58"/>
      <c r="AW839" s="58"/>
      <c r="AX839" s="58"/>
      <c r="AY839" s="58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</row>
    <row r="840" spans="1:71" ht="15.75" customHeight="1" x14ac:dyDescent="0.2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1"/>
      <c r="AD840" s="91"/>
      <c r="AE840" s="91"/>
      <c r="AF840" s="91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58"/>
      <c r="AW840" s="58"/>
      <c r="AX840" s="58"/>
      <c r="AY840" s="58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</row>
    <row r="841" spans="1:71" ht="15.75" customHeight="1" x14ac:dyDescent="0.2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1"/>
      <c r="AD841" s="91"/>
      <c r="AE841" s="91"/>
      <c r="AF841" s="91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0"/>
      <c r="AR841" s="90"/>
      <c r="AS841" s="90"/>
      <c r="AT841" s="90"/>
      <c r="AU841" s="90"/>
      <c r="AV841" s="58"/>
      <c r="AW841" s="58"/>
      <c r="AX841" s="58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</row>
    <row r="842" spans="1:71" ht="15.75" customHeight="1" x14ac:dyDescent="0.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1"/>
      <c r="AD842" s="91"/>
      <c r="AE842" s="91"/>
      <c r="AF842" s="91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58"/>
      <c r="AW842" s="58"/>
      <c r="AX842" s="58"/>
      <c r="AY842" s="58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</row>
    <row r="843" spans="1:71" ht="15.75" customHeight="1" x14ac:dyDescent="0.2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1"/>
      <c r="AD843" s="91"/>
      <c r="AE843" s="91"/>
      <c r="AF843" s="91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0"/>
      <c r="AR843" s="90"/>
      <c r="AS843" s="90"/>
      <c r="AT843" s="90"/>
      <c r="AU843" s="90"/>
      <c r="AV843" s="58"/>
      <c r="AW843" s="58"/>
      <c r="AX843" s="58"/>
      <c r="AY843" s="58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</row>
    <row r="844" spans="1:71" ht="15.75" customHeight="1" x14ac:dyDescent="0.2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1"/>
      <c r="AD844" s="91"/>
      <c r="AE844" s="91"/>
      <c r="AF844" s="91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58"/>
      <c r="AW844" s="58"/>
      <c r="AX844" s="58"/>
      <c r="AY844" s="58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</row>
    <row r="845" spans="1:71" ht="15.75" customHeight="1" x14ac:dyDescent="0.2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1"/>
      <c r="AD845" s="91"/>
      <c r="AE845" s="91"/>
      <c r="AF845" s="91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0"/>
      <c r="AR845" s="90"/>
      <c r="AS845" s="90"/>
      <c r="AT845" s="90"/>
      <c r="AU845" s="90"/>
      <c r="AV845" s="58"/>
      <c r="AW845" s="58"/>
      <c r="AX845" s="58"/>
      <c r="AY845" s="58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</row>
    <row r="846" spans="1:71" ht="15.75" customHeight="1" x14ac:dyDescent="0.2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1"/>
      <c r="AD846" s="91"/>
      <c r="AE846" s="91"/>
      <c r="AF846" s="91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58"/>
      <c r="AW846" s="58"/>
      <c r="AX846" s="58"/>
      <c r="AY846" s="58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</row>
    <row r="847" spans="1:71" ht="15.75" customHeight="1" x14ac:dyDescent="0.2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1"/>
      <c r="AD847" s="91"/>
      <c r="AE847" s="91"/>
      <c r="AF847" s="91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0"/>
      <c r="AR847" s="90"/>
      <c r="AS847" s="90"/>
      <c r="AT847" s="90"/>
      <c r="AU847" s="90"/>
      <c r="AV847" s="58"/>
      <c r="AW847" s="58"/>
      <c r="AX847" s="58"/>
      <c r="AY847" s="58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</row>
    <row r="848" spans="1:71" ht="15.75" customHeight="1" x14ac:dyDescent="0.2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1"/>
      <c r="AD848" s="91"/>
      <c r="AE848" s="91"/>
      <c r="AF848" s="91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58"/>
      <c r="AW848" s="58"/>
      <c r="AX848" s="58"/>
      <c r="AY848" s="58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</row>
    <row r="849" spans="1:71" ht="15.75" customHeight="1" x14ac:dyDescent="0.2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1"/>
      <c r="AD849" s="91"/>
      <c r="AE849" s="91"/>
      <c r="AF849" s="91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0"/>
      <c r="AR849" s="90"/>
      <c r="AS849" s="90"/>
      <c r="AT849" s="90"/>
      <c r="AU849" s="90"/>
      <c r="AV849" s="58"/>
      <c r="AW849" s="58"/>
      <c r="AX849" s="58"/>
      <c r="AY849" s="58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</row>
    <row r="850" spans="1:71" ht="15.75" customHeight="1" x14ac:dyDescent="0.2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1"/>
      <c r="AD850" s="91"/>
      <c r="AE850" s="91"/>
      <c r="AF850" s="91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58"/>
      <c r="AW850" s="58"/>
      <c r="AX850" s="58"/>
      <c r="AY850" s="58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</row>
    <row r="851" spans="1:71" ht="15.75" customHeight="1" x14ac:dyDescent="0.2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1"/>
      <c r="AD851" s="91"/>
      <c r="AE851" s="91"/>
      <c r="AF851" s="91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0"/>
      <c r="AR851" s="90"/>
      <c r="AS851" s="90"/>
      <c r="AT851" s="90"/>
      <c r="AU851" s="90"/>
      <c r="AV851" s="58"/>
      <c r="AW851" s="58"/>
      <c r="AX851" s="58"/>
      <c r="AY851" s="58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</row>
    <row r="852" spans="1:71" ht="15.75" customHeight="1" x14ac:dyDescent="0.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1"/>
      <c r="AD852" s="91"/>
      <c r="AE852" s="91"/>
      <c r="AF852" s="91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58"/>
      <c r="AW852" s="58"/>
      <c r="AX852" s="58"/>
      <c r="AY852" s="58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</row>
    <row r="853" spans="1:71" ht="15.75" customHeight="1" x14ac:dyDescent="0.2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1"/>
      <c r="AD853" s="91"/>
      <c r="AE853" s="91"/>
      <c r="AF853" s="91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0"/>
      <c r="AR853" s="90"/>
      <c r="AS853" s="90"/>
      <c r="AT853" s="90"/>
      <c r="AU853" s="90"/>
      <c r="AV853" s="58"/>
      <c r="AW853" s="58"/>
      <c r="AX853" s="58"/>
      <c r="AY853" s="58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</row>
    <row r="854" spans="1:71" ht="15.75" customHeight="1" x14ac:dyDescent="0.2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1"/>
      <c r="AD854" s="91"/>
      <c r="AE854" s="91"/>
      <c r="AF854" s="91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58"/>
      <c r="AW854" s="58"/>
      <c r="AX854" s="58"/>
      <c r="AY854" s="58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</row>
    <row r="855" spans="1:71" ht="15.75" customHeight="1" x14ac:dyDescent="0.2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1"/>
      <c r="AD855" s="91"/>
      <c r="AE855" s="91"/>
      <c r="AF855" s="91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0"/>
      <c r="AR855" s="90"/>
      <c r="AS855" s="90"/>
      <c r="AT855" s="90"/>
      <c r="AU855" s="90"/>
      <c r="AV855" s="58"/>
      <c r="AW855" s="58"/>
      <c r="AX855" s="58"/>
      <c r="AY855" s="58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</row>
    <row r="856" spans="1:71" ht="15.75" customHeight="1" x14ac:dyDescent="0.2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1"/>
      <c r="AD856" s="91"/>
      <c r="AE856" s="91"/>
      <c r="AF856" s="91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58"/>
      <c r="AW856" s="58"/>
      <c r="AX856" s="58"/>
      <c r="AY856" s="58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</row>
    <row r="857" spans="1:71" ht="15.75" customHeight="1" x14ac:dyDescent="0.2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1"/>
      <c r="AD857" s="91"/>
      <c r="AE857" s="91"/>
      <c r="AF857" s="91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0"/>
      <c r="AR857" s="90"/>
      <c r="AS857" s="90"/>
      <c r="AT857" s="90"/>
      <c r="AU857" s="90"/>
      <c r="AV857" s="58"/>
      <c r="AW857" s="58"/>
      <c r="AX857" s="58"/>
      <c r="AY857" s="58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</row>
    <row r="858" spans="1:71" ht="15.75" customHeight="1" x14ac:dyDescent="0.2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1"/>
      <c r="AD858" s="91"/>
      <c r="AE858" s="91"/>
      <c r="AF858" s="91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58"/>
      <c r="AW858" s="58"/>
      <c r="AX858" s="58"/>
      <c r="AY858" s="58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</row>
    <row r="859" spans="1:71" ht="15.75" customHeight="1" x14ac:dyDescent="0.2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1"/>
      <c r="AD859" s="91"/>
      <c r="AE859" s="91"/>
      <c r="AF859" s="91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0"/>
      <c r="AR859" s="90"/>
      <c r="AS859" s="90"/>
      <c r="AT859" s="90"/>
      <c r="AU859" s="90"/>
      <c r="AV859" s="58"/>
      <c r="AW859" s="58"/>
      <c r="AX859" s="58"/>
      <c r="AY859" s="58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</row>
    <row r="860" spans="1:71" ht="15.75" customHeight="1" x14ac:dyDescent="0.2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1"/>
      <c r="AD860" s="91"/>
      <c r="AE860" s="91"/>
      <c r="AF860" s="91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58"/>
      <c r="AW860" s="58"/>
      <c r="AX860" s="58"/>
      <c r="AY860" s="58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</row>
    <row r="861" spans="1:71" ht="15.75" customHeight="1" x14ac:dyDescent="0.2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1"/>
      <c r="AD861" s="91"/>
      <c r="AE861" s="91"/>
      <c r="AF861" s="91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0"/>
      <c r="AR861" s="90"/>
      <c r="AS861" s="90"/>
      <c r="AT861" s="90"/>
      <c r="AU861" s="90"/>
      <c r="AV861" s="58"/>
      <c r="AW861" s="58"/>
      <c r="AX861" s="58"/>
      <c r="AY861" s="58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</row>
    <row r="862" spans="1:71" ht="15.75" customHeight="1" x14ac:dyDescent="0.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1"/>
      <c r="AD862" s="91"/>
      <c r="AE862" s="91"/>
      <c r="AF862" s="91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58"/>
      <c r="AW862" s="58"/>
      <c r="AX862" s="58"/>
      <c r="AY862" s="58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</row>
    <row r="863" spans="1:71" ht="15.75" customHeight="1" x14ac:dyDescent="0.2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1"/>
      <c r="AD863" s="91"/>
      <c r="AE863" s="91"/>
      <c r="AF863" s="91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0"/>
      <c r="AR863" s="90"/>
      <c r="AS863" s="90"/>
      <c r="AT863" s="90"/>
      <c r="AU863" s="90"/>
      <c r="AV863" s="58"/>
      <c r="AW863" s="58"/>
      <c r="AX863" s="58"/>
      <c r="AY863" s="58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</row>
    <row r="864" spans="1:71" ht="15.75" customHeight="1" x14ac:dyDescent="0.2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1"/>
      <c r="AD864" s="91"/>
      <c r="AE864" s="91"/>
      <c r="AF864" s="91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58"/>
      <c r="AW864" s="58"/>
      <c r="AX864" s="58"/>
      <c r="AY864" s="58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</row>
    <row r="865" spans="1:71" ht="15.75" customHeight="1" x14ac:dyDescent="0.2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1"/>
      <c r="AD865" s="91"/>
      <c r="AE865" s="91"/>
      <c r="AF865" s="91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0"/>
      <c r="AR865" s="90"/>
      <c r="AS865" s="90"/>
      <c r="AT865" s="90"/>
      <c r="AU865" s="90"/>
      <c r="AV865" s="58"/>
      <c r="AW865" s="58"/>
      <c r="AX865" s="58"/>
      <c r="AY865" s="58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</row>
    <row r="866" spans="1:71" ht="15.75" customHeight="1" x14ac:dyDescent="0.2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1"/>
      <c r="AD866" s="91"/>
      <c r="AE866" s="91"/>
      <c r="AF866" s="91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58"/>
      <c r="AW866" s="58"/>
      <c r="AX866" s="58"/>
      <c r="AY866" s="58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</row>
    <row r="867" spans="1:71" ht="15.75" customHeight="1" x14ac:dyDescent="0.2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1"/>
      <c r="AD867" s="91"/>
      <c r="AE867" s="91"/>
      <c r="AF867" s="91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0"/>
      <c r="AR867" s="90"/>
      <c r="AS867" s="90"/>
      <c r="AT867" s="90"/>
      <c r="AU867" s="90"/>
      <c r="AV867" s="58"/>
      <c r="AW867" s="58"/>
      <c r="AX867" s="58"/>
      <c r="AY867" s="58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</row>
    <row r="868" spans="1:71" ht="15.75" customHeight="1" x14ac:dyDescent="0.2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1"/>
      <c r="AD868" s="91"/>
      <c r="AE868" s="91"/>
      <c r="AF868" s="91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58"/>
      <c r="AW868" s="58"/>
      <c r="AX868" s="58"/>
      <c r="AY868" s="58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</row>
    <row r="869" spans="1:71" ht="15.75" customHeight="1" x14ac:dyDescent="0.2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1"/>
      <c r="AD869" s="91"/>
      <c r="AE869" s="91"/>
      <c r="AF869" s="91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0"/>
      <c r="AR869" s="90"/>
      <c r="AS869" s="90"/>
      <c r="AT869" s="90"/>
      <c r="AU869" s="90"/>
      <c r="AV869" s="58"/>
      <c r="AW869" s="58"/>
      <c r="AX869" s="58"/>
      <c r="AY869" s="58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</row>
    <row r="870" spans="1:71" ht="15.75" customHeight="1" x14ac:dyDescent="0.2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1"/>
      <c r="AD870" s="91"/>
      <c r="AE870" s="91"/>
      <c r="AF870" s="91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58"/>
      <c r="AW870" s="58"/>
      <c r="AX870" s="58"/>
      <c r="AY870" s="58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</row>
    <row r="871" spans="1:71" ht="15.75" customHeight="1" x14ac:dyDescent="0.2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1"/>
      <c r="AD871" s="91"/>
      <c r="AE871" s="91"/>
      <c r="AF871" s="91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0"/>
      <c r="AR871" s="90"/>
      <c r="AS871" s="90"/>
      <c r="AT871" s="90"/>
      <c r="AU871" s="90"/>
      <c r="AV871" s="58"/>
      <c r="AW871" s="58"/>
      <c r="AX871" s="58"/>
      <c r="AY871" s="58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</row>
    <row r="872" spans="1:71" ht="15.75" customHeight="1" x14ac:dyDescent="0.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1"/>
      <c r="AD872" s="91"/>
      <c r="AE872" s="91"/>
      <c r="AF872" s="91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58"/>
      <c r="AW872" s="58"/>
      <c r="AX872" s="58"/>
      <c r="AY872" s="58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</row>
    <row r="873" spans="1:71" ht="15.75" customHeight="1" x14ac:dyDescent="0.2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1"/>
      <c r="AD873" s="91"/>
      <c r="AE873" s="91"/>
      <c r="AF873" s="91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0"/>
      <c r="AR873" s="90"/>
      <c r="AS873" s="90"/>
      <c r="AT873" s="90"/>
      <c r="AU873" s="90"/>
      <c r="AV873" s="58"/>
      <c r="AW873" s="58"/>
      <c r="AX873" s="58"/>
      <c r="AY873" s="58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</row>
    <row r="874" spans="1:71" ht="15.75" customHeight="1" x14ac:dyDescent="0.2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1"/>
      <c r="AD874" s="91"/>
      <c r="AE874" s="91"/>
      <c r="AF874" s="91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58"/>
      <c r="AW874" s="58"/>
      <c r="AX874" s="58"/>
      <c r="AY874" s="58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</row>
    <row r="875" spans="1:71" ht="15.75" customHeight="1" x14ac:dyDescent="0.2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1"/>
      <c r="AD875" s="91"/>
      <c r="AE875" s="91"/>
      <c r="AF875" s="91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0"/>
      <c r="AR875" s="90"/>
      <c r="AS875" s="90"/>
      <c r="AT875" s="90"/>
      <c r="AU875" s="90"/>
      <c r="AV875" s="58"/>
      <c r="AW875" s="58"/>
      <c r="AX875" s="58"/>
      <c r="AY875" s="58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</row>
    <row r="876" spans="1:71" ht="15.75" customHeight="1" x14ac:dyDescent="0.2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1"/>
      <c r="AD876" s="91"/>
      <c r="AE876" s="91"/>
      <c r="AF876" s="91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58"/>
      <c r="AW876" s="58"/>
      <c r="AX876" s="58"/>
      <c r="AY876" s="58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</row>
    <row r="877" spans="1:71" ht="15.75" customHeight="1" x14ac:dyDescent="0.2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1"/>
      <c r="AD877" s="91"/>
      <c r="AE877" s="91"/>
      <c r="AF877" s="91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0"/>
      <c r="AR877" s="90"/>
      <c r="AS877" s="90"/>
      <c r="AT877" s="90"/>
      <c r="AU877" s="90"/>
      <c r="AV877" s="58"/>
      <c r="AW877" s="58"/>
      <c r="AX877" s="58"/>
      <c r="AY877" s="58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</row>
    <row r="878" spans="1:71" ht="15.75" customHeight="1" x14ac:dyDescent="0.2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1"/>
      <c r="AD878" s="91"/>
      <c r="AE878" s="91"/>
      <c r="AF878" s="91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58"/>
      <c r="AW878" s="58"/>
      <c r="AX878" s="58"/>
      <c r="AY878" s="58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</row>
    <row r="879" spans="1:71" ht="15.75" customHeight="1" x14ac:dyDescent="0.2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1"/>
      <c r="AD879" s="91"/>
      <c r="AE879" s="91"/>
      <c r="AF879" s="91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0"/>
      <c r="AR879" s="90"/>
      <c r="AS879" s="90"/>
      <c r="AT879" s="90"/>
      <c r="AU879" s="90"/>
      <c r="AV879" s="58"/>
      <c r="AW879" s="58"/>
      <c r="AX879" s="58"/>
      <c r="AY879" s="58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</row>
    <row r="880" spans="1:71" ht="15.75" customHeight="1" x14ac:dyDescent="0.2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1"/>
      <c r="AD880" s="91"/>
      <c r="AE880" s="91"/>
      <c r="AF880" s="91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58"/>
      <c r="AW880" s="58"/>
      <c r="AX880" s="58"/>
      <c r="AY880" s="58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</row>
    <row r="881" spans="1:71" ht="15.75" customHeight="1" x14ac:dyDescent="0.2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1"/>
      <c r="AD881" s="91"/>
      <c r="AE881" s="91"/>
      <c r="AF881" s="91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0"/>
      <c r="AR881" s="90"/>
      <c r="AS881" s="90"/>
      <c r="AT881" s="90"/>
      <c r="AU881" s="90"/>
      <c r="AV881" s="58"/>
      <c r="AW881" s="58"/>
      <c r="AX881" s="58"/>
      <c r="AY881" s="58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</row>
    <row r="882" spans="1:71" ht="15.75" customHeight="1" x14ac:dyDescent="0.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1"/>
      <c r="AD882" s="91"/>
      <c r="AE882" s="91"/>
      <c r="AF882" s="91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58"/>
      <c r="AW882" s="58"/>
      <c r="AX882" s="58"/>
      <c r="AY882" s="58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</row>
    <row r="883" spans="1:71" ht="15.75" customHeight="1" x14ac:dyDescent="0.2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1"/>
      <c r="AD883" s="91"/>
      <c r="AE883" s="91"/>
      <c r="AF883" s="91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0"/>
      <c r="AR883" s="90"/>
      <c r="AS883" s="90"/>
      <c r="AT883" s="90"/>
      <c r="AU883" s="90"/>
      <c r="AV883" s="58"/>
      <c r="AW883" s="58"/>
      <c r="AX883" s="58"/>
      <c r="AY883" s="58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</row>
    <row r="884" spans="1:71" ht="15.75" customHeight="1" x14ac:dyDescent="0.2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1"/>
      <c r="AD884" s="91"/>
      <c r="AE884" s="91"/>
      <c r="AF884" s="91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58"/>
      <c r="AW884" s="58"/>
      <c r="AX884" s="58"/>
      <c r="AY884" s="58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</row>
    <row r="885" spans="1:71" ht="15.75" customHeight="1" x14ac:dyDescent="0.2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1"/>
      <c r="AD885" s="91"/>
      <c r="AE885" s="91"/>
      <c r="AF885" s="91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0"/>
      <c r="AR885" s="90"/>
      <c r="AS885" s="90"/>
      <c r="AT885" s="90"/>
      <c r="AU885" s="90"/>
      <c r="AV885" s="58"/>
      <c r="AW885" s="58"/>
      <c r="AX885" s="58"/>
      <c r="AY885" s="58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</row>
    <row r="886" spans="1:71" ht="15.75" customHeight="1" x14ac:dyDescent="0.2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1"/>
      <c r="AD886" s="91"/>
      <c r="AE886" s="91"/>
      <c r="AF886" s="91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58"/>
      <c r="AW886" s="58"/>
      <c r="AX886" s="58"/>
      <c r="AY886" s="58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</row>
    <row r="887" spans="1:71" ht="15.75" customHeight="1" x14ac:dyDescent="0.2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1"/>
      <c r="AD887" s="91"/>
      <c r="AE887" s="91"/>
      <c r="AF887" s="91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0"/>
      <c r="AR887" s="90"/>
      <c r="AS887" s="90"/>
      <c r="AT887" s="90"/>
      <c r="AU887" s="90"/>
      <c r="AV887" s="58"/>
      <c r="AW887" s="58"/>
      <c r="AX887" s="58"/>
      <c r="AY887" s="58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</row>
    <row r="888" spans="1:71" ht="15.75" customHeight="1" x14ac:dyDescent="0.2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1"/>
      <c r="AD888" s="91"/>
      <c r="AE888" s="91"/>
      <c r="AF888" s="91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58"/>
      <c r="AW888" s="58"/>
      <c r="AX888" s="58"/>
      <c r="AY888" s="58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</row>
    <row r="889" spans="1:71" ht="15.75" customHeight="1" x14ac:dyDescent="0.2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1"/>
      <c r="AD889" s="91"/>
      <c r="AE889" s="91"/>
      <c r="AF889" s="91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0"/>
      <c r="AR889" s="90"/>
      <c r="AS889" s="90"/>
      <c r="AT889" s="90"/>
      <c r="AU889" s="90"/>
      <c r="AV889" s="58"/>
      <c r="AW889" s="58"/>
      <c r="AX889" s="58"/>
      <c r="AY889" s="58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</row>
    <row r="890" spans="1:71" ht="15.75" customHeight="1" x14ac:dyDescent="0.2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1"/>
      <c r="AD890" s="91"/>
      <c r="AE890" s="91"/>
      <c r="AF890" s="91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58"/>
      <c r="AW890" s="58"/>
      <c r="AX890" s="58"/>
      <c r="AY890" s="58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</row>
    <row r="891" spans="1:71" ht="15.75" customHeight="1" x14ac:dyDescent="0.2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1"/>
      <c r="AD891" s="91"/>
      <c r="AE891" s="91"/>
      <c r="AF891" s="91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0"/>
      <c r="AR891" s="90"/>
      <c r="AS891" s="90"/>
      <c r="AT891" s="90"/>
      <c r="AU891" s="90"/>
      <c r="AV891" s="58"/>
      <c r="AW891" s="58"/>
      <c r="AX891" s="58"/>
      <c r="AY891" s="58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</row>
    <row r="892" spans="1:71" ht="15.75" customHeight="1" x14ac:dyDescent="0.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1"/>
      <c r="AD892" s="91"/>
      <c r="AE892" s="91"/>
      <c r="AF892" s="91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58"/>
      <c r="AW892" s="58"/>
      <c r="AX892" s="58"/>
      <c r="AY892" s="58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</row>
    <row r="893" spans="1:71" ht="15.75" customHeight="1" x14ac:dyDescent="0.2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1"/>
      <c r="AD893" s="91"/>
      <c r="AE893" s="91"/>
      <c r="AF893" s="91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0"/>
      <c r="AR893" s="90"/>
      <c r="AS893" s="90"/>
      <c r="AT893" s="90"/>
      <c r="AU893" s="90"/>
      <c r="AV893" s="58"/>
      <c r="AW893" s="58"/>
      <c r="AX893" s="58"/>
      <c r="AY893" s="58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</row>
    <row r="894" spans="1:71" ht="15.75" customHeight="1" x14ac:dyDescent="0.2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1"/>
      <c r="AD894" s="91"/>
      <c r="AE894" s="91"/>
      <c r="AF894" s="91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58"/>
      <c r="AW894" s="58"/>
      <c r="AX894" s="58"/>
      <c r="AY894" s="58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</row>
    <row r="895" spans="1:71" ht="15.75" customHeight="1" x14ac:dyDescent="0.2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1"/>
      <c r="AD895" s="91"/>
      <c r="AE895" s="91"/>
      <c r="AF895" s="91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0"/>
      <c r="AR895" s="90"/>
      <c r="AS895" s="90"/>
      <c r="AT895" s="90"/>
      <c r="AU895" s="90"/>
      <c r="AV895" s="58"/>
      <c r="AW895" s="58"/>
      <c r="AX895" s="58"/>
      <c r="AY895" s="58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</row>
    <row r="896" spans="1:71" ht="15.75" customHeight="1" x14ac:dyDescent="0.2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1"/>
      <c r="AD896" s="91"/>
      <c r="AE896" s="91"/>
      <c r="AF896" s="91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58"/>
      <c r="AW896" s="58"/>
      <c r="AX896" s="58"/>
      <c r="AY896" s="58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</row>
    <row r="897" spans="1:71" ht="15.75" customHeight="1" x14ac:dyDescent="0.2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1"/>
      <c r="AD897" s="91"/>
      <c r="AE897" s="91"/>
      <c r="AF897" s="91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0"/>
      <c r="AR897" s="90"/>
      <c r="AS897" s="90"/>
      <c r="AT897" s="90"/>
      <c r="AU897" s="90"/>
      <c r="AV897" s="58"/>
      <c r="AW897" s="58"/>
      <c r="AX897" s="58"/>
      <c r="AY897" s="58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</row>
    <row r="898" spans="1:71" ht="15.75" customHeight="1" x14ac:dyDescent="0.2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1"/>
      <c r="AD898" s="91"/>
      <c r="AE898" s="91"/>
      <c r="AF898" s="91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58"/>
      <c r="AW898" s="58"/>
      <c r="AX898" s="58"/>
      <c r="AY898" s="58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</row>
    <row r="899" spans="1:71" ht="15.75" customHeight="1" x14ac:dyDescent="0.2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1"/>
      <c r="AD899" s="91"/>
      <c r="AE899" s="91"/>
      <c r="AF899" s="91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0"/>
      <c r="AR899" s="90"/>
      <c r="AS899" s="90"/>
      <c r="AT899" s="90"/>
      <c r="AU899" s="90"/>
      <c r="AV899" s="58"/>
      <c r="AW899" s="58"/>
      <c r="AX899" s="58"/>
      <c r="AY899" s="58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</row>
    <row r="900" spans="1:71" ht="15.75" customHeight="1" x14ac:dyDescent="0.2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1"/>
      <c r="AD900" s="91"/>
      <c r="AE900" s="91"/>
      <c r="AF900" s="91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58"/>
      <c r="AW900" s="58"/>
      <c r="AX900" s="58"/>
      <c r="AY900" s="58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</row>
    <row r="901" spans="1:71" ht="15.75" customHeight="1" x14ac:dyDescent="0.2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1"/>
      <c r="AD901" s="91"/>
      <c r="AE901" s="91"/>
      <c r="AF901" s="91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0"/>
      <c r="AR901" s="90"/>
      <c r="AS901" s="90"/>
      <c r="AT901" s="90"/>
      <c r="AU901" s="90"/>
      <c r="AV901" s="58"/>
      <c r="AW901" s="58"/>
      <c r="AX901" s="58"/>
      <c r="AY901" s="58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</row>
    <row r="902" spans="1:71" ht="15.75" customHeight="1" x14ac:dyDescent="0.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1"/>
      <c r="AD902" s="91"/>
      <c r="AE902" s="91"/>
      <c r="AF902" s="91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58"/>
      <c r="AW902" s="58"/>
      <c r="AX902" s="58"/>
      <c r="AY902" s="58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</row>
    <row r="903" spans="1:71" ht="15.75" customHeight="1" x14ac:dyDescent="0.2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1"/>
      <c r="AD903" s="91"/>
      <c r="AE903" s="91"/>
      <c r="AF903" s="91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0"/>
      <c r="AR903" s="90"/>
      <c r="AS903" s="90"/>
      <c r="AT903" s="90"/>
      <c r="AU903" s="90"/>
      <c r="AV903" s="58"/>
      <c r="AW903" s="58"/>
      <c r="AX903" s="58"/>
      <c r="AY903" s="58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</row>
    <row r="904" spans="1:71" ht="15.75" customHeight="1" x14ac:dyDescent="0.2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1"/>
      <c r="AD904" s="91"/>
      <c r="AE904" s="91"/>
      <c r="AF904" s="91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58"/>
      <c r="AW904" s="58"/>
      <c r="AX904" s="58"/>
      <c r="AY904" s="58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</row>
    <row r="905" spans="1:71" ht="15.75" customHeight="1" x14ac:dyDescent="0.2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1"/>
      <c r="AD905" s="91"/>
      <c r="AE905" s="91"/>
      <c r="AF905" s="91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0"/>
      <c r="AR905" s="90"/>
      <c r="AS905" s="90"/>
      <c r="AT905" s="90"/>
      <c r="AU905" s="90"/>
      <c r="AV905" s="58"/>
      <c r="AW905" s="58"/>
      <c r="AX905" s="58"/>
      <c r="AY905" s="58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</row>
    <row r="906" spans="1:71" ht="15.75" customHeight="1" x14ac:dyDescent="0.2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1"/>
      <c r="AD906" s="91"/>
      <c r="AE906" s="91"/>
      <c r="AF906" s="91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58"/>
      <c r="AW906" s="58"/>
      <c r="AX906" s="58"/>
      <c r="AY906" s="58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</row>
    <row r="907" spans="1:71" ht="15.75" customHeight="1" x14ac:dyDescent="0.2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1"/>
      <c r="AD907" s="91"/>
      <c r="AE907" s="91"/>
      <c r="AF907" s="91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0"/>
      <c r="AR907" s="90"/>
      <c r="AS907" s="90"/>
      <c r="AT907" s="90"/>
      <c r="AU907" s="90"/>
      <c r="AV907" s="58"/>
      <c r="AW907" s="58"/>
      <c r="AX907" s="58"/>
      <c r="AY907" s="58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</row>
    <row r="908" spans="1:71" ht="15.75" customHeight="1" x14ac:dyDescent="0.2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1"/>
      <c r="AD908" s="91"/>
      <c r="AE908" s="91"/>
      <c r="AF908" s="91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58"/>
      <c r="AW908" s="58"/>
      <c r="AX908" s="58"/>
      <c r="AY908" s="58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</row>
    <row r="909" spans="1:71" ht="15.75" customHeight="1" x14ac:dyDescent="0.2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1"/>
      <c r="AD909" s="91"/>
      <c r="AE909" s="91"/>
      <c r="AF909" s="91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0"/>
      <c r="AR909" s="90"/>
      <c r="AS909" s="90"/>
      <c r="AT909" s="90"/>
      <c r="AU909" s="90"/>
      <c r="AV909" s="58"/>
      <c r="AW909" s="58"/>
      <c r="AX909" s="58"/>
      <c r="AY909" s="58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</row>
    <row r="910" spans="1:71" ht="15.75" customHeight="1" x14ac:dyDescent="0.2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1"/>
      <c r="AD910" s="91"/>
      <c r="AE910" s="91"/>
      <c r="AF910" s="91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58"/>
      <c r="AW910" s="58"/>
      <c r="AX910" s="58"/>
      <c r="AY910" s="58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</row>
    <row r="911" spans="1:71" ht="15.75" customHeight="1" x14ac:dyDescent="0.2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1"/>
      <c r="AD911" s="91"/>
      <c r="AE911" s="91"/>
      <c r="AF911" s="91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0"/>
      <c r="AR911" s="90"/>
      <c r="AS911" s="90"/>
      <c r="AT911" s="90"/>
      <c r="AU911" s="90"/>
      <c r="AV911" s="58"/>
      <c r="AW911" s="58"/>
      <c r="AX911" s="58"/>
      <c r="AY911" s="58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</row>
    <row r="912" spans="1:71" ht="15.75" customHeight="1" x14ac:dyDescent="0.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1"/>
      <c r="AD912" s="91"/>
      <c r="AE912" s="91"/>
      <c r="AF912" s="91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58"/>
      <c r="AW912" s="58"/>
      <c r="AX912" s="58"/>
      <c r="AY912" s="58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</row>
    <row r="913" spans="1:71" ht="15.75" customHeight="1" x14ac:dyDescent="0.2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1"/>
      <c r="AD913" s="91"/>
      <c r="AE913" s="91"/>
      <c r="AF913" s="91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0"/>
      <c r="AR913" s="90"/>
      <c r="AS913" s="90"/>
      <c r="AT913" s="90"/>
      <c r="AU913" s="90"/>
      <c r="AV913" s="58"/>
      <c r="AW913" s="58"/>
      <c r="AX913" s="58"/>
      <c r="AY913" s="58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</row>
    <row r="914" spans="1:71" ht="15.75" customHeight="1" x14ac:dyDescent="0.2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1"/>
      <c r="AD914" s="91"/>
      <c r="AE914" s="91"/>
      <c r="AF914" s="91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58"/>
      <c r="AW914" s="58"/>
      <c r="AX914" s="58"/>
      <c r="AY914" s="58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</row>
    <row r="915" spans="1:71" ht="15.75" customHeight="1" x14ac:dyDescent="0.2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1"/>
      <c r="AD915" s="91"/>
      <c r="AE915" s="91"/>
      <c r="AF915" s="91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0"/>
      <c r="AR915" s="90"/>
      <c r="AS915" s="90"/>
      <c r="AT915" s="90"/>
      <c r="AU915" s="90"/>
      <c r="AV915" s="58"/>
      <c r="AW915" s="58"/>
      <c r="AX915" s="58"/>
      <c r="AY915" s="58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</row>
    <row r="916" spans="1:71" ht="15.75" customHeight="1" x14ac:dyDescent="0.2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1"/>
      <c r="AD916" s="91"/>
      <c r="AE916" s="91"/>
      <c r="AF916" s="91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58"/>
      <c r="AW916" s="58"/>
      <c r="AX916" s="58"/>
      <c r="AY916" s="58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</row>
    <row r="917" spans="1:71" ht="15.75" customHeight="1" x14ac:dyDescent="0.2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1"/>
      <c r="AD917" s="91"/>
      <c r="AE917" s="91"/>
      <c r="AF917" s="91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0"/>
      <c r="AR917" s="90"/>
      <c r="AS917" s="90"/>
      <c r="AT917" s="90"/>
      <c r="AU917" s="90"/>
      <c r="AV917" s="58"/>
      <c r="AW917" s="58"/>
      <c r="AX917" s="58"/>
      <c r="AY917" s="58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</row>
    <row r="918" spans="1:71" ht="15.75" customHeight="1" x14ac:dyDescent="0.2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1"/>
      <c r="AD918" s="91"/>
      <c r="AE918" s="91"/>
      <c r="AF918" s="91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58"/>
      <c r="AW918" s="58"/>
      <c r="AX918" s="58"/>
      <c r="AY918" s="58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</row>
    <row r="919" spans="1:71" ht="15.75" customHeight="1" x14ac:dyDescent="0.2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1"/>
      <c r="AD919" s="91"/>
      <c r="AE919" s="91"/>
      <c r="AF919" s="91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0"/>
      <c r="AR919" s="90"/>
      <c r="AS919" s="90"/>
      <c r="AT919" s="90"/>
      <c r="AU919" s="90"/>
      <c r="AV919" s="58"/>
      <c r="AW919" s="58"/>
      <c r="AX919" s="58"/>
      <c r="AY919" s="58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</row>
    <row r="920" spans="1:71" ht="15.75" customHeight="1" x14ac:dyDescent="0.2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1"/>
      <c r="AD920" s="91"/>
      <c r="AE920" s="91"/>
      <c r="AF920" s="91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58"/>
      <c r="AW920" s="58"/>
      <c r="AX920" s="58"/>
      <c r="AY920" s="58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</row>
    <row r="921" spans="1:71" ht="15.75" customHeight="1" x14ac:dyDescent="0.2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1"/>
      <c r="AD921" s="91"/>
      <c r="AE921" s="91"/>
      <c r="AF921" s="91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0"/>
      <c r="AR921" s="90"/>
      <c r="AS921" s="90"/>
      <c r="AT921" s="90"/>
      <c r="AU921" s="90"/>
      <c r="AV921" s="58"/>
      <c r="AW921" s="58"/>
      <c r="AX921" s="58"/>
      <c r="AY921" s="58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</row>
    <row r="922" spans="1:71" ht="15.75" customHeight="1" x14ac:dyDescent="0.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1"/>
      <c r="AD922" s="91"/>
      <c r="AE922" s="91"/>
      <c r="AF922" s="91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58"/>
      <c r="AW922" s="58"/>
      <c r="AX922" s="58"/>
      <c r="AY922" s="58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</row>
    <row r="923" spans="1:71" ht="15.75" customHeight="1" x14ac:dyDescent="0.2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1"/>
      <c r="AD923" s="91"/>
      <c r="AE923" s="91"/>
      <c r="AF923" s="91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0"/>
      <c r="AR923" s="90"/>
      <c r="AS923" s="90"/>
      <c r="AT923" s="90"/>
      <c r="AU923" s="90"/>
      <c r="AV923" s="58"/>
      <c r="AW923" s="58"/>
      <c r="AX923" s="58"/>
      <c r="AY923" s="58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</row>
    <row r="924" spans="1:71" ht="15.75" customHeight="1" x14ac:dyDescent="0.2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1"/>
      <c r="AD924" s="91"/>
      <c r="AE924" s="91"/>
      <c r="AF924" s="91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58"/>
      <c r="AW924" s="58"/>
      <c r="AX924" s="58"/>
      <c r="AY924" s="58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</row>
    <row r="925" spans="1:71" ht="15.75" customHeight="1" x14ac:dyDescent="0.2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1"/>
      <c r="AD925" s="91"/>
      <c r="AE925" s="91"/>
      <c r="AF925" s="91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0"/>
      <c r="AR925" s="90"/>
      <c r="AS925" s="90"/>
      <c r="AT925" s="90"/>
      <c r="AU925" s="90"/>
      <c r="AV925" s="58"/>
      <c r="AW925" s="58"/>
      <c r="AX925" s="58"/>
      <c r="AY925" s="58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</row>
    <row r="926" spans="1:71" ht="15.75" customHeight="1" x14ac:dyDescent="0.2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1"/>
      <c r="AD926" s="91"/>
      <c r="AE926" s="91"/>
      <c r="AF926" s="91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58"/>
      <c r="AW926" s="58"/>
      <c r="AX926" s="58"/>
      <c r="AY926" s="58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</row>
    <row r="927" spans="1:71" ht="15.75" customHeight="1" x14ac:dyDescent="0.2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1"/>
      <c r="AD927" s="91"/>
      <c r="AE927" s="91"/>
      <c r="AF927" s="91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0"/>
      <c r="AR927" s="90"/>
      <c r="AS927" s="90"/>
      <c r="AT927" s="90"/>
      <c r="AU927" s="90"/>
      <c r="AV927" s="58"/>
      <c r="AW927" s="58"/>
      <c r="AX927" s="58"/>
      <c r="AY927" s="58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</row>
    <row r="928" spans="1:71" ht="15.75" customHeight="1" x14ac:dyDescent="0.2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1"/>
      <c r="AD928" s="91"/>
      <c r="AE928" s="91"/>
      <c r="AF928" s="91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58"/>
      <c r="AW928" s="58"/>
      <c r="AX928" s="58"/>
      <c r="AY928" s="58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</row>
    <row r="929" spans="1:71" ht="15.75" customHeight="1" x14ac:dyDescent="0.2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1"/>
      <c r="AD929" s="91"/>
      <c r="AE929" s="91"/>
      <c r="AF929" s="91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0"/>
      <c r="AR929" s="90"/>
      <c r="AS929" s="90"/>
      <c r="AT929" s="90"/>
      <c r="AU929" s="90"/>
      <c r="AV929" s="58"/>
      <c r="AW929" s="58"/>
      <c r="AX929" s="58"/>
      <c r="AY929" s="58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</row>
    <row r="930" spans="1:71" ht="15.75" customHeight="1" x14ac:dyDescent="0.2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1"/>
      <c r="AD930" s="91"/>
      <c r="AE930" s="91"/>
      <c r="AF930" s="91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58"/>
      <c r="AW930" s="58"/>
      <c r="AX930" s="58"/>
      <c r="AY930" s="58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</row>
    <row r="931" spans="1:71" ht="15.75" customHeight="1" x14ac:dyDescent="0.2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1"/>
      <c r="AD931" s="91"/>
      <c r="AE931" s="91"/>
      <c r="AF931" s="91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0"/>
      <c r="AR931" s="90"/>
      <c r="AS931" s="90"/>
      <c r="AT931" s="90"/>
      <c r="AU931" s="90"/>
      <c r="AV931" s="58"/>
      <c r="AW931" s="58"/>
      <c r="AX931" s="58"/>
      <c r="AY931" s="58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</row>
    <row r="932" spans="1:71" ht="15.75" customHeight="1" x14ac:dyDescent="0.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1"/>
      <c r="AD932" s="91"/>
      <c r="AE932" s="91"/>
      <c r="AF932" s="91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58"/>
      <c r="AW932" s="58"/>
      <c r="AX932" s="58"/>
      <c r="AY932" s="58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</row>
    <row r="933" spans="1:71" ht="15.75" customHeight="1" x14ac:dyDescent="0.2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1"/>
      <c r="AD933" s="91"/>
      <c r="AE933" s="91"/>
      <c r="AF933" s="91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0"/>
      <c r="AR933" s="90"/>
      <c r="AS933" s="90"/>
      <c r="AT933" s="90"/>
      <c r="AU933" s="90"/>
      <c r="AV933" s="58"/>
      <c r="AW933" s="58"/>
      <c r="AX933" s="58"/>
      <c r="AY933" s="58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</row>
    <row r="934" spans="1:71" ht="15.75" customHeight="1" x14ac:dyDescent="0.2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1"/>
      <c r="AD934" s="91"/>
      <c r="AE934" s="91"/>
      <c r="AF934" s="91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58"/>
      <c r="AW934" s="58"/>
      <c r="AX934" s="58"/>
      <c r="AY934" s="58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</row>
    <row r="935" spans="1:71" ht="15.75" customHeight="1" x14ac:dyDescent="0.2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1"/>
      <c r="AD935" s="91"/>
      <c r="AE935" s="91"/>
      <c r="AF935" s="91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0"/>
      <c r="AR935" s="90"/>
      <c r="AS935" s="90"/>
      <c r="AT935" s="90"/>
      <c r="AU935" s="90"/>
      <c r="AV935" s="58"/>
      <c r="AW935" s="58"/>
      <c r="AX935" s="58"/>
      <c r="AY935" s="58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</row>
    <row r="936" spans="1:71" ht="15.75" customHeight="1" x14ac:dyDescent="0.2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1"/>
      <c r="AD936" s="91"/>
      <c r="AE936" s="91"/>
      <c r="AF936" s="91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58"/>
      <c r="AW936" s="58"/>
      <c r="AX936" s="58"/>
      <c r="AY936" s="58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</row>
    <row r="937" spans="1:71" ht="15.75" customHeight="1" x14ac:dyDescent="0.2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1"/>
      <c r="AD937" s="91"/>
      <c r="AE937" s="91"/>
      <c r="AF937" s="91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0"/>
      <c r="AR937" s="90"/>
      <c r="AS937" s="90"/>
      <c r="AT937" s="90"/>
      <c r="AU937" s="90"/>
      <c r="AV937" s="58"/>
      <c r="AW937" s="58"/>
      <c r="AX937" s="58"/>
      <c r="AY937" s="58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</row>
    <row r="938" spans="1:71" ht="15.75" customHeight="1" x14ac:dyDescent="0.2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1"/>
      <c r="AD938" s="91"/>
      <c r="AE938" s="91"/>
      <c r="AF938" s="91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58"/>
      <c r="AW938" s="58"/>
      <c r="AX938" s="58"/>
      <c r="AY938" s="58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</row>
    <row r="939" spans="1:71" ht="15.75" customHeight="1" x14ac:dyDescent="0.2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1"/>
      <c r="AD939" s="91"/>
      <c r="AE939" s="91"/>
      <c r="AF939" s="91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0"/>
      <c r="AR939" s="90"/>
      <c r="AS939" s="90"/>
      <c r="AT939" s="90"/>
      <c r="AU939" s="90"/>
      <c r="AV939" s="58"/>
      <c r="AW939" s="58"/>
      <c r="AX939" s="58"/>
      <c r="AY939" s="58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</row>
    <row r="940" spans="1:71" ht="15.75" customHeight="1" x14ac:dyDescent="0.2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1"/>
      <c r="AD940" s="91"/>
      <c r="AE940" s="91"/>
      <c r="AF940" s="91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58"/>
      <c r="AW940" s="58"/>
      <c r="AX940" s="58"/>
      <c r="AY940" s="58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</row>
    <row r="941" spans="1:71" ht="15.75" customHeight="1" x14ac:dyDescent="0.2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1"/>
      <c r="AD941" s="91"/>
      <c r="AE941" s="91"/>
      <c r="AF941" s="91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0"/>
      <c r="AR941" s="90"/>
      <c r="AS941" s="90"/>
      <c r="AT941" s="90"/>
      <c r="AU941" s="90"/>
      <c r="AV941" s="58"/>
      <c r="AW941" s="58"/>
      <c r="AX941" s="58"/>
      <c r="AY941" s="58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</row>
    <row r="942" spans="1:71" ht="15.75" customHeight="1" x14ac:dyDescent="0.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1"/>
      <c r="AD942" s="91"/>
      <c r="AE942" s="91"/>
      <c r="AF942" s="91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58"/>
      <c r="AW942" s="58"/>
      <c r="AX942" s="58"/>
      <c r="AY942" s="58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</row>
    <row r="943" spans="1:71" ht="15.75" customHeight="1" x14ac:dyDescent="0.2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1"/>
      <c r="AD943" s="91"/>
      <c r="AE943" s="91"/>
      <c r="AF943" s="91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0"/>
      <c r="AR943" s="90"/>
      <c r="AS943" s="90"/>
      <c r="AT943" s="90"/>
      <c r="AU943" s="90"/>
      <c r="AV943" s="58"/>
      <c r="AW943" s="58"/>
      <c r="AX943" s="58"/>
      <c r="AY943" s="58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</row>
    <row r="944" spans="1:71" ht="15.75" customHeight="1" x14ac:dyDescent="0.2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1"/>
      <c r="AD944" s="91"/>
      <c r="AE944" s="91"/>
      <c r="AF944" s="91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58"/>
      <c r="AW944" s="58"/>
      <c r="AX944" s="58"/>
      <c r="AY944" s="58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</row>
    <row r="945" spans="1:71" ht="15.75" customHeight="1" x14ac:dyDescent="0.2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1"/>
      <c r="AD945" s="91"/>
      <c r="AE945" s="91"/>
      <c r="AF945" s="91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0"/>
      <c r="AR945" s="90"/>
      <c r="AS945" s="90"/>
      <c r="AT945" s="90"/>
      <c r="AU945" s="90"/>
      <c r="AV945" s="58"/>
      <c r="AW945" s="58"/>
      <c r="AX945" s="58"/>
      <c r="AY945" s="58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</row>
    <row r="946" spans="1:71" ht="15.75" customHeight="1" x14ac:dyDescent="0.2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1"/>
      <c r="AD946" s="91"/>
      <c r="AE946" s="91"/>
      <c r="AF946" s="91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58"/>
      <c r="AW946" s="58"/>
      <c r="AX946" s="58"/>
      <c r="AY946" s="58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</row>
    <row r="947" spans="1:71" ht="15.75" customHeight="1" x14ac:dyDescent="0.2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1"/>
      <c r="AD947" s="91"/>
      <c r="AE947" s="91"/>
      <c r="AF947" s="91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0"/>
      <c r="AR947" s="90"/>
      <c r="AS947" s="90"/>
      <c r="AT947" s="90"/>
      <c r="AU947" s="90"/>
      <c r="AV947" s="58"/>
      <c r="AW947" s="58"/>
      <c r="AX947" s="58"/>
      <c r="AY947" s="58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</row>
    <row r="948" spans="1:71" ht="15.75" customHeight="1" x14ac:dyDescent="0.2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1"/>
      <c r="AD948" s="91"/>
      <c r="AE948" s="91"/>
      <c r="AF948" s="91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58"/>
      <c r="AW948" s="58"/>
      <c r="AX948" s="58"/>
      <c r="AY948" s="58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</row>
    <row r="949" spans="1:71" ht="15.75" customHeight="1" x14ac:dyDescent="0.2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1"/>
      <c r="AD949" s="91"/>
      <c r="AE949" s="91"/>
      <c r="AF949" s="91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0"/>
      <c r="AR949" s="90"/>
      <c r="AS949" s="90"/>
      <c r="AT949" s="90"/>
      <c r="AU949" s="90"/>
      <c r="AV949" s="58"/>
      <c r="AW949" s="58"/>
      <c r="AX949" s="58"/>
      <c r="AY949" s="58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</row>
    <row r="950" spans="1:71" ht="15.75" customHeight="1" x14ac:dyDescent="0.2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1"/>
      <c r="AD950" s="91"/>
      <c r="AE950" s="91"/>
      <c r="AF950" s="91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58"/>
      <c r="AW950" s="58"/>
      <c r="AX950" s="58"/>
      <c r="AY950" s="58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</row>
    <row r="951" spans="1:71" ht="15.75" customHeight="1" x14ac:dyDescent="0.2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1"/>
      <c r="AD951" s="91"/>
      <c r="AE951" s="91"/>
      <c r="AF951" s="91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0"/>
      <c r="AR951" s="90"/>
      <c r="AS951" s="90"/>
      <c r="AT951" s="90"/>
      <c r="AU951" s="90"/>
      <c r="AV951" s="58"/>
      <c r="AW951" s="58"/>
      <c r="AX951" s="58"/>
      <c r="AY951" s="58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</row>
    <row r="952" spans="1:71" ht="15.75" customHeight="1" x14ac:dyDescent="0.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1"/>
      <c r="AD952" s="91"/>
      <c r="AE952" s="91"/>
      <c r="AF952" s="91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58"/>
      <c r="AW952" s="58"/>
      <c r="AX952" s="58"/>
      <c r="AY952" s="58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</row>
    <row r="953" spans="1:71" ht="15.75" customHeight="1" x14ac:dyDescent="0.2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1"/>
      <c r="AD953" s="91"/>
      <c r="AE953" s="91"/>
      <c r="AF953" s="91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0"/>
      <c r="AR953" s="90"/>
      <c r="AS953" s="90"/>
      <c r="AT953" s="90"/>
      <c r="AU953" s="90"/>
      <c r="AV953" s="58"/>
      <c r="AW953" s="58"/>
      <c r="AX953" s="58"/>
      <c r="AY953" s="58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</row>
    <row r="954" spans="1:71" ht="15.75" customHeight="1" x14ac:dyDescent="0.2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1"/>
      <c r="AD954" s="91"/>
      <c r="AE954" s="91"/>
      <c r="AF954" s="91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58"/>
      <c r="AW954" s="58"/>
      <c r="AX954" s="58"/>
      <c r="AY954" s="58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</row>
    <row r="955" spans="1:71" ht="15.75" customHeight="1" x14ac:dyDescent="0.2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1"/>
      <c r="AD955" s="91"/>
      <c r="AE955" s="91"/>
      <c r="AF955" s="91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0"/>
      <c r="AR955" s="90"/>
      <c r="AS955" s="90"/>
      <c r="AT955" s="90"/>
      <c r="AU955" s="90"/>
      <c r="AV955" s="58"/>
      <c r="AW955" s="58"/>
      <c r="AX955" s="58"/>
      <c r="AY955" s="58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</row>
    <row r="956" spans="1:71" ht="15.75" customHeight="1" x14ac:dyDescent="0.2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1"/>
      <c r="AD956" s="91"/>
      <c r="AE956" s="91"/>
      <c r="AF956" s="91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58"/>
      <c r="AW956" s="58"/>
      <c r="AX956" s="58"/>
      <c r="AY956" s="58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</row>
    <row r="957" spans="1:71" ht="15.75" customHeight="1" x14ac:dyDescent="0.2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1"/>
      <c r="AD957" s="91"/>
      <c r="AE957" s="91"/>
      <c r="AF957" s="91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0"/>
      <c r="AR957" s="90"/>
      <c r="AS957" s="90"/>
      <c r="AT957" s="90"/>
      <c r="AU957" s="90"/>
      <c r="AV957" s="58"/>
      <c r="AW957" s="58"/>
      <c r="AX957" s="58"/>
      <c r="AY957" s="58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</row>
    <row r="958" spans="1:71" ht="15.75" customHeight="1" x14ac:dyDescent="0.2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1"/>
      <c r="AD958" s="91"/>
      <c r="AE958" s="91"/>
      <c r="AF958" s="91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0"/>
      <c r="AR958" s="90"/>
      <c r="AS958" s="90"/>
      <c r="AT958" s="90"/>
      <c r="AU958" s="90"/>
      <c r="AV958" s="58"/>
      <c r="AW958" s="58"/>
      <c r="AX958" s="58"/>
      <c r="AY958" s="58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</row>
    <row r="959" spans="1:71" ht="15.75" customHeight="1" x14ac:dyDescent="0.2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1"/>
      <c r="AD959" s="91"/>
      <c r="AE959" s="91"/>
      <c r="AF959" s="91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0"/>
      <c r="AR959" s="90"/>
      <c r="AS959" s="90"/>
      <c r="AT959" s="90"/>
      <c r="AU959" s="90"/>
      <c r="AV959" s="58"/>
      <c r="AW959" s="58"/>
      <c r="AX959" s="58"/>
      <c r="AY959" s="58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</row>
    <row r="960" spans="1:71" ht="15.75" customHeight="1" x14ac:dyDescent="0.2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1"/>
      <c r="AD960" s="91"/>
      <c r="AE960" s="91"/>
      <c r="AF960" s="91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0"/>
      <c r="AR960" s="90"/>
      <c r="AS960" s="90"/>
      <c r="AT960" s="90"/>
      <c r="AU960" s="90"/>
      <c r="AV960" s="58"/>
      <c r="AW960" s="58"/>
      <c r="AX960" s="58"/>
      <c r="AY960" s="58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</row>
    <row r="961" spans="1:71" ht="15.75" customHeight="1" x14ac:dyDescent="0.2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1"/>
      <c r="AD961" s="91"/>
      <c r="AE961" s="91"/>
      <c r="AF961" s="91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0"/>
      <c r="AR961" s="90"/>
      <c r="AS961" s="90"/>
      <c r="AT961" s="90"/>
      <c r="AU961" s="90"/>
      <c r="AV961" s="58"/>
      <c r="AW961" s="58"/>
      <c r="AX961" s="58"/>
      <c r="AY961" s="58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</row>
    <row r="962" spans="1:71" ht="15.75" customHeight="1" x14ac:dyDescent="0.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1"/>
      <c r="AD962" s="91"/>
      <c r="AE962" s="91"/>
      <c r="AF962" s="91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0"/>
      <c r="AR962" s="90"/>
      <c r="AS962" s="90"/>
      <c r="AT962" s="90"/>
      <c r="AU962" s="90"/>
      <c r="AV962" s="58"/>
      <c r="AW962" s="58"/>
      <c r="AX962" s="58"/>
      <c r="AY962" s="58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</row>
    <row r="963" spans="1:71" ht="15.75" customHeight="1" x14ac:dyDescent="0.2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1"/>
      <c r="AD963" s="91"/>
      <c r="AE963" s="91"/>
      <c r="AF963" s="91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0"/>
      <c r="AR963" s="90"/>
      <c r="AS963" s="90"/>
      <c r="AT963" s="90"/>
      <c r="AU963" s="90"/>
      <c r="AV963" s="58"/>
      <c r="AW963" s="58"/>
      <c r="AX963" s="58"/>
      <c r="AY963" s="58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</row>
    <row r="964" spans="1:71" ht="15.75" customHeight="1" x14ac:dyDescent="0.2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1"/>
      <c r="AD964" s="91"/>
      <c r="AE964" s="91"/>
      <c r="AF964" s="91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0"/>
      <c r="AR964" s="90"/>
      <c r="AS964" s="90"/>
      <c r="AT964" s="90"/>
      <c r="AU964" s="90"/>
      <c r="AV964" s="58"/>
      <c r="AW964" s="58"/>
      <c r="AX964" s="58"/>
      <c r="AY964" s="58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</row>
    <row r="965" spans="1:71" ht="15.75" customHeight="1" x14ac:dyDescent="0.2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1"/>
      <c r="AD965" s="91"/>
      <c r="AE965" s="91"/>
      <c r="AF965" s="91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0"/>
      <c r="AR965" s="90"/>
      <c r="AS965" s="90"/>
      <c r="AT965" s="90"/>
      <c r="AU965" s="90"/>
      <c r="AV965" s="58"/>
      <c r="AW965" s="58"/>
      <c r="AX965" s="58"/>
      <c r="AY965" s="58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</row>
    <row r="966" spans="1:71" ht="15.75" customHeight="1" x14ac:dyDescent="0.2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1"/>
      <c r="AD966" s="91"/>
      <c r="AE966" s="91"/>
      <c r="AF966" s="91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0"/>
      <c r="AR966" s="90"/>
      <c r="AS966" s="90"/>
      <c r="AT966" s="90"/>
      <c r="AU966" s="90"/>
      <c r="AV966" s="58"/>
      <c r="AW966" s="58"/>
      <c r="AX966" s="58"/>
      <c r="AY966" s="58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</row>
    <row r="967" spans="1:71" ht="15.75" customHeight="1" x14ac:dyDescent="0.2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1"/>
      <c r="AD967" s="91"/>
      <c r="AE967" s="91"/>
      <c r="AF967" s="91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0"/>
      <c r="AR967" s="90"/>
      <c r="AS967" s="90"/>
      <c r="AT967" s="90"/>
      <c r="AU967" s="90"/>
      <c r="AV967" s="58"/>
      <c r="AW967" s="58"/>
      <c r="AX967" s="58"/>
      <c r="AY967" s="58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</row>
    <row r="968" spans="1:71" ht="15.75" customHeight="1" x14ac:dyDescent="0.2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1"/>
      <c r="AD968" s="91"/>
      <c r="AE968" s="91"/>
      <c r="AF968" s="91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0"/>
      <c r="AR968" s="90"/>
      <c r="AS968" s="90"/>
      <c r="AT968" s="90"/>
      <c r="AU968" s="90"/>
      <c r="AV968" s="58"/>
      <c r="AW968" s="58"/>
      <c r="AX968" s="58"/>
      <c r="AY968" s="58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</row>
    <row r="969" spans="1:71" ht="15.75" customHeight="1" x14ac:dyDescent="0.2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1"/>
      <c r="AD969" s="91"/>
      <c r="AE969" s="91"/>
      <c r="AF969" s="91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0"/>
      <c r="AR969" s="90"/>
      <c r="AS969" s="90"/>
      <c r="AT969" s="90"/>
      <c r="AU969" s="90"/>
      <c r="AV969" s="58"/>
      <c r="AW969" s="58"/>
      <c r="AX969" s="58"/>
      <c r="AY969" s="58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</row>
    <row r="970" spans="1:71" ht="15.75" customHeight="1" x14ac:dyDescent="0.2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1"/>
      <c r="AD970" s="91"/>
      <c r="AE970" s="91"/>
      <c r="AF970" s="91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0"/>
      <c r="AR970" s="90"/>
      <c r="AS970" s="90"/>
      <c r="AT970" s="90"/>
      <c r="AU970" s="90"/>
      <c r="AV970" s="58"/>
      <c r="AW970" s="58"/>
      <c r="AX970" s="58"/>
      <c r="AY970" s="58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</row>
    <row r="971" spans="1:71" ht="15.75" customHeight="1" x14ac:dyDescent="0.2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1"/>
      <c r="AD971" s="91"/>
      <c r="AE971" s="91"/>
      <c r="AF971" s="91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0"/>
      <c r="AR971" s="90"/>
      <c r="AS971" s="90"/>
      <c r="AT971" s="90"/>
      <c r="AU971" s="90"/>
      <c r="AV971" s="58"/>
      <c r="AW971" s="58"/>
      <c r="AX971" s="58"/>
      <c r="AY971" s="58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</row>
    <row r="972" spans="1:71" ht="15.75" customHeight="1" x14ac:dyDescent="0.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1"/>
      <c r="AD972" s="91"/>
      <c r="AE972" s="91"/>
      <c r="AF972" s="91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0"/>
      <c r="AR972" s="90"/>
      <c r="AS972" s="90"/>
      <c r="AT972" s="90"/>
      <c r="AU972" s="90"/>
      <c r="AV972" s="58"/>
      <c r="AW972" s="58"/>
      <c r="AX972" s="58"/>
      <c r="AY972" s="58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</row>
    <row r="973" spans="1:71" ht="15.75" customHeight="1" x14ac:dyDescent="0.2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1"/>
      <c r="AD973" s="91"/>
      <c r="AE973" s="91"/>
      <c r="AF973" s="91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0"/>
      <c r="AR973" s="90"/>
      <c r="AS973" s="90"/>
      <c r="AT973" s="90"/>
      <c r="AU973" s="90"/>
      <c r="AV973" s="58"/>
      <c r="AW973" s="58"/>
      <c r="AX973" s="58"/>
      <c r="AY973" s="58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</row>
    <row r="974" spans="1:71" ht="15.75" customHeight="1" x14ac:dyDescent="0.2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1"/>
      <c r="AD974" s="91"/>
      <c r="AE974" s="91"/>
      <c r="AF974" s="91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0"/>
      <c r="AR974" s="90"/>
      <c r="AS974" s="90"/>
      <c r="AT974" s="90"/>
      <c r="AU974" s="90"/>
      <c r="AV974" s="58"/>
      <c r="AW974" s="58"/>
      <c r="AX974" s="58"/>
      <c r="AY974" s="58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</row>
    <row r="975" spans="1:71" ht="15.75" customHeight="1" x14ac:dyDescent="0.2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1"/>
      <c r="AD975" s="91"/>
      <c r="AE975" s="91"/>
      <c r="AF975" s="91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0"/>
      <c r="AR975" s="90"/>
      <c r="AS975" s="90"/>
      <c r="AT975" s="90"/>
      <c r="AU975" s="90"/>
      <c r="AV975" s="58"/>
      <c r="AW975" s="58"/>
      <c r="AX975" s="58"/>
      <c r="AY975" s="58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</row>
    <row r="976" spans="1:71" ht="15.75" customHeight="1" x14ac:dyDescent="0.2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1"/>
      <c r="AD976" s="91"/>
      <c r="AE976" s="91"/>
      <c r="AF976" s="91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0"/>
      <c r="AR976" s="90"/>
      <c r="AS976" s="90"/>
      <c r="AT976" s="90"/>
      <c r="AU976" s="90"/>
      <c r="AV976" s="58"/>
      <c r="AW976" s="58"/>
      <c r="AX976" s="58"/>
      <c r="AY976" s="58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</row>
    <row r="977" spans="1:71" ht="15.75" customHeight="1" x14ac:dyDescent="0.2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1"/>
      <c r="AD977" s="91"/>
      <c r="AE977" s="91"/>
      <c r="AF977" s="91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0"/>
      <c r="AR977" s="90"/>
      <c r="AS977" s="90"/>
      <c r="AT977" s="90"/>
      <c r="AU977" s="90"/>
      <c r="AV977" s="58"/>
      <c r="AW977" s="58"/>
      <c r="AX977" s="58"/>
      <c r="AY977" s="58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</row>
    <row r="978" spans="1:71" ht="15.75" customHeight="1" x14ac:dyDescent="0.2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1"/>
      <c r="AD978" s="91"/>
      <c r="AE978" s="91"/>
      <c r="AF978" s="91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0"/>
      <c r="AR978" s="90"/>
      <c r="AS978" s="90"/>
      <c r="AT978" s="90"/>
      <c r="AU978" s="90"/>
      <c r="AV978" s="58"/>
      <c r="AW978" s="58"/>
      <c r="AX978" s="58"/>
      <c r="AY978" s="58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</row>
    <row r="979" spans="1:71" ht="15.75" customHeight="1" x14ac:dyDescent="0.2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1"/>
      <c r="AD979" s="91"/>
      <c r="AE979" s="91"/>
      <c r="AF979" s="91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0"/>
      <c r="AR979" s="90"/>
      <c r="AS979" s="90"/>
      <c r="AT979" s="90"/>
      <c r="AU979" s="90"/>
      <c r="AV979" s="58"/>
      <c r="AW979" s="58"/>
      <c r="AX979" s="58"/>
      <c r="AY979" s="58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</row>
    <row r="980" spans="1:71" ht="15.75" customHeight="1" x14ac:dyDescent="0.2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1"/>
      <c r="AD980" s="91"/>
      <c r="AE980" s="91"/>
      <c r="AF980" s="91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0"/>
      <c r="AR980" s="90"/>
      <c r="AS980" s="90"/>
      <c r="AT980" s="90"/>
      <c r="AU980" s="90"/>
      <c r="AV980" s="58"/>
      <c r="AW980" s="58"/>
      <c r="AX980" s="58"/>
      <c r="AY980" s="58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</row>
    <row r="981" spans="1:71" ht="15.75" customHeight="1" x14ac:dyDescent="0.2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1"/>
      <c r="AD981" s="91"/>
      <c r="AE981" s="91"/>
      <c r="AF981" s="91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0"/>
      <c r="AR981" s="90"/>
      <c r="AS981" s="90"/>
      <c r="AT981" s="90"/>
      <c r="AU981" s="90"/>
      <c r="AV981" s="58"/>
      <c r="AW981" s="58"/>
      <c r="AX981" s="58"/>
      <c r="AY981" s="58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</row>
    <row r="982" spans="1:71" ht="15.75" customHeight="1" x14ac:dyDescent="0.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1"/>
      <c r="AD982" s="91"/>
      <c r="AE982" s="91"/>
      <c r="AF982" s="91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0"/>
      <c r="AR982" s="90"/>
      <c r="AS982" s="90"/>
      <c r="AT982" s="90"/>
      <c r="AU982" s="90"/>
      <c r="AV982" s="58"/>
      <c r="AW982" s="58"/>
      <c r="AX982" s="58"/>
      <c r="AY982" s="58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</row>
    <row r="983" spans="1:71" ht="15.75" customHeight="1" x14ac:dyDescent="0.2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1"/>
      <c r="AD983" s="91"/>
      <c r="AE983" s="91"/>
      <c r="AF983" s="91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0"/>
      <c r="AR983" s="90"/>
      <c r="AS983" s="90"/>
      <c r="AT983" s="90"/>
      <c r="AU983" s="90"/>
      <c r="AV983" s="58"/>
      <c r="AW983" s="58"/>
      <c r="AX983" s="58"/>
      <c r="AY983" s="58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</row>
    <row r="984" spans="1:71" ht="15.75" customHeight="1" x14ac:dyDescent="0.2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1"/>
      <c r="AD984" s="91"/>
      <c r="AE984" s="91"/>
      <c r="AF984" s="91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0"/>
      <c r="AR984" s="90"/>
      <c r="AS984" s="90"/>
      <c r="AT984" s="90"/>
      <c r="AU984" s="90"/>
      <c r="AV984" s="58"/>
      <c r="AW984" s="58"/>
      <c r="AX984" s="58"/>
      <c r="AY984" s="58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</row>
    <row r="985" spans="1:71" ht="15.75" customHeight="1" x14ac:dyDescent="0.2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1"/>
      <c r="AD985" s="91"/>
      <c r="AE985" s="91"/>
      <c r="AF985" s="91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0"/>
      <c r="AR985" s="90"/>
      <c r="AS985" s="90"/>
      <c r="AT985" s="90"/>
      <c r="AU985" s="90"/>
      <c r="AV985" s="58"/>
      <c r="AW985" s="58"/>
      <c r="AX985" s="58"/>
      <c r="AY985" s="58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</row>
    <row r="986" spans="1:71" ht="12.75" x14ac:dyDescent="0.2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0"/>
      <c r="U986" s="90"/>
      <c r="V986" s="90"/>
      <c r="W986" s="90"/>
      <c r="X986" s="90"/>
      <c r="Y986" s="90"/>
      <c r="Z986" s="90"/>
      <c r="AA986" s="90"/>
      <c r="AB986" s="90"/>
      <c r="AC986" s="91"/>
      <c r="AD986" s="91"/>
      <c r="AE986" s="91"/>
      <c r="AF986" s="91"/>
      <c r="AG986" s="92"/>
      <c r="AH986" s="92"/>
      <c r="AI986" s="92"/>
      <c r="AJ986" s="92"/>
      <c r="AK986" s="92"/>
      <c r="AL986" s="92"/>
      <c r="AM986" s="92"/>
      <c r="AN986" s="92"/>
      <c r="AO986" s="92"/>
      <c r="AP986" s="92"/>
      <c r="AQ986" s="92"/>
      <c r="AR986" s="92"/>
      <c r="AS986" s="92"/>
      <c r="AT986" s="92"/>
      <c r="AU986" s="92"/>
      <c r="AV986" s="58"/>
      <c r="AW986" s="58"/>
      <c r="AX986" s="58"/>
      <c r="AY986" s="58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</row>
    <row r="987" spans="1:71" ht="15" customHeight="1" x14ac:dyDescent="0.2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90"/>
      <c r="U987" s="90"/>
      <c r="V987" s="90"/>
      <c r="W987" s="90"/>
      <c r="X987" s="90"/>
      <c r="Y987" s="90"/>
      <c r="Z987" s="90"/>
      <c r="AA987" s="90"/>
      <c r="AB987" s="90"/>
      <c r="AC987" s="91"/>
      <c r="AD987" s="57"/>
      <c r="AE987" s="57"/>
      <c r="AF987" s="57"/>
      <c r="AG987" s="58"/>
      <c r="AH987" s="58"/>
      <c r="AI987" s="58"/>
      <c r="AJ987" s="58"/>
      <c r="AK987" s="58"/>
      <c r="AL987" s="58"/>
      <c r="AM987" s="58"/>
      <c r="AN987" s="58"/>
      <c r="AO987" s="58"/>
      <c r="AP987" s="58"/>
      <c r="AQ987" s="58"/>
      <c r="AR987" s="58"/>
      <c r="AS987" s="58"/>
      <c r="AT987" s="58"/>
      <c r="AU987" s="58"/>
      <c r="AV987" s="58"/>
      <c r="AW987" s="58"/>
      <c r="AX987" s="58"/>
      <c r="AY987" s="58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</row>
    <row r="988" spans="1:71" ht="15" customHeight="1" x14ac:dyDescent="0.2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90"/>
      <c r="U988" s="90"/>
      <c r="V988" s="90"/>
      <c r="W988" s="90"/>
      <c r="X988" s="90"/>
      <c r="Y988" s="90"/>
      <c r="Z988" s="90"/>
      <c r="AA988" s="90"/>
      <c r="AB988" s="90"/>
      <c r="AC988" s="91"/>
      <c r="AD988" s="57"/>
      <c r="AE988" s="57"/>
      <c r="AF988" s="57"/>
      <c r="AG988" s="58"/>
      <c r="AH988" s="58"/>
      <c r="AI988" s="58"/>
      <c r="AJ988" s="58"/>
      <c r="AK988" s="58"/>
      <c r="AL988" s="58"/>
      <c r="AM988" s="58"/>
      <c r="AN988" s="58"/>
      <c r="AO988" s="58"/>
      <c r="AP988" s="58"/>
      <c r="AQ988" s="58"/>
      <c r="AR988" s="58"/>
      <c r="AS988" s="58"/>
      <c r="AT988" s="58"/>
      <c r="AU988" s="58"/>
      <c r="AV988" s="58"/>
      <c r="AW988" s="58"/>
      <c r="AX988" s="58"/>
      <c r="AY988" s="58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</row>
    <row r="989" spans="1:71" ht="15" customHeight="1" x14ac:dyDescent="0.2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90"/>
      <c r="U989" s="90"/>
      <c r="V989" s="90"/>
      <c r="W989" s="90"/>
      <c r="X989" s="90"/>
      <c r="Y989" s="90"/>
      <c r="Z989" s="90"/>
      <c r="AA989" s="90"/>
      <c r="AB989" s="90"/>
      <c r="AC989" s="91"/>
      <c r="AD989" s="57"/>
      <c r="AE989" s="57"/>
      <c r="AF989" s="57"/>
      <c r="AG989" s="58"/>
      <c r="AH989" s="58"/>
      <c r="AI989" s="58"/>
      <c r="AJ989" s="58"/>
      <c r="AK989" s="58"/>
      <c r="AL989" s="58"/>
      <c r="AM989" s="58"/>
      <c r="AN989" s="58"/>
      <c r="AO989" s="58"/>
      <c r="AP989" s="58"/>
      <c r="AQ989" s="58"/>
      <c r="AR989" s="58"/>
      <c r="AS989" s="58"/>
      <c r="AT989" s="58"/>
      <c r="AU989" s="58"/>
      <c r="AV989" s="58"/>
      <c r="AW989" s="58"/>
      <c r="AX989" s="58"/>
      <c r="AY989" s="58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</row>
  </sheetData>
  <mergeCells count="15">
    <mergeCell ref="AB3:AD3"/>
    <mergeCell ref="AR2:AU2"/>
    <mergeCell ref="AR3:AU3"/>
    <mergeCell ref="A1:H4"/>
    <mergeCell ref="I1:AS1"/>
    <mergeCell ref="AT1:AU1"/>
    <mergeCell ref="O2:V2"/>
    <mergeCell ref="W2:AG2"/>
    <mergeCell ref="AI2:AP2"/>
    <mergeCell ref="AK3:AM3"/>
    <mergeCell ref="I2:L2"/>
    <mergeCell ref="I3:L3"/>
    <mergeCell ref="O3:R3"/>
    <mergeCell ref="S3:U3"/>
    <mergeCell ref="W3:Y3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S994"/>
  <sheetViews>
    <sheetView workbookViewId="0">
      <pane xSplit="8" ySplit="5" topLeftCell="I6" activePane="bottomRight" state="frozen"/>
      <selection pane="topRight" activeCell="J1" sqref="J1"/>
      <selection pane="bottomLeft" activeCell="A6" sqref="A6"/>
      <selection pane="bottomRight" activeCell="E20" sqref="E20"/>
    </sheetView>
  </sheetViews>
  <sheetFormatPr defaultColWidth="12.5703125" defaultRowHeight="15" customHeight="1" x14ac:dyDescent="0.2"/>
  <cols>
    <col min="1" max="1" width="3.7109375" customWidth="1"/>
    <col min="3" max="5" width="9.28515625" customWidth="1"/>
    <col min="6" max="6" width="13.85546875" customWidth="1"/>
    <col min="7" max="7" width="10.5703125" customWidth="1"/>
    <col min="8" max="8" width="10.85546875" customWidth="1"/>
    <col min="9" max="10" width="9.140625" customWidth="1"/>
    <col min="11" max="11" width="9.42578125" customWidth="1"/>
    <col min="12" max="12" width="7.42578125" customWidth="1"/>
    <col min="13" max="13" width="8.28515625" customWidth="1"/>
    <col min="14" max="14" width="10.42578125" customWidth="1"/>
    <col min="15" max="19" width="12" customWidth="1"/>
    <col min="20" max="20" width="11.42578125" customWidth="1"/>
    <col min="21" max="21" width="13.28515625" customWidth="1"/>
    <col min="22" max="22" width="10.7109375" customWidth="1"/>
    <col min="23" max="23" width="8.85546875" customWidth="1"/>
    <col min="24" max="27" width="9.140625" customWidth="1"/>
    <col min="28" max="30" width="7.5703125" customWidth="1"/>
    <col min="31" max="32" width="10.7109375" customWidth="1"/>
    <col min="33" max="33" width="10.42578125" customWidth="1"/>
    <col min="34" max="34" width="13.42578125" customWidth="1"/>
    <col min="35" max="37" width="10.7109375" customWidth="1"/>
    <col min="38" max="42" width="8" customWidth="1"/>
  </cols>
  <sheetData>
    <row r="1" spans="1:71" ht="15.75" customHeight="1" x14ac:dyDescent="0.2">
      <c r="A1" s="139" t="s">
        <v>59</v>
      </c>
      <c r="B1" s="140"/>
      <c r="C1" s="140"/>
      <c r="D1" s="140"/>
      <c r="E1" s="140"/>
      <c r="F1" s="140"/>
      <c r="G1" s="140"/>
      <c r="H1" s="140"/>
      <c r="I1" s="148" t="s">
        <v>1</v>
      </c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  <c r="AA1" s="134"/>
      <c r="AB1" s="134"/>
      <c r="AC1" s="134"/>
      <c r="AD1" s="134"/>
      <c r="AE1" s="134"/>
      <c r="AF1" s="134"/>
      <c r="AG1" s="136"/>
      <c r="AH1" s="159"/>
      <c r="AI1" s="134"/>
      <c r="AJ1" s="134"/>
      <c r="AK1" s="134"/>
      <c r="AL1" s="134"/>
      <c r="AM1" s="134"/>
      <c r="AN1" s="134"/>
      <c r="AO1" s="134"/>
      <c r="AP1" s="136"/>
      <c r="AQ1" s="92"/>
      <c r="AR1" s="92"/>
      <c r="AS1" s="92"/>
      <c r="AT1" s="92"/>
      <c r="AU1" s="92"/>
      <c r="AV1" s="92"/>
      <c r="AW1" s="92"/>
      <c r="AX1" s="92"/>
      <c r="AY1" s="92"/>
      <c r="AZ1" s="58"/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8"/>
    </row>
    <row r="2" spans="1:71" ht="41.25" customHeight="1" x14ac:dyDescent="0.2">
      <c r="A2" s="142"/>
      <c r="B2" s="143"/>
      <c r="C2" s="143"/>
      <c r="D2" s="143"/>
      <c r="E2" s="143"/>
      <c r="F2" s="143"/>
      <c r="G2" s="143"/>
      <c r="H2" s="143"/>
      <c r="I2" s="133" t="s">
        <v>2</v>
      </c>
      <c r="J2" s="134"/>
      <c r="K2" s="134"/>
      <c r="L2" s="134"/>
      <c r="M2" s="134"/>
      <c r="N2" s="134"/>
      <c r="O2" s="150" t="s">
        <v>3</v>
      </c>
      <c r="P2" s="134"/>
      <c r="Q2" s="134"/>
      <c r="R2" s="134"/>
      <c r="S2" s="134"/>
      <c r="T2" s="134"/>
      <c r="U2" s="134"/>
      <c r="V2" s="134"/>
      <c r="W2" s="151" t="s">
        <v>37</v>
      </c>
      <c r="X2" s="134"/>
      <c r="Y2" s="134"/>
      <c r="Z2" s="134"/>
      <c r="AA2" s="134"/>
      <c r="AB2" s="134"/>
      <c r="AC2" s="134"/>
      <c r="AD2" s="134"/>
      <c r="AE2" s="136"/>
      <c r="AF2" s="14"/>
      <c r="AG2" s="156" t="s">
        <v>60</v>
      </c>
      <c r="AH2" s="134"/>
      <c r="AI2" s="134"/>
      <c r="AJ2" s="134"/>
      <c r="AK2" s="134"/>
      <c r="AL2" s="136"/>
      <c r="AM2" s="152" t="s">
        <v>5</v>
      </c>
      <c r="AN2" s="134"/>
      <c r="AO2" s="134"/>
      <c r="AP2" s="134"/>
      <c r="AQ2" s="92"/>
      <c r="AR2" s="92"/>
      <c r="AS2" s="92"/>
      <c r="AT2" s="92"/>
      <c r="AU2" s="92"/>
      <c r="AV2" s="92"/>
      <c r="AW2" s="92"/>
      <c r="AX2" s="92"/>
      <c r="AY2" s="92"/>
      <c r="AZ2" s="58"/>
      <c r="BA2" s="58"/>
      <c r="BB2" s="58"/>
      <c r="BC2" s="58"/>
      <c r="BD2" s="58"/>
      <c r="BE2" s="58"/>
      <c r="BF2" s="58"/>
      <c r="BG2" s="58"/>
      <c r="BH2" s="58"/>
      <c r="BI2" s="58"/>
      <c r="BJ2" s="58"/>
      <c r="BK2" s="58"/>
      <c r="BL2" s="58"/>
      <c r="BM2" s="58"/>
      <c r="BN2" s="58"/>
      <c r="BO2" s="58"/>
      <c r="BP2" s="58"/>
      <c r="BQ2" s="58"/>
      <c r="BR2" s="58"/>
      <c r="BS2" s="58"/>
    </row>
    <row r="3" spans="1:71" ht="56.25" customHeight="1" x14ac:dyDescent="0.2">
      <c r="A3" s="142"/>
      <c r="B3" s="143"/>
      <c r="C3" s="143"/>
      <c r="D3" s="143"/>
      <c r="E3" s="143"/>
      <c r="F3" s="143"/>
      <c r="G3" s="143"/>
      <c r="H3" s="143"/>
      <c r="I3" s="133" t="s">
        <v>2</v>
      </c>
      <c r="J3" s="134"/>
      <c r="K3" s="134"/>
      <c r="L3" s="134"/>
      <c r="M3" s="134"/>
      <c r="N3" s="134"/>
      <c r="O3" s="135" t="s">
        <v>6</v>
      </c>
      <c r="P3" s="134"/>
      <c r="Q3" s="134"/>
      <c r="R3" s="137"/>
      <c r="S3" s="135" t="s">
        <v>7</v>
      </c>
      <c r="T3" s="134"/>
      <c r="U3" s="137"/>
      <c r="V3" s="5"/>
      <c r="W3" s="138" t="s">
        <v>39</v>
      </c>
      <c r="X3" s="134"/>
      <c r="Y3" s="136"/>
      <c r="Z3" s="6"/>
      <c r="AA3" s="6"/>
      <c r="AB3" s="138" t="s">
        <v>40</v>
      </c>
      <c r="AC3" s="134"/>
      <c r="AD3" s="134"/>
      <c r="AE3" s="7"/>
      <c r="AF3" s="7"/>
      <c r="AG3" s="94" t="s">
        <v>61</v>
      </c>
      <c r="AH3" s="95" t="s">
        <v>54</v>
      </c>
      <c r="AI3" s="158" t="s">
        <v>62</v>
      </c>
      <c r="AJ3" s="134"/>
      <c r="AK3" s="136"/>
      <c r="AL3" s="59"/>
      <c r="AM3" s="153" t="s">
        <v>13</v>
      </c>
      <c r="AN3" s="134"/>
      <c r="AO3" s="134"/>
      <c r="AP3" s="136"/>
      <c r="AQ3" s="92"/>
      <c r="AR3" s="92"/>
      <c r="AS3" s="92"/>
      <c r="AT3" s="92"/>
      <c r="AU3" s="92"/>
      <c r="AV3" s="92"/>
      <c r="AW3" s="92"/>
      <c r="AX3" s="92"/>
      <c r="AY3" s="92"/>
      <c r="AZ3" s="58"/>
      <c r="BA3" s="58"/>
      <c r="BB3" s="58"/>
      <c r="BC3" s="58"/>
      <c r="BD3" s="58"/>
      <c r="BE3" s="58"/>
      <c r="BF3" s="58"/>
      <c r="BG3" s="58"/>
      <c r="BH3" s="58"/>
      <c r="BI3" s="58"/>
      <c r="BJ3" s="58"/>
      <c r="BK3" s="58"/>
      <c r="BL3" s="58"/>
      <c r="BM3" s="58"/>
      <c r="BN3" s="58"/>
      <c r="BO3" s="58"/>
      <c r="BP3" s="58"/>
      <c r="BQ3" s="58"/>
      <c r="BR3" s="58"/>
      <c r="BS3" s="58"/>
    </row>
    <row r="4" spans="1:71" ht="17.25" customHeight="1" x14ac:dyDescent="0.2">
      <c r="A4" s="145"/>
      <c r="B4" s="146"/>
      <c r="C4" s="146"/>
      <c r="D4" s="146"/>
      <c r="E4" s="146"/>
      <c r="F4" s="146"/>
      <c r="G4" s="146"/>
      <c r="H4" s="146"/>
      <c r="I4" s="8">
        <v>1</v>
      </c>
      <c r="J4" s="8">
        <v>2</v>
      </c>
      <c r="K4" s="9">
        <v>3</v>
      </c>
      <c r="L4" s="9">
        <v>6</v>
      </c>
      <c r="M4" s="9"/>
      <c r="N4" s="9"/>
      <c r="O4" s="10">
        <v>1</v>
      </c>
      <c r="P4" s="10">
        <v>1</v>
      </c>
      <c r="Q4" s="10">
        <v>1</v>
      </c>
      <c r="R4" s="10">
        <v>1</v>
      </c>
      <c r="S4" s="10">
        <v>2</v>
      </c>
      <c r="T4" s="12">
        <v>1</v>
      </c>
      <c r="U4" s="10">
        <v>1</v>
      </c>
      <c r="V4" s="13">
        <v>6</v>
      </c>
      <c r="W4" s="14">
        <v>1</v>
      </c>
      <c r="X4" s="14">
        <v>2</v>
      </c>
      <c r="Y4" s="14">
        <v>1</v>
      </c>
      <c r="Z4" s="14"/>
      <c r="AA4" s="14"/>
      <c r="AB4" s="14">
        <v>1</v>
      </c>
      <c r="AC4" s="14">
        <v>2</v>
      </c>
      <c r="AD4" s="14">
        <v>1</v>
      </c>
      <c r="AE4" s="7">
        <v>6</v>
      </c>
      <c r="AF4" s="7"/>
      <c r="AG4" s="60">
        <v>1</v>
      </c>
      <c r="AH4" s="62">
        <v>1</v>
      </c>
      <c r="AI4" s="15">
        <v>1</v>
      </c>
      <c r="AJ4" s="15">
        <v>2</v>
      </c>
      <c r="AK4" s="15">
        <v>2</v>
      </c>
      <c r="AL4" s="15">
        <v>9</v>
      </c>
      <c r="AM4" s="15">
        <v>2</v>
      </c>
      <c r="AN4" s="15">
        <v>3</v>
      </c>
      <c r="AO4" s="15">
        <v>3</v>
      </c>
      <c r="AP4" s="15">
        <v>3</v>
      </c>
      <c r="AQ4" s="92"/>
      <c r="AR4" s="92"/>
      <c r="AS4" s="92"/>
      <c r="AT4" s="92"/>
      <c r="AU4" s="92"/>
      <c r="AV4" s="92"/>
      <c r="AW4" s="92"/>
      <c r="AX4" s="92"/>
      <c r="AY4" s="92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</row>
    <row r="5" spans="1:71" ht="45" customHeight="1" x14ac:dyDescent="0.2">
      <c r="A5" s="63"/>
      <c r="B5" s="121" t="s">
        <v>17</v>
      </c>
      <c r="C5" s="17" t="s">
        <v>18</v>
      </c>
      <c r="D5" s="17" t="s">
        <v>19</v>
      </c>
      <c r="E5" s="18" t="s">
        <v>20</v>
      </c>
      <c r="F5" s="18" t="s">
        <v>21</v>
      </c>
      <c r="G5" s="18" t="s">
        <v>22</v>
      </c>
      <c r="H5" s="18" t="s">
        <v>23</v>
      </c>
      <c r="I5" s="19" t="s">
        <v>24</v>
      </c>
      <c r="J5" s="19" t="s">
        <v>25</v>
      </c>
      <c r="K5" s="19" t="s">
        <v>26</v>
      </c>
      <c r="L5" s="9" t="s">
        <v>27</v>
      </c>
      <c r="M5" s="9" t="s">
        <v>28</v>
      </c>
      <c r="N5" s="9" t="s">
        <v>56</v>
      </c>
      <c r="O5" s="10" t="s">
        <v>30</v>
      </c>
      <c r="P5" s="10" t="s">
        <v>31</v>
      </c>
      <c r="Q5" s="10" t="s">
        <v>32</v>
      </c>
      <c r="R5" s="10" t="s">
        <v>33</v>
      </c>
      <c r="S5" s="10" t="s">
        <v>30</v>
      </c>
      <c r="T5" s="10" t="s">
        <v>31</v>
      </c>
      <c r="U5" s="10" t="s">
        <v>33</v>
      </c>
      <c r="V5" s="13" t="s">
        <v>27</v>
      </c>
      <c r="W5" s="7" t="s">
        <v>30</v>
      </c>
      <c r="X5" s="14" t="s">
        <v>31</v>
      </c>
      <c r="Y5" s="14" t="s">
        <v>33</v>
      </c>
      <c r="Z5" s="14" t="s">
        <v>28</v>
      </c>
      <c r="AA5" s="14" t="s">
        <v>50</v>
      </c>
      <c r="AB5" s="7" t="s">
        <v>30</v>
      </c>
      <c r="AC5" s="14" t="s">
        <v>31</v>
      </c>
      <c r="AD5" s="14" t="s">
        <v>33</v>
      </c>
      <c r="AE5" s="7" t="s">
        <v>27</v>
      </c>
      <c r="AF5" s="7"/>
      <c r="AG5" s="60" t="s">
        <v>30</v>
      </c>
      <c r="AH5" s="64" t="s">
        <v>30</v>
      </c>
      <c r="AI5" s="15" t="s">
        <v>30</v>
      </c>
      <c r="AJ5" s="15" t="s">
        <v>31</v>
      </c>
      <c r="AK5" s="15" t="s">
        <v>33</v>
      </c>
      <c r="AL5" s="15" t="s">
        <v>27</v>
      </c>
      <c r="AM5" s="15" t="s">
        <v>30</v>
      </c>
      <c r="AN5" s="15" t="s">
        <v>31</v>
      </c>
      <c r="AO5" s="15" t="s">
        <v>32</v>
      </c>
      <c r="AP5" s="15" t="s">
        <v>27</v>
      </c>
      <c r="AQ5" s="92"/>
      <c r="AR5" s="92"/>
      <c r="AS5" s="92"/>
      <c r="AT5" s="92"/>
      <c r="AU5" s="92"/>
      <c r="AV5" s="92"/>
      <c r="AW5" s="92"/>
      <c r="AX5" s="92"/>
      <c r="AY5" s="92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</row>
    <row r="6" spans="1:71" ht="15.75" customHeight="1" x14ac:dyDescent="0.2">
      <c r="A6" s="20">
        <v>1</v>
      </c>
      <c r="B6" s="120">
        <v>22122204</v>
      </c>
      <c r="C6" s="32">
        <v>6.0785857142857136</v>
      </c>
      <c r="D6" s="22"/>
      <c r="E6" s="32">
        <f t="shared" ref="E6:E8" si="0">((L6*6)+(V6*6)+(AE6*6)+(AL6*9)+(AP6*3))/30</f>
        <v>3.2094499999999999</v>
      </c>
      <c r="F6" s="22"/>
      <c r="G6" s="33">
        <f t="shared" ref="G6:G37" si="1">(C6+E6)/2</f>
        <v>4.644017857142857</v>
      </c>
      <c r="H6" s="22"/>
      <c r="I6" s="26">
        <v>0</v>
      </c>
      <c r="J6" s="23">
        <v>0</v>
      </c>
      <c r="K6" s="23">
        <v>0</v>
      </c>
      <c r="L6" s="122">
        <f t="shared" ref="L6:L8" si="2">(I6+(J6*2)+(K6*3))/6</f>
        <v>0</v>
      </c>
      <c r="M6" s="122"/>
      <c r="N6" s="122"/>
      <c r="O6" s="26">
        <v>0</v>
      </c>
      <c r="P6" s="26">
        <v>0</v>
      </c>
      <c r="Q6" s="26">
        <v>0</v>
      </c>
      <c r="R6" s="99">
        <f t="shared" ref="R6:R8" si="3">(O6+P6+Q6)/3</f>
        <v>0</v>
      </c>
      <c r="S6" s="23"/>
      <c r="T6" s="23"/>
      <c r="U6" s="23">
        <v>15.266999999999999</v>
      </c>
      <c r="V6" s="27">
        <f t="shared" ref="V6:V8" si="4">(R6+U6)/2</f>
        <v>7.6334999999999997</v>
      </c>
      <c r="W6" s="26">
        <v>0</v>
      </c>
      <c r="X6" s="26">
        <v>0</v>
      </c>
      <c r="Y6" s="33">
        <f t="shared" ref="Y6:Y8" si="5">(W6+(X6*2))/3</f>
        <v>0</v>
      </c>
      <c r="Z6" s="22"/>
      <c r="AA6" s="22"/>
      <c r="AB6" s="26">
        <v>0</v>
      </c>
      <c r="AC6" s="26">
        <v>0</v>
      </c>
      <c r="AD6" s="33">
        <f t="shared" ref="AD6:AD8" si="6">(AB6+(AC6*2))/3</f>
        <v>0</v>
      </c>
      <c r="AE6" s="118">
        <f t="shared" ref="AE6:AE8" si="7">(Y6+AD6)/2</f>
        <v>0</v>
      </c>
      <c r="AF6" s="118"/>
      <c r="AG6" s="23">
        <v>16.77</v>
      </c>
      <c r="AH6" s="99">
        <v>0</v>
      </c>
      <c r="AI6" s="22">
        <v>0</v>
      </c>
      <c r="AJ6" s="22">
        <v>0</v>
      </c>
      <c r="AK6" s="33">
        <f t="shared" ref="AK6:AK7" si="8">(AI6+(AJ6*2))/3</f>
        <v>0</v>
      </c>
      <c r="AL6" s="118">
        <f t="shared" ref="AL6:AL8" si="9">((AG6+AH6+(AK6*2))/4)</f>
        <v>4.1924999999999999</v>
      </c>
      <c r="AM6" s="26">
        <v>17</v>
      </c>
      <c r="AN6" s="44">
        <v>0</v>
      </c>
      <c r="AO6" s="44">
        <v>0</v>
      </c>
      <c r="AP6" s="123">
        <f t="shared" ref="AP6:AP7" si="10">((AM6*2)+(AN6*3)+(AO6*3))/8</f>
        <v>4.25</v>
      </c>
      <c r="AQ6" s="92"/>
      <c r="AR6" s="92"/>
      <c r="AS6" s="92"/>
      <c r="AT6" s="92"/>
      <c r="AU6" s="92"/>
      <c r="AV6" s="92"/>
      <c r="AW6" s="92"/>
      <c r="AX6" s="92"/>
      <c r="AY6" s="92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</row>
    <row r="7" spans="1:71" ht="15.75" customHeight="1" x14ac:dyDescent="0.2">
      <c r="A7" s="20">
        <v>2</v>
      </c>
      <c r="B7" s="120">
        <v>22222242</v>
      </c>
      <c r="C7" s="72">
        <v>2.7161466666666669</v>
      </c>
      <c r="D7" s="38"/>
      <c r="E7" s="32">
        <f t="shared" si="0"/>
        <v>8.5771333333333342</v>
      </c>
      <c r="F7" s="32">
        <f>((N7*6)+(V7*6)+(AF7*6)+(AL7*9)+(AP7*3))/30</f>
        <v>8.6471333333333327</v>
      </c>
      <c r="G7" s="33">
        <f t="shared" si="1"/>
        <v>5.6466400000000005</v>
      </c>
      <c r="H7" s="34">
        <f>(C7+F7)/2</f>
        <v>5.6816399999999998</v>
      </c>
      <c r="I7" s="35">
        <v>11</v>
      </c>
      <c r="J7" s="36">
        <v>0.5</v>
      </c>
      <c r="K7" s="52">
        <v>14</v>
      </c>
      <c r="L7" s="27">
        <f t="shared" si="2"/>
        <v>9</v>
      </c>
      <c r="M7" s="124">
        <v>3.25</v>
      </c>
      <c r="N7" s="124">
        <f>((I7*1)+(M7*2)+(K7*3))/6</f>
        <v>9.9166666666666661</v>
      </c>
      <c r="O7" s="35">
        <v>0</v>
      </c>
      <c r="P7" s="35">
        <v>7.5</v>
      </c>
      <c r="Q7" s="35">
        <v>7</v>
      </c>
      <c r="R7" s="23">
        <f t="shared" si="3"/>
        <v>4.833333333333333</v>
      </c>
      <c r="S7" s="39"/>
      <c r="T7" s="39"/>
      <c r="U7" s="23">
        <v>10.532999999999999</v>
      </c>
      <c r="V7" s="27">
        <f t="shared" si="4"/>
        <v>7.6831666666666667</v>
      </c>
      <c r="W7" s="35">
        <v>1.96</v>
      </c>
      <c r="X7" s="36">
        <v>1.7</v>
      </c>
      <c r="Y7" s="118">
        <f t="shared" si="5"/>
        <v>1.7866666666666664</v>
      </c>
      <c r="Z7" s="125">
        <v>0</v>
      </c>
      <c r="AA7" s="125">
        <f>(W7+(Z7*2))/3</f>
        <v>0.65333333333333332</v>
      </c>
      <c r="AB7" s="35">
        <v>8.6</v>
      </c>
      <c r="AC7" s="36">
        <v>4.3</v>
      </c>
      <c r="AD7" s="118">
        <f t="shared" si="6"/>
        <v>5.7333333333333334</v>
      </c>
      <c r="AE7" s="118">
        <f t="shared" si="7"/>
        <v>3.76</v>
      </c>
      <c r="AF7" s="125">
        <f>(AA7+AD7)/2</f>
        <v>3.1933333333333334</v>
      </c>
      <c r="AG7" s="39">
        <v>13.08</v>
      </c>
      <c r="AH7" s="35">
        <v>18</v>
      </c>
      <c r="AI7" s="22">
        <v>7.1</v>
      </c>
      <c r="AJ7" s="22">
        <v>7.9</v>
      </c>
      <c r="AK7" s="118">
        <f t="shared" si="8"/>
        <v>7.6333333333333329</v>
      </c>
      <c r="AL7" s="118">
        <f t="shared" si="9"/>
        <v>11.586666666666666</v>
      </c>
      <c r="AM7" s="35">
        <v>4.5</v>
      </c>
      <c r="AN7" s="36">
        <v>11</v>
      </c>
      <c r="AO7" s="36">
        <v>13</v>
      </c>
      <c r="AP7" s="118">
        <f t="shared" si="10"/>
        <v>10.125</v>
      </c>
      <c r="AQ7" s="92"/>
      <c r="AR7" s="92"/>
      <c r="AS7" s="92"/>
      <c r="AT7" s="92"/>
      <c r="AU7" s="92"/>
      <c r="AV7" s="92"/>
      <c r="AW7" s="92"/>
      <c r="AX7" s="92"/>
      <c r="AY7" s="92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</row>
    <row r="8" spans="1:71" ht="15.75" customHeight="1" x14ac:dyDescent="0.2">
      <c r="A8" s="20">
        <v>3</v>
      </c>
      <c r="B8" s="120">
        <v>22222241</v>
      </c>
      <c r="C8" s="72">
        <v>8.3607619047619046</v>
      </c>
      <c r="D8" s="72">
        <v>8.2345714285714298</v>
      </c>
      <c r="E8" s="32">
        <f t="shared" si="0"/>
        <v>8.6077166666666667</v>
      </c>
      <c r="F8" s="22"/>
      <c r="G8" s="33">
        <f t="shared" si="1"/>
        <v>8.4842392857142848</v>
      </c>
      <c r="H8" s="34">
        <f>(D8+E8)/2</f>
        <v>8.4211440476190482</v>
      </c>
      <c r="I8" s="35">
        <v>10</v>
      </c>
      <c r="J8" s="35">
        <v>0.25</v>
      </c>
      <c r="K8" s="35">
        <v>3</v>
      </c>
      <c r="L8" s="124">
        <f t="shared" si="2"/>
        <v>3.25</v>
      </c>
      <c r="M8" s="124"/>
      <c r="N8" s="124"/>
      <c r="O8" s="35">
        <v>1</v>
      </c>
      <c r="P8" s="35">
        <v>0</v>
      </c>
      <c r="Q8" s="35">
        <v>6</v>
      </c>
      <c r="R8" s="39">
        <f t="shared" si="3"/>
        <v>2.3333333333333335</v>
      </c>
      <c r="S8" s="39"/>
      <c r="T8" s="39"/>
      <c r="U8" s="39">
        <v>15.433</v>
      </c>
      <c r="V8" s="27">
        <f t="shared" si="4"/>
        <v>8.883166666666666</v>
      </c>
      <c r="W8" s="35">
        <v>4.13</v>
      </c>
      <c r="X8" s="35">
        <v>1.8</v>
      </c>
      <c r="Y8" s="125">
        <f t="shared" si="5"/>
        <v>2.5766666666666667</v>
      </c>
      <c r="Z8" s="125"/>
      <c r="AA8" s="125"/>
      <c r="AB8" s="35">
        <v>1.8</v>
      </c>
      <c r="AC8" s="35">
        <v>1</v>
      </c>
      <c r="AD8" s="125">
        <f t="shared" si="6"/>
        <v>1.2666666666666666</v>
      </c>
      <c r="AE8" s="125">
        <f t="shared" si="7"/>
        <v>1.9216666666666666</v>
      </c>
      <c r="AF8" s="125"/>
      <c r="AG8" s="39">
        <v>17.27</v>
      </c>
      <c r="AH8" s="35">
        <v>13.12</v>
      </c>
      <c r="AI8" s="38"/>
      <c r="AJ8" s="22"/>
      <c r="AK8" s="118">
        <v>14.2</v>
      </c>
      <c r="AL8" s="118">
        <f t="shared" si="9"/>
        <v>14.6975</v>
      </c>
      <c r="AM8" s="26"/>
      <c r="AN8" s="26"/>
      <c r="AO8" s="26"/>
      <c r="AP8" s="118">
        <v>13.875</v>
      </c>
      <c r="AQ8" s="92"/>
      <c r="AR8" s="92"/>
      <c r="AS8" s="92"/>
      <c r="AT8" s="92"/>
      <c r="AU8" s="92"/>
      <c r="AV8" s="92"/>
      <c r="AW8" s="92"/>
      <c r="AX8" s="92"/>
      <c r="AY8" s="92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</row>
    <row r="9" spans="1:71" ht="15.75" customHeight="1" x14ac:dyDescent="0.2">
      <c r="A9" s="20">
        <v>4</v>
      </c>
      <c r="B9" s="120">
        <v>22122067</v>
      </c>
      <c r="C9" s="72">
        <v>6.6304857142857152</v>
      </c>
      <c r="D9" s="38"/>
      <c r="E9" s="22">
        <v>10.452999999999999</v>
      </c>
      <c r="F9" s="22"/>
      <c r="G9" s="33">
        <f t="shared" si="1"/>
        <v>8.5417428571428573</v>
      </c>
      <c r="H9" s="38"/>
      <c r="I9" s="35"/>
      <c r="J9" s="36"/>
      <c r="K9" s="36"/>
      <c r="L9" s="26"/>
      <c r="M9" s="26"/>
      <c r="N9" s="26"/>
      <c r="O9" s="26"/>
      <c r="P9" s="35"/>
      <c r="Q9" s="35"/>
      <c r="R9" s="26"/>
      <c r="S9" s="35"/>
      <c r="T9" s="35"/>
      <c r="U9" s="26"/>
      <c r="V9" s="27"/>
      <c r="W9" s="35"/>
      <c r="X9" s="36"/>
      <c r="Y9" s="26"/>
      <c r="Z9" s="35"/>
      <c r="AA9" s="35"/>
      <c r="AB9" s="35"/>
      <c r="AC9" s="36"/>
      <c r="AD9" s="26"/>
      <c r="AE9" s="26"/>
      <c r="AF9" s="35"/>
      <c r="AG9" s="35"/>
      <c r="AH9" s="35"/>
      <c r="AI9" s="22"/>
      <c r="AJ9" s="22"/>
      <c r="AK9" s="22"/>
      <c r="AL9" s="22"/>
      <c r="AM9" s="38"/>
      <c r="AN9" s="36"/>
      <c r="AO9" s="36"/>
      <c r="AP9" s="26"/>
      <c r="AQ9" s="92"/>
      <c r="AR9" s="92"/>
      <c r="AS9" s="92"/>
      <c r="AT9" s="92"/>
      <c r="AU9" s="92"/>
      <c r="AV9" s="92"/>
      <c r="AW9" s="92"/>
      <c r="AX9" s="92"/>
      <c r="AY9" s="92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</row>
    <row r="10" spans="1:71" ht="15.75" customHeight="1" x14ac:dyDescent="0.2">
      <c r="A10" s="20">
        <v>5</v>
      </c>
      <c r="B10" s="21">
        <v>22322723</v>
      </c>
      <c r="C10" s="72">
        <v>9.0726856190476202</v>
      </c>
      <c r="D10" s="38"/>
      <c r="E10" s="22">
        <f t="shared" ref="E10:E11" si="11">((L10*6)+(V10*6)+(AE10*6)+(AL10*9)+(AP10*3))/30</f>
        <v>10.145333333333333</v>
      </c>
      <c r="F10" s="22"/>
      <c r="G10" s="33">
        <f t="shared" si="1"/>
        <v>9.6090094761904759</v>
      </c>
      <c r="H10" s="38"/>
      <c r="I10" s="35">
        <v>13</v>
      </c>
      <c r="J10" s="36">
        <v>3</v>
      </c>
      <c r="K10" s="36">
        <v>10.5</v>
      </c>
      <c r="L10" s="27">
        <f t="shared" ref="L10:L11" si="12">(I10+(J10*2)+(K10*3))/6</f>
        <v>8.4166666666666661</v>
      </c>
      <c r="M10" s="124"/>
      <c r="N10" s="124"/>
      <c r="O10" s="35">
        <v>8</v>
      </c>
      <c r="P10" s="35">
        <v>3.5</v>
      </c>
      <c r="Q10" s="35">
        <v>3</v>
      </c>
      <c r="R10" s="23">
        <f t="shared" ref="R10:R11" si="13">(O10+P10+Q10)/3</f>
        <v>4.833333333333333</v>
      </c>
      <c r="S10" s="39">
        <v>16.440000000000001</v>
      </c>
      <c r="T10" s="39">
        <v>16.399999999999999</v>
      </c>
      <c r="U10" s="23">
        <f t="shared" ref="U10:U11" si="14">((S10*2)+T10)/3</f>
        <v>16.426666666666666</v>
      </c>
      <c r="V10" s="27">
        <f t="shared" ref="V10:V11" si="15">(R10+U10)/2</f>
        <v>10.629999999999999</v>
      </c>
      <c r="W10" s="35">
        <v>7.61</v>
      </c>
      <c r="X10" s="36">
        <v>5.2</v>
      </c>
      <c r="Y10" s="118">
        <f t="shared" ref="Y10:Y11" si="16">(W10+(X10*2))/3</f>
        <v>6.0033333333333339</v>
      </c>
      <c r="Z10" s="125"/>
      <c r="AA10" s="125"/>
      <c r="AB10" s="35">
        <v>12.7</v>
      </c>
      <c r="AC10" s="36">
        <v>3.5</v>
      </c>
      <c r="AD10" s="118">
        <f t="shared" ref="AD10:AD11" si="17">(AB10+(AC10*2))/3</f>
        <v>6.5666666666666664</v>
      </c>
      <c r="AE10" s="118">
        <f t="shared" ref="AE10:AE11" si="18">(Y10+AD10)/2</f>
        <v>6.2850000000000001</v>
      </c>
      <c r="AF10" s="125"/>
      <c r="AG10" s="35">
        <v>14.12</v>
      </c>
      <c r="AH10" s="35">
        <v>15</v>
      </c>
      <c r="AI10" s="26">
        <v>13.1</v>
      </c>
      <c r="AJ10" s="26">
        <v>11.9</v>
      </c>
      <c r="AK10" s="118">
        <f t="shared" ref="AK10:AK11" si="19">(AI10+(AJ10*2))/3</f>
        <v>12.299999999999999</v>
      </c>
      <c r="AL10" s="118">
        <f t="shared" ref="AL10:AL11" si="20">((AG10+AH10+(AK10*2))/4)</f>
        <v>13.43</v>
      </c>
      <c r="AM10" s="35">
        <v>9</v>
      </c>
      <c r="AN10" s="36">
        <v>10</v>
      </c>
      <c r="AO10" s="36">
        <v>12</v>
      </c>
      <c r="AP10" s="118">
        <f t="shared" ref="AP10:AP11" si="21">((AM10*2)+(AN10*3)+(AO10*3))/8</f>
        <v>10.5</v>
      </c>
      <c r="AQ10" s="92"/>
      <c r="AR10" s="92"/>
      <c r="AS10" s="92"/>
      <c r="AT10" s="92"/>
      <c r="AU10" s="92"/>
      <c r="AV10" s="92"/>
      <c r="AW10" s="92"/>
      <c r="AX10" s="92"/>
      <c r="AY10" s="92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</row>
    <row r="11" spans="1:71" ht="15.75" customHeight="1" x14ac:dyDescent="0.2">
      <c r="A11" s="20">
        <v>6</v>
      </c>
      <c r="B11" s="21">
        <v>22322747</v>
      </c>
      <c r="C11" s="72">
        <v>9.0615069841269857</v>
      </c>
      <c r="D11" s="72">
        <v>8.9615069841269861</v>
      </c>
      <c r="E11" s="22">
        <f t="shared" si="11"/>
        <v>10.542666666666667</v>
      </c>
      <c r="F11" s="22"/>
      <c r="G11" s="33">
        <f t="shared" si="1"/>
        <v>9.8020868253968274</v>
      </c>
      <c r="H11" s="34">
        <f>(D11+E11)/2</f>
        <v>9.7520868253968267</v>
      </c>
      <c r="I11" s="35">
        <v>14</v>
      </c>
      <c r="J11" s="36">
        <v>3.75</v>
      </c>
      <c r="K11" s="36">
        <v>12.75</v>
      </c>
      <c r="L11" s="27">
        <f t="shared" si="12"/>
        <v>9.9583333333333339</v>
      </c>
      <c r="M11" s="124"/>
      <c r="N11" s="124"/>
      <c r="O11" s="35">
        <v>7.5</v>
      </c>
      <c r="P11" s="35">
        <v>4</v>
      </c>
      <c r="Q11" s="35">
        <v>7</v>
      </c>
      <c r="R11" s="23">
        <f t="shared" si="13"/>
        <v>6.166666666666667</v>
      </c>
      <c r="S11" s="39">
        <v>15.81</v>
      </c>
      <c r="T11" s="39">
        <v>16.309999999999999</v>
      </c>
      <c r="U11" s="23">
        <f t="shared" si="14"/>
        <v>15.976666666666667</v>
      </c>
      <c r="V11" s="27">
        <f t="shared" si="15"/>
        <v>11.071666666666667</v>
      </c>
      <c r="W11" s="35">
        <v>11.52</v>
      </c>
      <c r="X11" s="36">
        <v>5.5</v>
      </c>
      <c r="Y11" s="118">
        <f t="shared" si="16"/>
        <v>7.5066666666666668</v>
      </c>
      <c r="Z11" s="125"/>
      <c r="AA11" s="125"/>
      <c r="AB11" s="35">
        <v>16.3</v>
      </c>
      <c r="AC11" s="36">
        <v>4.5999999999999996</v>
      </c>
      <c r="AD11" s="118">
        <f t="shared" si="17"/>
        <v>8.5</v>
      </c>
      <c r="AE11" s="118">
        <f t="shared" si="18"/>
        <v>8.0033333333333339</v>
      </c>
      <c r="AF11" s="125"/>
      <c r="AG11" s="35">
        <v>18.38</v>
      </c>
      <c r="AH11" s="35">
        <v>7</v>
      </c>
      <c r="AI11" s="118">
        <v>13.6</v>
      </c>
      <c r="AJ11" s="118">
        <v>10.9</v>
      </c>
      <c r="AK11" s="118">
        <f t="shared" si="19"/>
        <v>11.799999999999999</v>
      </c>
      <c r="AL11" s="118">
        <f t="shared" si="20"/>
        <v>12.244999999999999</v>
      </c>
      <c r="AM11" s="35">
        <v>12.5</v>
      </c>
      <c r="AN11" s="36">
        <v>10</v>
      </c>
      <c r="AO11" s="36">
        <v>10</v>
      </c>
      <c r="AP11" s="118">
        <f t="shared" si="21"/>
        <v>10.625</v>
      </c>
      <c r="AQ11" s="92"/>
      <c r="AR11" s="92"/>
      <c r="AS11" s="92"/>
      <c r="AT11" s="92"/>
      <c r="AU11" s="92"/>
      <c r="AV11" s="92"/>
      <c r="AW11" s="92"/>
      <c r="AX11" s="92"/>
      <c r="AY11" s="92"/>
      <c r="AZ11" s="58"/>
      <c r="BA11" s="58"/>
      <c r="BB11" s="58"/>
      <c r="BC11" s="58"/>
      <c r="BD11" s="58"/>
      <c r="BE11" s="58"/>
      <c r="BF11" s="58"/>
      <c r="BG11" s="58"/>
      <c r="BH11" s="58"/>
      <c r="BI11" s="58"/>
      <c r="BJ11" s="58"/>
      <c r="BK11" s="58"/>
      <c r="BL11" s="58"/>
      <c r="BM11" s="58"/>
      <c r="BN11" s="58"/>
      <c r="BO11" s="58"/>
      <c r="BP11" s="58"/>
      <c r="BQ11" s="58"/>
      <c r="BR11" s="58"/>
      <c r="BS11" s="58"/>
    </row>
    <row r="12" spans="1:71" ht="15.75" customHeight="1" x14ac:dyDescent="0.2">
      <c r="A12" s="20">
        <v>7</v>
      </c>
      <c r="B12" s="120">
        <v>22222236</v>
      </c>
      <c r="C12" s="72">
        <v>9.9709555555555553</v>
      </c>
      <c r="D12" s="38"/>
      <c r="E12" s="22">
        <v>10.055999999999999</v>
      </c>
      <c r="F12" s="22"/>
      <c r="G12" s="22">
        <f t="shared" si="1"/>
        <v>10.013477777777776</v>
      </c>
      <c r="H12" s="38"/>
      <c r="I12" s="35"/>
      <c r="J12" s="36"/>
      <c r="K12" s="36"/>
      <c r="L12" s="26"/>
      <c r="M12" s="35"/>
      <c r="N12" s="35"/>
      <c r="O12" s="35"/>
      <c r="P12" s="35"/>
      <c r="Q12" s="35"/>
      <c r="R12" s="26"/>
      <c r="S12" s="35"/>
      <c r="T12" s="35"/>
      <c r="U12" s="26"/>
      <c r="V12" s="27"/>
      <c r="W12" s="35"/>
      <c r="X12" s="36"/>
      <c r="Y12" s="26"/>
      <c r="Z12" s="35"/>
      <c r="AA12" s="35"/>
      <c r="AB12" s="35"/>
      <c r="AC12" s="36"/>
      <c r="AD12" s="26"/>
      <c r="AE12" s="26"/>
      <c r="AF12" s="35"/>
      <c r="AG12" s="35"/>
      <c r="AH12" s="35"/>
      <c r="AI12" s="26"/>
      <c r="AJ12" s="22"/>
      <c r="AK12" s="22"/>
      <c r="AL12" s="22"/>
      <c r="AM12" s="38"/>
      <c r="AN12" s="50"/>
      <c r="AO12" s="50"/>
      <c r="AP12" s="22"/>
      <c r="AQ12" s="92"/>
      <c r="AR12" s="92"/>
      <c r="AS12" s="92"/>
      <c r="AT12" s="92"/>
      <c r="AU12" s="92"/>
      <c r="AV12" s="92"/>
      <c r="AW12" s="92"/>
      <c r="AX12" s="92"/>
      <c r="AY12" s="92"/>
      <c r="AZ12" s="58"/>
      <c r="BA12" s="58"/>
      <c r="BB12" s="58"/>
      <c r="BC12" s="58"/>
      <c r="BD12" s="58"/>
      <c r="BE12" s="58"/>
      <c r="BF12" s="58"/>
      <c r="BG12" s="58"/>
      <c r="BH12" s="58"/>
      <c r="BI12" s="58"/>
      <c r="BJ12" s="58"/>
      <c r="BK12" s="58"/>
      <c r="BL12" s="58"/>
      <c r="BM12" s="58"/>
      <c r="BN12" s="58"/>
      <c r="BO12" s="58"/>
      <c r="BP12" s="58"/>
      <c r="BQ12" s="58"/>
      <c r="BR12" s="58"/>
      <c r="BS12" s="58"/>
    </row>
    <row r="13" spans="1:71" ht="15.75" customHeight="1" x14ac:dyDescent="0.2">
      <c r="A13" s="20">
        <v>8</v>
      </c>
      <c r="B13" s="21">
        <v>22322726</v>
      </c>
      <c r="C13" s="38">
        <v>10.033099073015872</v>
      </c>
      <c r="D13" s="38"/>
      <c r="E13" s="22">
        <f t="shared" ref="E13:E37" si="22">((L13*6)+(V13*6)+(AE13*6)+(AL13*9)+(AP13*3))/30</f>
        <v>10.192166666666667</v>
      </c>
      <c r="F13" s="22"/>
      <c r="G13" s="22">
        <f t="shared" si="1"/>
        <v>10.112632869841271</v>
      </c>
      <c r="H13" s="38"/>
      <c r="I13" s="35">
        <v>12</v>
      </c>
      <c r="J13" s="36">
        <v>6.5</v>
      </c>
      <c r="K13" s="36">
        <v>12.25</v>
      </c>
      <c r="L13" s="27">
        <f t="shared" ref="L13:L37" si="23">(I13+(J13*2)+(K13*3))/6</f>
        <v>10.291666666666666</v>
      </c>
      <c r="M13" s="27"/>
      <c r="N13" s="27"/>
      <c r="O13" s="26">
        <v>0.25</v>
      </c>
      <c r="P13" s="35">
        <v>0.25</v>
      </c>
      <c r="Q13" s="35">
        <v>5</v>
      </c>
      <c r="R13" s="23">
        <f t="shared" ref="R13:R37" si="24">(O13+P13+Q13)/3</f>
        <v>1.8333333333333333</v>
      </c>
      <c r="S13" s="39">
        <v>15.21</v>
      </c>
      <c r="T13" s="39">
        <v>16.309999999999999</v>
      </c>
      <c r="U13" s="23">
        <f t="shared" ref="U13:U37" si="25">((S13*2)+T13)/3</f>
        <v>15.576666666666668</v>
      </c>
      <c r="V13" s="27">
        <f t="shared" ref="V13:V37" si="26">(R13+U13)/2</f>
        <v>8.7050000000000001</v>
      </c>
      <c r="W13" s="35">
        <v>2.61</v>
      </c>
      <c r="X13" s="36">
        <v>1.5</v>
      </c>
      <c r="Y13" s="118">
        <f t="shared" ref="Y13:Y37" si="27">(W13+(X13*2))/3</f>
        <v>1.8699999999999999</v>
      </c>
      <c r="Z13" s="125"/>
      <c r="AA13" s="125"/>
      <c r="AB13" s="35">
        <v>9.1</v>
      </c>
      <c r="AC13" s="36">
        <v>5.4</v>
      </c>
      <c r="AD13" s="118">
        <f t="shared" ref="AD13:AD37" si="28">(AB13+(AC13*2))/3</f>
        <v>6.6333333333333329</v>
      </c>
      <c r="AE13" s="118">
        <f t="shared" ref="AE13:AE37" si="29">(Y13+AD13)/2</f>
        <v>4.251666666666666</v>
      </c>
      <c r="AF13" s="125"/>
      <c r="AG13" s="35">
        <v>18.3</v>
      </c>
      <c r="AH13" s="35">
        <v>11.5</v>
      </c>
      <c r="AI13" s="22">
        <v>13.3</v>
      </c>
      <c r="AJ13" s="22">
        <v>12.8</v>
      </c>
      <c r="AK13" s="118">
        <f t="shared" ref="AK13:AK37" si="30">(AI13+(AJ13*2))/3</f>
        <v>12.966666666666669</v>
      </c>
      <c r="AL13" s="118">
        <f t="shared" ref="AL13:AL37" si="31">((AG13+AH13+(AK13*2))/4)</f>
        <v>13.933333333333334</v>
      </c>
      <c r="AM13" s="35">
        <v>9.5</v>
      </c>
      <c r="AN13" s="36">
        <v>14.5</v>
      </c>
      <c r="AO13" s="36">
        <v>15.5</v>
      </c>
      <c r="AP13" s="118">
        <f t="shared" ref="AP13:AP37" si="32">((AM13*2)+(AN13*3)+(AO13*3))/8</f>
        <v>13.625</v>
      </c>
      <c r="AQ13" s="92"/>
      <c r="AR13" s="92"/>
      <c r="AS13" s="92"/>
      <c r="AT13" s="92"/>
      <c r="AU13" s="92"/>
      <c r="AV13" s="92"/>
      <c r="AW13" s="92"/>
      <c r="AX13" s="92"/>
      <c r="AY13" s="92"/>
      <c r="AZ13" s="58"/>
      <c r="BA13" s="58"/>
      <c r="BB13" s="58"/>
      <c r="BC13" s="58"/>
      <c r="BD13" s="58"/>
      <c r="BE13" s="58"/>
      <c r="BF13" s="58"/>
      <c r="BG13" s="58"/>
      <c r="BH13" s="58"/>
      <c r="BI13" s="58"/>
      <c r="BJ13" s="58"/>
      <c r="BK13" s="58"/>
      <c r="BL13" s="58"/>
      <c r="BM13" s="58"/>
      <c r="BN13" s="58"/>
      <c r="BO13" s="58"/>
      <c r="BP13" s="58"/>
      <c r="BQ13" s="58"/>
      <c r="BR13" s="58"/>
      <c r="BS13" s="58"/>
    </row>
    <row r="14" spans="1:71" ht="15.75" customHeight="1" x14ac:dyDescent="0.2">
      <c r="A14" s="20">
        <v>9</v>
      </c>
      <c r="B14" s="21">
        <v>22322641</v>
      </c>
      <c r="C14" s="72">
        <v>9.8945251746031726</v>
      </c>
      <c r="D14" s="38"/>
      <c r="E14" s="22">
        <f t="shared" si="22"/>
        <v>11.398999999999999</v>
      </c>
      <c r="F14" s="22"/>
      <c r="G14" s="22">
        <f t="shared" si="1"/>
        <v>10.646762587301586</v>
      </c>
      <c r="H14" s="38"/>
      <c r="I14" s="35">
        <v>18</v>
      </c>
      <c r="J14" s="36">
        <v>10.5</v>
      </c>
      <c r="K14" s="36">
        <v>13.25</v>
      </c>
      <c r="L14" s="27">
        <f t="shared" si="23"/>
        <v>13.125</v>
      </c>
      <c r="M14" s="124"/>
      <c r="N14" s="124"/>
      <c r="O14" s="35">
        <v>2.25</v>
      </c>
      <c r="P14" s="35">
        <v>1</v>
      </c>
      <c r="Q14" s="35">
        <v>8</v>
      </c>
      <c r="R14" s="23">
        <f t="shared" si="24"/>
        <v>3.75</v>
      </c>
      <c r="S14" s="39">
        <v>17.02</v>
      </c>
      <c r="T14" s="39">
        <v>17.809999999999999</v>
      </c>
      <c r="U14" s="23">
        <f t="shared" si="25"/>
        <v>17.283333333333331</v>
      </c>
      <c r="V14" s="27">
        <f t="shared" si="26"/>
        <v>10.516666666666666</v>
      </c>
      <c r="W14" s="35">
        <v>12.17</v>
      </c>
      <c r="X14" s="36">
        <v>0.8</v>
      </c>
      <c r="Y14" s="118">
        <f t="shared" si="27"/>
        <v>4.59</v>
      </c>
      <c r="Z14" s="125"/>
      <c r="AA14" s="125"/>
      <c r="AB14" s="35">
        <v>12.2</v>
      </c>
      <c r="AC14" s="36">
        <v>3</v>
      </c>
      <c r="AD14" s="118">
        <f t="shared" si="28"/>
        <v>6.0666666666666664</v>
      </c>
      <c r="AE14" s="118">
        <f t="shared" si="29"/>
        <v>5.3283333333333331</v>
      </c>
      <c r="AF14" s="125"/>
      <c r="AG14" s="35">
        <v>18.899999999999999</v>
      </c>
      <c r="AH14" s="35">
        <v>16.5</v>
      </c>
      <c r="AI14" s="22">
        <v>13</v>
      </c>
      <c r="AJ14" s="22">
        <v>12</v>
      </c>
      <c r="AK14" s="118">
        <f t="shared" si="30"/>
        <v>12.333333333333334</v>
      </c>
      <c r="AL14" s="118">
        <f t="shared" si="31"/>
        <v>15.016666666666666</v>
      </c>
      <c r="AM14" s="35">
        <v>12.5</v>
      </c>
      <c r="AN14" s="36">
        <v>8</v>
      </c>
      <c r="AO14" s="36">
        <v>13</v>
      </c>
      <c r="AP14" s="118">
        <f t="shared" si="32"/>
        <v>11</v>
      </c>
      <c r="AQ14" s="92"/>
      <c r="AR14" s="92"/>
      <c r="AS14" s="92"/>
      <c r="AT14" s="92"/>
      <c r="AU14" s="92"/>
      <c r="AV14" s="92"/>
      <c r="AW14" s="92"/>
      <c r="AX14" s="92"/>
      <c r="AY14" s="92"/>
      <c r="AZ14" s="58"/>
      <c r="BA14" s="58"/>
      <c r="BB14" s="58"/>
      <c r="BC14" s="58"/>
      <c r="BD14" s="58"/>
      <c r="BE14" s="58"/>
      <c r="BF14" s="58"/>
      <c r="BG14" s="58"/>
      <c r="BH14" s="58"/>
      <c r="BI14" s="58"/>
      <c r="BJ14" s="58"/>
      <c r="BK14" s="58"/>
      <c r="BL14" s="58"/>
      <c r="BM14" s="58"/>
      <c r="BN14" s="58"/>
      <c r="BO14" s="58"/>
      <c r="BP14" s="58"/>
      <c r="BQ14" s="58"/>
      <c r="BR14" s="58"/>
      <c r="BS14" s="58"/>
    </row>
    <row r="15" spans="1:71" ht="15.75" customHeight="1" x14ac:dyDescent="0.2">
      <c r="A15" s="20">
        <v>10</v>
      </c>
      <c r="B15" s="21">
        <v>22322770</v>
      </c>
      <c r="C15" s="72">
        <v>9.8905101587301605</v>
      </c>
      <c r="D15" s="38"/>
      <c r="E15" s="22">
        <f t="shared" si="22"/>
        <v>11.430333333333332</v>
      </c>
      <c r="F15" s="22"/>
      <c r="G15" s="22">
        <f t="shared" si="1"/>
        <v>10.660421746031746</v>
      </c>
      <c r="H15" s="38"/>
      <c r="I15" s="35">
        <v>18</v>
      </c>
      <c r="J15" s="36">
        <v>5.75</v>
      </c>
      <c r="K15" s="36">
        <v>16</v>
      </c>
      <c r="L15" s="27">
        <f t="shared" si="23"/>
        <v>12.916666666666666</v>
      </c>
      <c r="M15" s="124"/>
      <c r="N15" s="124"/>
      <c r="O15" s="35">
        <v>3.5</v>
      </c>
      <c r="P15" s="35">
        <v>2</v>
      </c>
      <c r="Q15" s="35">
        <v>4</v>
      </c>
      <c r="R15" s="23">
        <f t="shared" si="24"/>
        <v>3.1666666666666665</v>
      </c>
      <c r="S15" s="39">
        <v>17.559999999999999</v>
      </c>
      <c r="T15" s="39">
        <v>15.51</v>
      </c>
      <c r="U15" s="23">
        <f t="shared" si="25"/>
        <v>16.876666666666665</v>
      </c>
      <c r="V15" s="27">
        <f t="shared" si="26"/>
        <v>10.021666666666667</v>
      </c>
      <c r="W15" s="35">
        <v>12.83</v>
      </c>
      <c r="X15" s="36">
        <v>5.3</v>
      </c>
      <c r="Y15" s="118">
        <f t="shared" si="27"/>
        <v>7.81</v>
      </c>
      <c r="Z15" s="125"/>
      <c r="AA15" s="125"/>
      <c r="AB15" s="35">
        <v>12.2</v>
      </c>
      <c r="AC15" s="36">
        <v>4.8</v>
      </c>
      <c r="AD15" s="118">
        <f t="shared" si="28"/>
        <v>7.2666666666666657</v>
      </c>
      <c r="AE15" s="118">
        <f t="shared" si="29"/>
        <v>7.5383333333333322</v>
      </c>
      <c r="AF15" s="125"/>
      <c r="AG15" s="35">
        <v>19</v>
      </c>
      <c r="AH15" s="35">
        <v>11</v>
      </c>
      <c r="AI15" s="118">
        <v>11.3</v>
      </c>
      <c r="AJ15" s="118">
        <v>9.6999999999999993</v>
      </c>
      <c r="AK15" s="118">
        <f t="shared" si="30"/>
        <v>10.233333333333333</v>
      </c>
      <c r="AL15" s="118">
        <f t="shared" si="31"/>
        <v>12.616666666666667</v>
      </c>
      <c r="AM15" s="35">
        <v>17</v>
      </c>
      <c r="AN15" s="36">
        <v>17</v>
      </c>
      <c r="AO15" s="36">
        <v>13</v>
      </c>
      <c r="AP15" s="118">
        <f t="shared" si="32"/>
        <v>15.5</v>
      </c>
      <c r="AQ15" s="92"/>
      <c r="AR15" s="92"/>
      <c r="AS15" s="92"/>
      <c r="AT15" s="92"/>
      <c r="AU15" s="92"/>
      <c r="AV15" s="92"/>
      <c r="AW15" s="92"/>
      <c r="AX15" s="92"/>
      <c r="AY15" s="92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</row>
    <row r="16" spans="1:71" ht="15.75" customHeight="1" x14ac:dyDescent="0.2">
      <c r="A16" s="20">
        <v>11</v>
      </c>
      <c r="B16" s="21">
        <v>22322764</v>
      </c>
      <c r="C16" s="38">
        <v>10.352079365079366</v>
      </c>
      <c r="D16" s="38"/>
      <c r="E16" s="22">
        <f t="shared" si="22"/>
        <v>10.97125</v>
      </c>
      <c r="F16" s="22"/>
      <c r="G16" s="22">
        <f t="shared" si="1"/>
        <v>10.661664682539683</v>
      </c>
      <c r="H16" s="38"/>
      <c r="I16" s="35">
        <v>15</v>
      </c>
      <c r="J16" s="36">
        <v>3.5</v>
      </c>
      <c r="K16" s="36">
        <v>12.25</v>
      </c>
      <c r="L16" s="27">
        <f t="shared" si="23"/>
        <v>9.7916666666666661</v>
      </c>
      <c r="M16" s="124"/>
      <c r="N16" s="124"/>
      <c r="O16" s="35">
        <v>3</v>
      </c>
      <c r="P16" s="35">
        <v>1</v>
      </c>
      <c r="Q16" s="35">
        <v>9</v>
      </c>
      <c r="R16" s="23">
        <f t="shared" si="24"/>
        <v>4.333333333333333</v>
      </c>
      <c r="S16" s="39">
        <v>17.77</v>
      </c>
      <c r="T16" s="39">
        <v>17.559999999999999</v>
      </c>
      <c r="U16" s="23">
        <f t="shared" si="25"/>
        <v>17.7</v>
      </c>
      <c r="V16" s="27">
        <f t="shared" si="26"/>
        <v>11.016666666666666</v>
      </c>
      <c r="W16" s="35">
        <v>5.65</v>
      </c>
      <c r="X16" s="36">
        <v>4</v>
      </c>
      <c r="Y16" s="118">
        <f t="shared" si="27"/>
        <v>4.55</v>
      </c>
      <c r="Z16" s="125"/>
      <c r="AA16" s="125"/>
      <c r="AB16" s="35">
        <v>10.4</v>
      </c>
      <c r="AC16" s="36">
        <v>5.2</v>
      </c>
      <c r="AD16" s="118">
        <f t="shared" si="28"/>
        <v>6.9333333333333336</v>
      </c>
      <c r="AE16" s="118">
        <f t="shared" si="29"/>
        <v>5.7416666666666671</v>
      </c>
      <c r="AF16" s="125"/>
      <c r="AG16" s="35">
        <v>17</v>
      </c>
      <c r="AH16" s="35">
        <v>13</v>
      </c>
      <c r="AI16" s="22">
        <v>14.2</v>
      </c>
      <c r="AJ16" s="22">
        <v>13.2</v>
      </c>
      <c r="AK16" s="118">
        <f t="shared" si="30"/>
        <v>13.533333333333331</v>
      </c>
      <c r="AL16" s="118">
        <f t="shared" si="31"/>
        <v>14.266666666666666</v>
      </c>
      <c r="AM16" s="35">
        <v>11</v>
      </c>
      <c r="AN16" s="36">
        <v>15.5</v>
      </c>
      <c r="AO16" s="36">
        <v>14</v>
      </c>
      <c r="AP16" s="118">
        <f t="shared" si="32"/>
        <v>13.8125</v>
      </c>
      <c r="AQ16" s="92"/>
      <c r="AR16" s="92"/>
      <c r="AS16" s="92"/>
      <c r="AT16" s="92"/>
      <c r="AU16" s="92"/>
      <c r="AV16" s="92"/>
      <c r="AW16" s="92"/>
      <c r="AX16" s="92"/>
      <c r="AY16" s="92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</row>
    <row r="17" spans="1:71" ht="15.75" customHeight="1" x14ac:dyDescent="0.2">
      <c r="A17" s="20">
        <v>12</v>
      </c>
      <c r="B17" s="21">
        <v>22322710</v>
      </c>
      <c r="C17" s="38">
        <v>10.363071295238095</v>
      </c>
      <c r="D17" s="38"/>
      <c r="E17" s="22">
        <f t="shared" si="22"/>
        <v>11.023999999999999</v>
      </c>
      <c r="F17" s="22"/>
      <c r="G17" s="22">
        <f t="shared" si="1"/>
        <v>10.693535647619047</v>
      </c>
      <c r="H17" s="38"/>
      <c r="I17" s="35">
        <v>12</v>
      </c>
      <c r="J17" s="36">
        <v>5.25</v>
      </c>
      <c r="K17" s="36">
        <v>14.5</v>
      </c>
      <c r="L17" s="27">
        <f t="shared" si="23"/>
        <v>11</v>
      </c>
      <c r="M17" s="124"/>
      <c r="N17" s="124"/>
      <c r="O17" s="35">
        <v>5.5</v>
      </c>
      <c r="P17" s="35">
        <v>2.5</v>
      </c>
      <c r="Q17" s="35">
        <v>7</v>
      </c>
      <c r="R17" s="23">
        <f t="shared" si="24"/>
        <v>5</v>
      </c>
      <c r="S17" s="39">
        <v>15.74</v>
      </c>
      <c r="T17" s="39">
        <v>15.66</v>
      </c>
      <c r="U17" s="23">
        <f t="shared" si="25"/>
        <v>15.713333333333333</v>
      </c>
      <c r="V17" s="27">
        <f t="shared" si="26"/>
        <v>10.356666666666666</v>
      </c>
      <c r="W17" s="35">
        <v>15.43</v>
      </c>
      <c r="X17" s="36">
        <v>3.7</v>
      </c>
      <c r="Y17" s="118">
        <f t="shared" si="27"/>
        <v>7.6099999999999994</v>
      </c>
      <c r="Z17" s="125"/>
      <c r="AA17" s="125"/>
      <c r="AB17" s="35">
        <v>11.8</v>
      </c>
      <c r="AC17" s="36">
        <v>9.1999999999999993</v>
      </c>
      <c r="AD17" s="118">
        <f t="shared" si="28"/>
        <v>10.066666666666666</v>
      </c>
      <c r="AE17" s="118">
        <f t="shared" si="29"/>
        <v>8.8383333333333329</v>
      </c>
      <c r="AF17" s="125"/>
      <c r="AG17" s="35">
        <v>18.2</v>
      </c>
      <c r="AH17" s="35">
        <v>10.5</v>
      </c>
      <c r="AI17" s="118">
        <v>10.6</v>
      </c>
      <c r="AJ17" s="118">
        <v>9.4</v>
      </c>
      <c r="AK17" s="118">
        <f t="shared" si="30"/>
        <v>9.7999999999999989</v>
      </c>
      <c r="AL17" s="118">
        <f t="shared" si="31"/>
        <v>12.074999999999999</v>
      </c>
      <c r="AM17" s="35">
        <v>14</v>
      </c>
      <c r="AN17" s="36">
        <v>14</v>
      </c>
      <c r="AO17" s="36">
        <v>13</v>
      </c>
      <c r="AP17" s="118">
        <f t="shared" si="32"/>
        <v>13.625</v>
      </c>
      <c r="AQ17" s="92"/>
      <c r="AR17" s="92"/>
      <c r="AS17" s="92"/>
      <c r="AT17" s="92"/>
      <c r="AU17" s="92"/>
      <c r="AV17" s="92"/>
      <c r="AW17" s="92"/>
      <c r="AX17" s="92"/>
      <c r="AY17" s="92"/>
      <c r="AZ17" s="58"/>
      <c r="BA17" s="58"/>
      <c r="BB17" s="58"/>
      <c r="BC17" s="58"/>
      <c r="BD17" s="58"/>
      <c r="BE17" s="58"/>
      <c r="BF17" s="58"/>
      <c r="BG17" s="58"/>
      <c r="BH17" s="58"/>
      <c r="BI17" s="58"/>
      <c r="BJ17" s="58"/>
      <c r="BK17" s="58"/>
      <c r="BL17" s="58"/>
      <c r="BM17" s="58"/>
      <c r="BN17" s="58"/>
      <c r="BO17" s="58"/>
      <c r="BP17" s="58"/>
      <c r="BQ17" s="58"/>
      <c r="BR17" s="58"/>
      <c r="BS17" s="58"/>
    </row>
    <row r="18" spans="1:71" ht="15.75" customHeight="1" x14ac:dyDescent="0.2">
      <c r="A18" s="20">
        <v>13</v>
      </c>
      <c r="B18" s="21">
        <v>22322743</v>
      </c>
      <c r="C18" s="38">
        <v>10.892183492063491</v>
      </c>
      <c r="D18" s="38"/>
      <c r="E18" s="22">
        <f t="shared" si="22"/>
        <v>10.746416666666669</v>
      </c>
      <c r="F18" s="22"/>
      <c r="G18" s="22">
        <f t="shared" si="1"/>
        <v>10.81930007936508</v>
      </c>
      <c r="H18" s="38"/>
      <c r="I18" s="35">
        <v>16</v>
      </c>
      <c r="J18" s="36">
        <v>9.5</v>
      </c>
      <c r="K18" s="36">
        <v>10</v>
      </c>
      <c r="L18" s="27">
        <f t="shared" si="23"/>
        <v>10.833333333333334</v>
      </c>
      <c r="M18" s="124"/>
      <c r="N18" s="124"/>
      <c r="O18" s="35">
        <v>2.5</v>
      </c>
      <c r="P18" s="35">
        <v>6</v>
      </c>
      <c r="Q18" s="35">
        <v>12</v>
      </c>
      <c r="R18" s="23">
        <f t="shared" si="24"/>
        <v>6.833333333333333</v>
      </c>
      <c r="S18" s="39">
        <v>17.45</v>
      </c>
      <c r="T18" s="39">
        <v>17.27</v>
      </c>
      <c r="U18" s="23">
        <f t="shared" si="25"/>
        <v>17.39</v>
      </c>
      <c r="V18" s="27">
        <f t="shared" si="26"/>
        <v>12.111666666666666</v>
      </c>
      <c r="W18" s="35">
        <v>8.26</v>
      </c>
      <c r="X18" s="36">
        <v>3.2</v>
      </c>
      <c r="Y18" s="118">
        <f t="shared" si="27"/>
        <v>4.8866666666666667</v>
      </c>
      <c r="Z18" s="125"/>
      <c r="AA18" s="125"/>
      <c r="AB18" s="35">
        <v>10.8</v>
      </c>
      <c r="AC18" s="36">
        <v>6</v>
      </c>
      <c r="AD18" s="118">
        <f t="shared" si="28"/>
        <v>7.6000000000000005</v>
      </c>
      <c r="AE18" s="118">
        <f t="shared" si="29"/>
        <v>6.2433333333333341</v>
      </c>
      <c r="AF18" s="125"/>
      <c r="AG18" s="35">
        <v>17.2</v>
      </c>
      <c r="AH18" s="35">
        <v>7.5</v>
      </c>
      <c r="AI18" s="118">
        <v>13.1</v>
      </c>
      <c r="AJ18" s="118">
        <v>11.2</v>
      </c>
      <c r="AK18" s="118">
        <f t="shared" si="30"/>
        <v>11.833333333333334</v>
      </c>
      <c r="AL18" s="118">
        <f t="shared" si="31"/>
        <v>12.091666666666667</v>
      </c>
      <c r="AM18" s="35">
        <v>14.5</v>
      </c>
      <c r="AN18" s="36">
        <v>13.5</v>
      </c>
      <c r="AO18" s="36">
        <v>11</v>
      </c>
      <c r="AP18" s="118">
        <f t="shared" si="32"/>
        <v>12.8125</v>
      </c>
      <c r="AQ18" s="92"/>
      <c r="AR18" s="92"/>
      <c r="AS18" s="92"/>
      <c r="AT18" s="92"/>
      <c r="AU18" s="92"/>
      <c r="AV18" s="92"/>
      <c r="AW18" s="92"/>
      <c r="AX18" s="92"/>
      <c r="AY18" s="92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</row>
    <row r="19" spans="1:71" ht="15.75" customHeight="1" x14ac:dyDescent="0.2">
      <c r="A19" s="20">
        <v>14</v>
      </c>
      <c r="B19" s="21">
        <v>22322738</v>
      </c>
      <c r="C19" s="38">
        <v>10.003700952380951</v>
      </c>
      <c r="D19" s="38"/>
      <c r="E19" s="22">
        <f t="shared" si="22"/>
        <v>11.706250000000001</v>
      </c>
      <c r="F19" s="22"/>
      <c r="G19" s="22">
        <f t="shared" si="1"/>
        <v>10.854975476190475</v>
      </c>
      <c r="H19" s="38"/>
      <c r="I19" s="35">
        <v>18</v>
      </c>
      <c r="J19" s="36">
        <v>4.25</v>
      </c>
      <c r="K19" s="36">
        <v>8.75</v>
      </c>
      <c r="L19" s="27">
        <f t="shared" si="23"/>
        <v>8.7916666666666661</v>
      </c>
      <c r="M19" s="124"/>
      <c r="N19" s="124"/>
      <c r="O19" s="35">
        <v>1.5</v>
      </c>
      <c r="P19" s="35">
        <v>2.25</v>
      </c>
      <c r="Q19" s="35">
        <v>11</v>
      </c>
      <c r="R19" s="23">
        <f t="shared" si="24"/>
        <v>4.916666666666667</v>
      </c>
      <c r="S19" s="39">
        <v>17.77</v>
      </c>
      <c r="T19" s="39">
        <v>17.71</v>
      </c>
      <c r="U19" s="23">
        <f t="shared" si="25"/>
        <v>17.75</v>
      </c>
      <c r="V19" s="27">
        <f t="shared" si="26"/>
        <v>11.333333333333334</v>
      </c>
      <c r="W19" s="35">
        <v>10.65</v>
      </c>
      <c r="X19" s="36">
        <v>5.5</v>
      </c>
      <c r="Y19" s="118">
        <f t="shared" si="27"/>
        <v>7.2166666666666659</v>
      </c>
      <c r="Z19" s="125"/>
      <c r="AA19" s="125"/>
      <c r="AB19" s="35">
        <v>7.2</v>
      </c>
      <c r="AC19" s="36">
        <v>7.1</v>
      </c>
      <c r="AD19" s="118">
        <f t="shared" si="28"/>
        <v>7.1333333333333329</v>
      </c>
      <c r="AE19" s="118">
        <f t="shared" si="29"/>
        <v>7.1749999999999989</v>
      </c>
      <c r="AF19" s="125"/>
      <c r="AG19" s="35">
        <v>18.8</v>
      </c>
      <c r="AH19" s="35">
        <v>17</v>
      </c>
      <c r="AI19" s="118">
        <v>15</v>
      </c>
      <c r="AJ19" s="118">
        <v>12.8</v>
      </c>
      <c r="AK19" s="118">
        <f t="shared" si="30"/>
        <v>13.533333333333333</v>
      </c>
      <c r="AL19" s="118">
        <f t="shared" si="31"/>
        <v>15.716666666666665</v>
      </c>
      <c r="AM19" s="35">
        <v>14</v>
      </c>
      <c r="AN19" s="36">
        <v>15</v>
      </c>
      <c r="AO19" s="36">
        <v>16.5</v>
      </c>
      <c r="AP19" s="118">
        <f t="shared" si="32"/>
        <v>15.3125</v>
      </c>
      <c r="AQ19" s="92"/>
      <c r="AR19" s="92"/>
      <c r="AS19" s="92"/>
      <c r="AT19" s="92"/>
      <c r="AU19" s="92"/>
      <c r="AV19" s="92"/>
      <c r="AW19" s="92"/>
      <c r="AX19" s="92"/>
      <c r="AY19" s="92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</row>
    <row r="20" spans="1:71" ht="15.75" customHeight="1" x14ac:dyDescent="0.2">
      <c r="A20" s="20">
        <v>15</v>
      </c>
      <c r="B20" s="21">
        <v>22322762</v>
      </c>
      <c r="C20" s="38">
        <v>11.327336888888889</v>
      </c>
      <c r="D20" s="38"/>
      <c r="E20" s="22">
        <f t="shared" si="22"/>
        <v>10.77275</v>
      </c>
      <c r="F20" s="22"/>
      <c r="G20" s="22">
        <f t="shared" si="1"/>
        <v>11.050043444444444</v>
      </c>
      <c r="H20" s="38"/>
      <c r="I20" s="35">
        <v>20</v>
      </c>
      <c r="J20" s="36">
        <v>9.75</v>
      </c>
      <c r="K20" s="36">
        <v>17.5</v>
      </c>
      <c r="L20" s="27">
        <f t="shared" si="23"/>
        <v>15.333333333333334</v>
      </c>
      <c r="M20" s="124"/>
      <c r="N20" s="124"/>
      <c r="O20" s="35">
        <v>2.75</v>
      </c>
      <c r="P20" s="35">
        <v>0.25</v>
      </c>
      <c r="Q20" s="35">
        <v>9</v>
      </c>
      <c r="R20" s="23">
        <f t="shared" si="24"/>
        <v>4</v>
      </c>
      <c r="S20" s="39">
        <v>16.32</v>
      </c>
      <c r="T20" s="39">
        <v>16.11</v>
      </c>
      <c r="U20" s="23">
        <f t="shared" si="25"/>
        <v>16.25</v>
      </c>
      <c r="V20" s="27">
        <f t="shared" si="26"/>
        <v>10.125</v>
      </c>
      <c r="W20" s="35">
        <v>9.57</v>
      </c>
      <c r="X20" s="36">
        <v>3.2</v>
      </c>
      <c r="Y20" s="118">
        <f t="shared" si="27"/>
        <v>5.3233333333333333</v>
      </c>
      <c r="Z20" s="125"/>
      <c r="AA20" s="125"/>
      <c r="AB20" s="35">
        <v>13.5</v>
      </c>
      <c r="AC20" s="36">
        <v>6.6</v>
      </c>
      <c r="AD20" s="118">
        <f t="shared" si="28"/>
        <v>8.9</v>
      </c>
      <c r="AE20" s="118">
        <f t="shared" si="29"/>
        <v>7.1116666666666664</v>
      </c>
      <c r="AF20" s="125"/>
      <c r="AG20" s="35">
        <v>18</v>
      </c>
      <c r="AH20" s="35">
        <v>8</v>
      </c>
      <c r="AI20" s="118">
        <v>8.8000000000000007</v>
      </c>
      <c r="AJ20" s="118">
        <v>8.5</v>
      </c>
      <c r="AK20" s="118">
        <f t="shared" si="30"/>
        <v>8.6</v>
      </c>
      <c r="AL20" s="118">
        <f t="shared" si="31"/>
        <v>10.8</v>
      </c>
      <c r="AM20" s="44">
        <v>10</v>
      </c>
      <c r="AN20" s="35">
        <v>10.5</v>
      </c>
      <c r="AO20" s="36">
        <v>10</v>
      </c>
      <c r="AP20" s="118">
        <f t="shared" si="32"/>
        <v>10.1875</v>
      </c>
      <c r="AQ20" s="92"/>
      <c r="AR20" s="92"/>
      <c r="AS20" s="92"/>
      <c r="AT20" s="92"/>
      <c r="AU20" s="92"/>
      <c r="AV20" s="92"/>
      <c r="AW20" s="92"/>
      <c r="AX20" s="92"/>
      <c r="AY20" s="92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</row>
    <row r="21" spans="1:71" ht="15.75" customHeight="1" x14ac:dyDescent="0.2">
      <c r="A21" s="20">
        <v>16</v>
      </c>
      <c r="B21" s="21">
        <v>22322753</v>
      </c>
      <c r="C21" s="38">
        <v>10.97000038095238</v>
      </c>
      <c r="D21" s="38"/>
      <c r="E21" s="22">
        <f t="shared" si="22"/>
        <v>13.292166666666667</v>
      </c>
      <c r="F21" s="22"/>
      <c r="G21" s="22">
        <f t="shared" si="1"/>
        <v>12.131083523809522</v>
      </c>
      <c r="H21" s="38"/>
      <c r="I21" s="35">
        <v>18</v>
      </c>
      <c r="J21" s="36">
        <v>13.5</v>
      </c>
      <c r="K21" s="36">
        <v>13.5</v>
      </c>
      <c r="L21" s="27">
        <f t="shared" si="23"/>
        <v>14.25</v>
      </c>
      <c r="M21" s="124"/>
      <c r="N21" s="124"/>
      <c r="O21" s="35">
        <v>6.5</v>
      </c>
      <c r="P21" s="35">
        <v>4.5</v>
      </c>
      <c r="Q21" s="35">
        <v>5</v>
      </c>
      <c r="R21" s="23">
        <f t="shared" si="24"/>
        <v>5.333333333333333</v>
      </c>
      <c r="S21" s="39">
        <v>17.02</v>
      </c>
      <c r="T21" s="39">
        <v>17.809999999999999</v>
      </c>
      <c r="U21" s="23">
        <f t="shared" si="25"/>
        <v>17.283333333333331</v>
      </c>
      <c r="V21" s="27">
        <f t="shared" si="26"/>
        <v>11.308333333333332</v>
      </c>
      <c r="W21" s="35">
        <v>11.09</v>
      </c>
      <c r="X21" s="36">
        <v>4.7</v>
      </c>
      <c r="Y21" s="118">
        <f t="shared" si="27"/>
        <v>6.830000000000001</v>
      </c>
      <c r="Z21" s="125"/>
      <c r="AA21" s="125"/>
      <c r="AB21" s="35">
        <v>15.7</v>
      </c>
      <c r="AC21" s="36">
        <v>8.5</v>
      </c>
      <c r="AD21" s="118">
        <f t="shared" si="28"/>
        <v>10.9</v>
      </c>
      <c r="AE21" s="118">
        <f t="shared" si="29"/>
        <v>8.8650000000000002</v>
      </c>
      <c r="AF21" s="125"/>
      <c r="AG21" s="35">
        <v>19.2</v>
      </c>
      <c r="AH21" s="35">
        <v>17</v>
      </c>
      <c r="AI21" s="118">
        <v>15.7</v>
      </c>
      <c r="AJ21" s="118">
        <v>15.7</v>
      </c>
      <c r="AK21" s="118">
        <f t="shared" si="30"/>
        <v>15.699999999999998</v>
      </c>
      <c r="AL21" s="118">
        <f t="shared" si="31"/>
        <v>16.899999999999999</v>
      </c>
      <c r="AM21" s="36">
        <v>14.5</v>
      </c>
      <c r="AN21" s="35">
        <v>14</v>
      </c>
      <c r="AO21" s="36">
        <v>12</v>
      </c>
      <c r="AP21" s="118">
        <f t="shared" si="32"/>
        <v>13.375</v>
      </c>
      <c r="AQ21" s="92"/>
      <c r="AR21" s="92"/>
      <c r="AS21" s="92"/>
      <c r="AT21" s="92"/>
      <c r="AU21" s="92"/>
      <c r="AV21" s="92"/>
      <c r="AW21" s="92"/>
      <c r="AX21" s="92"/>
      <c r="AY21" s="92"/>
      <c r="AZ21" s="58"/>
      <c r="BA21" s="58"/>
      <c r="BB21" s="58"/>
      <c r="BC21" s="58"/>
      <c r="BD21" s="58"/>
      <c r="BE21" s="58"/>
      <c r="BF21" s="58"/>
      <c r="BG21" s="58"/>
      <c r="BH21" s="58"/>
      <c r="BI21" s="58"/>
      <c r="BJ21" s="58"/>
      <c r="BK21" s="58"/>
      <c r="BL21" s="58"/>
      <c r="BM21" s="58"/>
      <c r="BN21" s="58"/>
      <c r="BO21" s="58"/>
      <c r="BP21" s="58"/>
      <c r="BQ21" s="58"/>
      <c r="BR21" s="58"/>
      <c r="BS21" s="58"/>
    </row>
    <row r="22" spans="1:71" ht="16.5" customHeight="1" x14ac:dyDescent="0.2">
      <c r="A22" s="20">
        <v>17</v>
      </c>
      <c r="B22" s="21">
        <v>22322711</v>
      </c>
      <c r="C22" s="38">
        <v>11.808550222222221</v>
      </c>
      <c r="D22" s="38"/>
      <c r="E22" s="22">
        <f t="shared" si="22"/>
        <v>13.657833333333334</v>
      </c>
      <c r="F22" s="22"/>
      <c r="G22" s="22">
        <f t="shared" si="1"/>
        <v>12.733191777777778</v>
      </c>
      <c r="H22" s="38"/>
      <c r="I22" s="35">
        <v>20</v>
      </c>
      <c r="J22" s="36">
        <v>18</v>
      </c>
      <c r="K22" s="36">
        <v>15.25</v>
      </c>
      <c r="L22" s="27">
        <f t="shared" si="23"/>
        <v>16.958333333333332</v>
      </c>
      <c r="M22" s="124"/>
      <c r="N22" s="124"/>
      <c r="O22" s="35">
        <v>10.5</v>
      </c>
      <c r="P22" s="35">
        <v>7.75</v>
      </c>
      <c r="Q22" s="35">
        <v>10</v>
      </c>
      <c r="R22" s="23">
        <f t="shared" si="24"/>
        <v>9.4166666666666661</v>
      </c>
      <c r="S22" s="39">
        <v>16.79</v>
      </c>
      <c r="T22" s="39">
        <v>16.649999999999999</v>
      </c>
      <c r="U22" s="23">
        <f t="shared" si="25"/>
        <v>16.743333333333332</v>
      </c>
      <c r="V22" s="27">
        <f t="shared" si="26"/>
        <v>13.079999999999998</v>
      </c>
      <c r="W22" s="35">
        <v>16.3</v>
      </c>
      <c r="X22" s="36">
        <v>3.8</v>
      </c>
      <c r="Y22" s="118">
        <f t="shared" si="27"/>
        <v>7.9666666666666659</v>
      </c>
      <c r="Z22" s="125"/>
      <c r="AA22" s="125"/>
      <c r="AB22" s="35">
        <v>17.2</v>
      </c>
      <c r="AC22" s="36">
        <v>8.8000000000000007</v>
      </c>
      <c r="AD22" s="118">
        <f t="shared" si="28"/>
        <v>11.6</v>
      </c>
      <c r="AE22" s="118">
        <f t="shared" si="29"/>
        <v>9.7833333333333332</v>
      </c>
      <c r="AF22" s="125"/>
      <c r="AG22" s="35">
        <v>17.399999999999999</v>
      </c>
      <c r="AH22" s="35">
        <v>15</v>
      </c>
      <c r="AI22" s="118">
        <v>13.3</v>
      </c>
      <c r="AJ22" s="118">
        <v>8.11</v>
      </c>
      <c r="AK22" s="118">
        <f t="shared" si="30"/>
        <v>9.84</v>
      </c>
      <c r="AL22" s="118">
        <f t="shared" si="31"/>
        <v>13.02</v>
      </c>
      <c r="AM22" s="36">
        <v>17.5</v>
      </c>
      <c r="AN22" s="35">
        <v>19</v>
      </c>
      <c r="AO22" s="36">
        <v>17</v>
      </c>
      <c r="AP22" s="118">
        <f t="shared" si="32"/>
        <v>17.875</v>
      </c>
      <c r="AQ22" s="92"/>
      <c r="AR22" s="92"/>
      <c r="AS22" s="92"/>
      <c r="AT22" s="92"/>
      <c r="AU22" s="92"/>
      <c r="AV22" s="92"/>
      <c r="AW22" s="92"/>
      <c r="AX22" s="92"/>
      <c r="AY22" s="92"/>
      <c r="AZ22" s="58"/>
      <c r="BA22" s="58"/>
      <c r="BB22" s="58"/>
      <c r="BC22" s="58"/>
      <c r="BD22" s="58"/>
      <c r="BE22" s="58"/>
      <c r="BF22" s="58"/>
      <c r="BG22" s="58"/>
      <c r="BH22" s="58"/>
      <c r="BI22" s="58"/>
      <c r="BJ22" s="58"/>
      <c r="BK22" s="58"/>
      <c r="BL22" s="58"/>
      <c r="BM22" s="58"/>
      <c r="BN22" s="58"/>
      <c r="BO22" s="58"/>
      <c r="BP22" s="58"/>
      <c r="BQ22" s="58"/>
      <c r="BR22" s="58"/>
      <c r="BS22" s="58"/>
    </row>
    <row r="23" spans="1:71" ht="15.75" customHeight="1" x14ac:dyDescent="0.2">
      <c r="A23" s="20">
        <v>18</v>
      </c>
      <c r="B23" s="21">
        <v>22322642</v>
      </c>
      <c r="C23" s="38">
        <v>13.103772126984127</v>
      </c>
      <c r="D23" s="38"/>
      <c r="E23" s="22">
        <f t="shared" si="22"/>
        <v>13.087666666666667</v>
      </c>
      <c r="F23" s="22"/>
      <c r="G23" s="22">
        <f t="shared" si="1"/>
        <v>13.095719396825398</v>
      </c>
      <c r="H23" s="38"/>
      <c r="I23" s="35">
        <v>20</v>
      </c>
      <c r="J23" s="36">
        <v>19</v>
      </c>
      <c r="K23" s="36">
        <v>12.5</v>
      </c>
      <c r="L23" s="27">
        <f t="shared" si="23"/>
        <v>15.916666666666666</v>
      </c>
      <c r="M23" s="124"/>
      <c r="N23" s="124"/>
      <c r="O23" s="35">
        <v>12.75</v>
      </c>
      <c r="P23" s="35">
        <v>10</v>
      </c>
      <c r="Q23" s="35">
        <v>4</v>
      </c>
      <c r="R23" s="23">
        <f t="shared" si="24"/>
        <v>8.9166666666666661</v>
      </c>
      <c r="S23" s="39">
        <v>16.899999999999999</v>
      </c>
      <c r="T23" s="39">
        <v>15.95</v>
      </c>
      <c r="U23" s="23">
        <f t="shared" si="25"/>
        <v>16.583333333333332</v>
      </c>
      <c r="V23" s="27">
        <f t="shared" si="26"/>
        <v>12.75</v>
      </c>
      <c r="W23" s="35">
        <v>8.48</v>
      </c>
      <c r="X23" s="36">
        <v>7.5</v>
      </c>
      <c r="Y23" s="118">
        <f t="shared" si="27"/>
        <v>7.8266666666666671</v>
      </c>
      <c r="Z23" s="125"/>
      <c r="AA23" s="125"/>
      <c r="AB23" s="35">
        <v>18.8</v>
      </c>
      <c r="AC23" s="36">
        <v>9.3000000000000007</v>
      </c>
      <c r="AD23" s="118">
        <f t="shared" si="28"/>
        <v>12.466666666666669</v>
      </c>
      <c r="AE23" s="118">
        <f t="shared" si="29"/>
        <v>10.146666666666668</v>
      </c>
      <c r="AF23" s="125"/>
      <c r="AG23" s="35">
        <v>17</v>
      </c>
      <c r="AH23" s="35">
        <v>10</v>
      </c>
      <c r="AI23" s="118">
        <v>13.3</v>
      </c>
      <c r="AJ23" s="118">
        <v>12.6</v>
      </c>
      <c r="AK23" s="118">
        <f t="shared" si="30"/>
        <v>12.833333333333334</v>
      </c>
      <c r="AL23" s="118">
        <f t="shared" si="31"/>
        <v>13.166666666666668</v>
      </c>
      <c r="AM23" s="36">
        <v>16</v>
      </c>
      <c r="AN23" s="35">
        <v>16</v>
      </c>
      <c r="AO23" s="36">
        <v>10</v>
      </c>
      <c r="AP23" s="118">
        <f t="shared" si="32"/>
        <v>13.75</v>
      </c>
      <c r="AQ23" s="92"/>
      <c r="AR23" s="92"/>
      <c r="AS23" s="92"/>
      <c r="AT23" s="92"/>
      <c r="AU23" s="92"/>
      <c r="AV23" s="92"/>
      <c r="AW23" s="92"/>
      <c r="AX23" s="92"/>
      <c r="AY23" s="92"/>
      <c r="AZ23" s="58"/>
      <c r="BA23" s="58"/>
      <c r="BB23" s="58"/>
      <c r="BC23" s="58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</row>
    <row r="24" spans="1:71" ht="15.75" customHeight="1" x14ac:dyDescent="0.2">
      <c r="A24" s="20">
        <v>19</v>
      </c>
      <c r="B24" s="21">
        <v>22322731</v>
      </c>
      <c r="C24" s="38">
        <v>12.389077206349207</v>
      </c>
      <c r="D24" s="38"/>
      <c r="E24" s="22">
        <f t="shared" si="22"/>
        <v>13.894166666666667</v>
      </c>
      <c r="F24" s="22"/>
      <c r="G24" s="22">
        <f t="shared" si="1"/>
        <v>13.141621936507937</v>
      </c>
      <c r="H24" s="38"/>
      <c r="I24" s="35">
        <v>20</v>
      </c>
      <c r="J24" s="36">
        <v>15.25</v>
      </c>
      <c r="K24" s="36">
        <v>16.25</v>
      </c>
      <c r="L24" s="27">
        <f t="shared" si="23"/>
        <v>16.541666666666668</v>
      </c>
      <c r="M24" s="124"/>
      <c r="N24" s="124"/>
      <c r="O24" s="35">
        <v>7.75</v>
      </c>
      <c r="P24" s="35">
        <v>11.5</v>
      </c>
      <c r="Q24" s="35">
        <v>6</v>
      </c>
      <c r="R24" s="23">
        <f t="shared" si="24"/>
        <v>8.4166666666666661</v>
      </c>
      <c r="S24" s="39">
        <v>16.64</v>
      </c>
      <c r="T24" s="39">
        <v>16.850000000000001</v>
      </c>
      <c r="U24" s="23">
        <f t="shared" si="25"/>
        <v>16.71</v>
      </c>
      <c r="V24" s="27">
        <f t="shared" si="26"/>
        <v>12.563333333333333</v>
      </c>
      <c r="W24" s="35">
        <v>15.87</v>
      </c>
      <c r="X24" s="36">
        <v>6.2</v>
      </c>
      <c r="Y24" s="118">
        <f t="shared" si="27"/>
        <v>9.4233333333333338</v>
      </c>
      <c r="Z24" s="125"/>
      <c r="AA24" s="125"/>
      <c r="AB24" s="35">
        <v>18.5</v>
      </c>
      <c r="AC24" s="36">
        <v>7.6</v>
      </c>
      <c r="AD24" s="118">
        <f t="shared" si="28"/>
        <v>11.233333333333334</v>
      </c>
      <c r="AE24" s="118">
        <f t="shared" si="29"/>
        <v>10.328333333333333</v>
      </c>
      <c r="AF24" s="125"/>
      <c r="AG24" s="35">
        <v>17.7</v>
      </c>
      <c r="AH24" s="35">
        <v>13</v>
      </c>
      <c r="AI24" s="118">
        <v>16.7</v>
      </c>
      <c r="AJ24" s="118">
        <v>13.7</v>
      </c>
      <c r="AK24" s="118">
        <f t="shared" si="30"/>
        <v>14.699999999999998</v>
      </c>
      <c r="AL24" s="118">
        <f t="shared" si="31"/>
        <v>15.024999999999999</v>
      </c>
      <c r="AM24" s="36">
        <v>18</v>
      </c>
      <c r="AN24" s="35">
        <v>17</v>
      </c>
      <c r="AO24" s="36">
        <v>11</v>
      </c>
      <c r="AP24" s="118">
        <f t="shared" si="32"/>
        <v>15</v>
      </c>
      <c r="AQ24" s="92"/>
      <c r="AR24" s="92"/>
      <c r="AS24" s="92"/>
      <c r="AT24" s="92"/>
      <c r="AU24" s="92"/>
      <c r="AV24" s="92"/>
      <c r="AW24" s="92"/>
      <c r="AX24" s="92"/>
      <c r="AY24" s="92"/>
      <c r="AZ24" s="58"/>
      <c r="BA24" s="58"/>
      <c r="BB24" s="58"/>
      <c r="BC24" s="58"/>
      <c r="BD24" s="58"/>
      <c r="BE24" s="58"/>
      <c r="BF24" s="58"/>
      <c r="BG24" s="58"/>
      <c r="BH24" s="58"/>
      <c r="BI24" s="58"/>
      <c r="BJ24" s="58"/>
      <c r="BK24" s="58"/>
      <c r="BL24" s="58"/>
      <c r="BM24" s="58"/>
      <c r="BN24" s="58"/>
      <c r="BO24" s="58"/>
      <c r="BP24" s="58"/>
      <c r="BQ24" s="58"/>
      <c r="BR24" s="58"/>
      <c r="BS24" s="58"/>
    </row>
    <row r="25" spans="1:71" ht="15.75" customHeight="1" x14ac:dyDescent="0.2">
      <c r="A25" s="20">
        <v>20</v>
      </c>
      <c r="B25" s="21">
        <v>22322718</v>
      </c>
      <c r="C25" s="38">
        <v>13.69225619047619</v>
      </c>
      <c r="D25" s="38"/>
      <c r="E25" s="22">
        <f t="shared" si="22"/>
        <v>13.999500000000001</v>
      </c>
      <c r="F25" s="22"/>
      <c r="G25" s="22">
        <f t="shared" si="1"/>
        <v>13.845878095238096</v>
      </c>
      <c r="H25" s="38"/>
      <c r="I25" s="35">
        <v>18</v>
      </c>
      <c r="J25" s="36">
        <v>15.75</v>
      </c>
      <c r="K25" s="36">
        <v>14</v>
      </c>
      <c r="L25" s="27">
        <f t="shared" si="23"/>
        <v>15.25</v>
      </c>
      <c r="M25" s="124"/>
      <c r="N25" s="124"/>
      <c r="O25" s="35">
        <v>10.5</v>
      </c>
      <c r="P25" s="35">
        <v>16.25</v>
      </c>
      <c r="Q25" s="35">
        <v>16</v>
      </c>
      <c r="R25" s="23">
        <f t="shared" si="24"/>
        <v>14.25</v>
      </c>
      <c r="S25" s="39">
        <v>16.010000000000002</v>
      </c>
      <c r="T25" s="39">
        <v>17.91</v>
      </c>
      <c r="U25" s="23">
        <f t="shared" si="25"/>
        <v>16.643333333333334</v>
      </c>
      <c r="V25" s="27">
        <f t="shared" si="26"/>
        <v>15.446666666666667</v>
      </c>
      <c r="W25" s="35">
        <v>14.13</v>
      </c>
      <c r="X25" s="36">
        <v>7.3</v>
      </c>
      <c r="Y25" s="118">
        <f t="shared" si="27"/>
        <v>9.5766666666666662</v>
      </c>
      <c r="Z25" s="125"/>
      <c r="AA25" s="125"/>
      <c r="AB25" s="35">
        <v>12.6</v>
      </c>
      <c r="AC25" s="36">
        <v>11.1</v>
      </c>
      <c r="AD25" s="118">
        <f t="shared" si="28"/>
        <v>11.6</v>
      </c>
      <c r="AE25" s="118">
        <f t="shared" si="29"/>
        <v>10.588333333333333</v>
      </c>
      <c r="AF25" s="125"/>
      <c r="AG25" s="35">
        <v>16.899999999999999</v>
      </c>
      <c r="AH25" s="35">
        <v>16.5</v>
      </c>
      <c r="AI25" s="118">
        <v>13.8</v>
      </c>
      <c r="AJ25" s="118">
        <v>10.1</v>
      </c>
      <c r="AK25" s="118">
        <f t="shared" si="30"/>
        <v>11.333333333333334</v>
      </c>
      <c r="AL25" s="118">
        <f t="shared" si="31"/>
        <v>14.016666666666666</v>
      </c>
      <c r="AM25" s="36">
        <v>19.5</v>
      </c>
      <c r="AN25" s="35">
        <v>16</v>
      </c>
      <c r="AO25" s="36">
        <v>12</v>
      </c>
      <c r="AP25" s="118">
        <f t="shared" si="32"/>
        <v>15.375</v>
      </c>
      <c r="AQ25" s="92"/>
      <c r="AR25" s="92"/>
      <c r="AS25" s="92"/>
      <c r="AT25" s="92"/>
      <c r="AU25" s="92"/>
      <c r="AV25" s="92"/>
      <c r="AW25" s="92"/>
      <c r="AX25" s="92"/>
      <c r="AY25" s="92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</row>
    <row r="26" spans="1:71" ht="15.75" customHeight="1" x14ac:dyDescent="0.2">
      <c r="A26" s="20">
        <v>21</v>
      </c>
      <c r="B26" s="21">
        <v>22322750</v>
      </c>
      <c r="C26" s="38">
        <v>13.040979269841271</v>
      </c>
      <c r="D26" s="38"/>
      <c r="E26" s="22">
        <f t="shared" si="22"/>
        <v>15.161416666666666</v>
      </c>
      <c r="F26" s="22"/>
      <c r="G26" s="22">
        <f t="shared" si="1"/>
        <v>14.101197968253969</v>
      </c>
      <c r="H26" s="38"/>
      <c r="I26" s="35">
        <v>20</v>
      </c>
      <c r="J26" s="36">
        <v>17</v>
      </c>
      <c r="K26" s="36">
        <v>15</v>
      </c>
      <c r="L26" s="27">
        <f t="shared" si="23"/>
        <v>16.5</v>
      </c>
      <c r="M26" s="124"/>
      <c r="N26" s="124"/>
      <c r="O26" s="35">
        <v>12</v>
      </c>
      <c r="P26" s="35">
        <v>11</v>
      </c>
      <c r="Q26" s="35">
        <v>9</v>
      </c>
      <c r="R26" s="23">
        <f t="shared" si="24"/>
        <v>10.666666666666666</v>
      </c>
      <c r="S26" s="39">
        <v>17.07</v>
      </c>
      <c r="T26" s="39">
        <v>17.36</v>
      </c>
      <c r="U26" s="23">
        <f t="shared" si="25"/>
        <v>17.166666666666668</v>
      </c>
      <c r="V26" s="27">
        <f t="shared" si="26"/>
        <v>13.916666666666668</v>
      </c>
      <c r="W26" s="35">
        <v>13.48</v>
      </c>
      <c r="X26" s="36">
        <v>4.7</v>
      </c>
      <c r="Y26" s="118">
        <f t="shared" si="27"/>
        <v>7.6266666666666678</v>
      </c>
      <c r="Z26" s="125"/>
      <c r="AA26" s="125"/>
      <c r="AB26" s="35">
        <v>14.6</v>
      </c>
      <c r="AC26" s="36">
        <v>8.4</v>
      </c>
      <c r="AD26" s="118">
        <f t="shared" si="28"/>
        <v>10.466666666666667</v>
      </c>
      <c r="AE26" s="118">
        <f t="shared" si="29"/>
        <v>9.0466666666666669</v>
      </c>
      <c r="AF26" s="125"/>
      <c r="AG26" s="35">
        <v>18.2</v>
      </c>
      <c r="AH26" s="35">
        <v>20</v>
      </c>
      <c r="AI26" s="22">
        <v>18.100000000000001</v>
      </c>
      <c r="AJ26" s="22">
        <v>16.3</v>
      </c>
      <c r="AK26" s="118">
        <f t="shared" si="30"/>
        <v>16.900000000000002</v>
      </c>
      <c r="AL26" s="118">
        <f t="shared" si="31"/>
        <v>18</v>
      </c>
      <c r="AM26" s="36">
        <v>20</v>
      </c>
      <c r="AN26" s="35">
        <v>18.5</v>
      </c>
      <c r="AO26" s="36">
        <v>18</v>
      </c>
      <c r="AP26" s="118">
        <f t="shared" si="32"/>
        <v>18.6875</v>
      </c>
      <c r="AQ26" s="92"/>
      <c r="AR26" s="92"/>
      <c r="AS26" s="92"/>
      <c r="AT26" s="92"/>
      <c r="AU26" s="92"/>
      <c r="AV26" s="92"/>
      <c r="AW26" s="92"/>
      <c r="AX26" s="92"/>
      <c r="AY26" s="92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</row>
    <row r="27" spans="1:71" ht="15.75" customHeight="1" x14ac:dyDescent="0.2">
      <c r="A27" s="20">
        <v>22</v>
      </c>
      <c r="B27" s="21">
        <v>22322720</v>
      </c>
      <c r="C27" s="38">
        <v>14.603643746031745</v>
      </c>
      <c r="D27" s="38"/>
      <c r="E27" s="22">
        <f t="shared" si="22"/>
        <v>14.643916666666666</v>
      </c>
      <c r="F27" s="22"/>
      <c r="G27" s="22">
        <f t="shared" si="1"/>
        <v>14.623780206349206</v>
      </c>
      <c r="H27" s="38"/>
      <c r="I27" s="35">
        <v>19</v>
      </c>
      <c r="J27" s="36">
        <v>14</v>
      </c>
      <c r="K27" s="36">
        <v>14</v>
      </c>
      <c r="L27" s="27">
        <f t="shared" si="23"/>
        <v>14.833333333333334</v>
      </c>
      <c r="M27" s="124"/>
      <c r="N27" s="124"/>
      <c r="O27" s="35">
        <v>13</v>
      </c>
      <c r="P27" s="35">
        <v>18.5</v>
      </c>
      <c r="Q27" s="35">
        <v>11</v>
      </c>
      <c r="R27" s="23">
        <f t="shared" si="24"/>
        <v>14.166666666666666</v>
      </c>
      <c r="S27" s="39">
        <v>15.96</v>
      </c>
      <c r="T27" s="39">
        <v>17.899999999999999</v>
      </c>
      <c r="U27" s="23">
        <f t="shared" si="25"/>
        <v>16.606666666666666</v>
      </c>
      <c r="V27" s="27">
        <f t="shared" si="26"/>
        <v>15.386666666666667</v>
      </c>
      <c r="W27" s="35">
        <v>13.91</v>
      </c>
      <c r="X27" s="36">
        <v>11.8</v>
      </c>
      <c r="Y27" s="118">
        <f t="shared" si="27"/>
        <v>12.503333333333336</v>
      </c>
      <c r="Z27" s="125"/>
      <c r="AA27" s="125"/>
      <c r="AB27" s="35">
        <v>18.399999999999999</v>
      </c>
      <c r="AC27" s="36">
        <v>15.3</v>
      </c>
      <c r="AD27" s="118">
        <f t="shared" si="28"/>
        <v>16.333333333333332</v>
      </c>
      <c r="AE27" s="118">
        <f t="shared" si="29"/>
        <v>14.418333333333333</v>
      </c>
      <c r="AF27" s="125"/>
      <c r="AG27" s="35">
        <v>18.100000000000001</v>
      </c>
      <c r="AH27" s="35">
        <v>18.5</v>
      </c>
      <c r="AI27" s="118">
        <v>14.4</v>
      </c>
      <c r="AJ27" s="118">
        <v>5.7</v>
      </c>
      <c r="AK27" s="118">
        <f t="shared" si="30"/>
        <v>8.6</v>
      </c>
      <c r="AL27" s="118">
        <f t="shared" si="31"/>
        <v>13.45</v>
      </c>
      <c r="AM27" s="36">
        <v>18.5</v>
      </c>
      <c r="AN27" s="35">
        <v>18.5</v>
      </c>
      <c r="AO27" s="36">
        <v>14</v>
      </c>
      <c r="AP27" s="118">
        <f t="shared" si="32"/>
        <v>16.8125</v>
      </c>
      <c r="AQ27" s="92"/>
      <c r="AR27" s="92"/>
      <c r="AS27" s="92"/>
      <c r="AT27" s="92"/>
      <c r="AU27" s="92"/>
      <c r="AV27" s="92"/>
      <c r="AW27" s="92"/>
      <c r="AX27" s="92"/>
      <c r="AY27" s="92"/>
      <c r="AZ27" s="58"/>
      <c r="BA27" s="58"/>
      <c r="BB27" s="58"/>
      <c r="BC27" s="58"/>
      <c r="BD27" s="58"/>
      <c r="BE27" s="58"/>
      <c r="BF27" s="58"/>
      <c r="BG27" s="58"/>
      <c r="BH27" s="58"/>
      <c r="BI27" s="58"/>
      <c r="BJ27" s="58"/>
      <c r="BK27" s="58"/>
      <c r="BL27" s="58"/>
      <c r="BM27" s="58"/>
      <c r="BN27" s="58"/>
      <c r="BO27" s="58"/>
      <c r="BP27" s="58"/>
      <c r="BQ27" s="58"/>
      <c r="BR27" s="58"/>
      <c r="BS27" s="58"/>
    </row>
    <row r="28" spans="1:71" ht="15.75" customHeight="1" x14ac:dyDescent="0.2">
      <c r="A28" s="20">
        <v>23</v>
      </c>
      <c r="B28" s="21">
        <v>22322734</v>
      </c>
      <c r="C28" s="38">
        <v>14.223530793650793</v>
      </c>
      <c r="D28" s="38"/>
      <c r="E28" s="22">
        <f t="shared" si="22"/>
        <v>15.362500000000001</v>
      </c>
      <c r="F28" s="22"/>
      <c r="G28" s="22">
        <f t="shared" si="1"/>
        <v>14.793015396825396</v>
      </c>
      <c r="H28" s="38"/>
      <c r="I28" s="35">
        <v>20</v>
      </c>
      <c r="J28" s="36">
        <v>15</v>
      </c>
      <c r="K28" s="36">
        <v>18.5</v>
      </c>
      <c r="L28" s="27">
        <f t="shared" si="23"/>
        <v>17.583333333333332</v>
      </c>
      <c r="M28" s="124"/>
      <c r="N28" s="124"/>
      <c r="O28" s="35">
        <v>6.5</v>
      </c>
      <c r="P28" s="35">
        <v>10</v>
      </c>
      <c r="Q28" s="35">
        <v>13</v>
      </c>
      <c r="R28" s="23">
        <f t="shared" si="24"/>
        <v>9.8333333333333339</v>
      </c>
      <c r="S28" s="39">
        <v>17.77</v>
      </c>
      <c r="T28" s="39">
        <v>16.11</v>
      </c>
      <c r="U28" s="23">
        <f t="shared" si="25"/>
        <v>17.216666666666665</v>
      </c>
      <c r="V28" s="27">
        <f t="shared" si="26"/>
        <v>13.524999999999999</v>
      </c>
      <c r="W28" s="35">
        <v>14.13</v>
      </c>
      <c r="X28" s="36">
        <v>13</v>
      </c>
      <c r="Y28" s="118">
        <f t="shared" si="27"/>
        <v>13.376666666666667</v>
      </c>
      <c r="Z28" s="125"/>
      <c r="AA28" s="125"/>
      <c r="AB28" s="40">
        <v>17</v>
      </c>
      <c r="AC28" s="36">
        <v>9.3000000000000007</v>
      </c>
      <c r="AD28" s="118">
        <f t="shared" si="28"/>
        <v>11.866666666666667</v>
      </c>
      <c r="AE28" s="118">
        <f t="shared" si="29"/>
        <v>12.621666666666666</v>
      </c>
      <c r="AF28" s="125"/>
      <c r="AG28" s="35">
        <v>15.67</v>
      </c>
      <c r="AH28" s="35">
        <v>17</v>
      </c>
      <c r="AI28" s="22">
        <v>15.4</v>
      </c>
      <c r="AJ28" s="22">
        <v>14.9</v>
      </c>
      <c r="AK28" s="118">
        <f t="shared" si="30"/>
        <v>15.066666666666668</v>
      </c>
      <c r="AL28" s="118">
        <f t="shared" si="31"/>
        <v>15.700833333333335</v>
      </c>
      <c r="AM28" s="36">
        <v>20</v>
      </c>
      <c r="AN28" s="35">
        <v>18.5</v>
      </c>
      <c r="AO28" s="36">
        <v>19</v>
      </c>
      <c r="AP28" s="118">
        <f t="shared" si="32"/>
        <v>19.0625</v>
      </c>
      <c r="AQ28" s="92"/>
      <c r="AR28" s="92"/>
      <c r="AS28" s="92"/>
      <c r="AT28" s="92"/>
      <c r="AU28" s="92"/>
      <c r="AV28" s="92"/>
      <c r="AW28" s="92"/>
      <c r="AX28" s="92"/>
      <c r="AY28" s="92"/>
      <c r="AZ28" s="58"/>
      <c r="BA28" s="58"/>
      <c r="BB28" s="58"/>
      <c r="BC28" s="58"/>
      <c r="BD28" s="58"/>
      <c r="BE28" s="58"/>
      <c r="BF28" s="58"/>
      <c r="BG28" s="58"/>
      <c r="BH28" s="58"/>
      <c r="BI28" s="58"/>
      <c r="BJ28" s="58"/>
      <c r="BK28" s="58"/>
      <c r="BL28" s="58"/>
      <c r="BM28" s="58"/>
      <c r="BN28" s="58"/>
      <c r="BO28" s="58"/>
      <c r="BP28" s="58"/>
      <c r="BQ28" s="58"/>
      <c r="BR28" s="58"/>
      <c r="BS28" s="58"/>
    </row>
    <row r="29" spans="1:71" ht="17.25" customHeight="1" x14ac:dyDescent="0.2">
      <c r="A29" s="20">
        <v>24</v>
      </c>
      <c r="B29" s="21">
        <v>22322760</v>
      </c>
      <c r="C29" s="38">
        <v>14.09694577777778</v>
      </c>
      <c r="D29" s="38"/>
      <c r="E29" s="22">
        <f t="shared" si="22"/>
        <v>15.703166666666668</v>
      </c>
      <c r="F29" s="22"/>
      <c r="G29" s="22">
        <f t="shared" si="1"/>
        <v>14.900056222222224</v>
      </c>
      <c r="H29" s="38"/>
      <c r="I29" s="35">
        <v>20</v>
      </c>
      <c r="J29" s="36">
        <v>15</v>
      </c>
      <c r="K29" s="36">
        <v>17.5</v>
      </c>
      <c r="L29" s="27">
        <f t="shared" si="23"/>
        <v>17.083333333333332</v>
      </c>
      <c r="M29" s="124"/>
      <c r="N29" s="124"/>
      <c r="O29" s="35">
        <v>9.5</v>
      </c>
      <c r="P29" s="35">
        <v>19.5</v>
      </c>
      <c r="Q29" s="35">
        <v>11</v>
      </c>
      <c r="R29" s="23">
        <f t="shared" si="24"/>
        <v>13.333333333333334</v>
      </c>
      <c r="S29" s="39">
        <v>17.64</v>
      </c>
      <c r="T29" s="39">
        <v>17.23</v>
      </c>
      <c r="U29" s="23">
        <f t="shared" si="25"/>
        <v>17.503333333333334</v>
      </c>
      <c r="V29" s="27">
        <f t="shared" si="26"/>
        <v>15.418333333333333</v>
      </c>
      <c r="W29" s="35">
        <v>17.61</v>
      </c>
      <c r="X29" s="36">
        <v>13.5</v>
      </c>
      <c r="Y29" s="118">
        <f t="shared" si="27"/>
        <v>14.87</v>
      </c>
      <c r="Z29" s="125"/>
      <c r="AA29" s="125"/>
      <c r="AB29" s="35">
        <v>18.600000000000001</v>
      </c>
      <c r="AC29" s="36">
        <v>6.2</v>
      </c>
      <c r="AD29" s="118">
        <f t="shared" si="28"/>
        <v>10.333333333333334</v>
      </c>
      <c r="AE29" s="118">
        <f t="shared" si="29"/>
        <v>12.601666666666667</v>
      </c>
      <c r="AF29" s="125"/>
      <c r="AG29" s="35">
        <v>18.7</v>
      </c>
      <c r="AH29" s="35">
        <v>19</v>
      </c>
      <c r="AI29" s="118">
        <v>17.5</v>
      </c>
      <c r="AJ29" s="118">
        <v>15.8</v>
      </c>
      <c r="AK29" s="118">
        <f t="shared" si="30"/>
        <v>16.366666666666667</v>
      </c>
      <c r="AL29" s="118">
        <f t="shared" si="31"/>
        <v>17.608333333333334</v>
      </c>
      <c r="AM29" s="36">
        <v>17</v>
      </c>
      <c r="AN29" s="35">
        <v>13</v>
      </c>
      <c r="AO29" s="36">
        <v>13</v>
      </c>
      <c r="AP29" s="118">
        <f t="shared" si="32"/>
        <v>14</v>
      </c>
      <c r="AQ29" s="92"/>
      <c r="AR29" s="92"/>
      <c r="AS29" s="92"/>
      <c r="AT29" s="92"/>
      <c r="AU29" s="92"/>
      <c r="AV29" s="92"/>
      <c r="AW29" s="92"/>
      <c r="AX29" s="92"/>
      <c r="AY29" s="92"/>
      <c r="AZ29" s="58"/>
      <c r="BA29" s="58"/>
      <c r="BB29" s="58"/>
      <c r="BC29" s="58"/>
      <c r="BD29" s="58"/>
      <c r="BE29" s="58"/>
      <c r="BF29" s="58"/>
      <c r="BG29" s="58"/>
      <c r="BH29" s="58"/>
      <c r="BI29" s="58"/>
      <c r="BJ29" s="58"/>
      <c r="BK29" s="58"/>
      <c r="BL29" s="58"/>
      <c r="BM29" s="58"/>
      <c r="BN29" s="58"/>
      <c r="BO29" s="58"/>
      <c r="BP29" s="58"/>
      <c r="BQ29" s="58"/>
      <c r="BR29" s="58"/>
      <c r="BS29" s="58"/>
    </row>
    <row r="30" spans="1:71" ht="15.75" customHeight="1" x14ac:dyDescent="0.2">
      <c r="A30" s="20">
        <v>25</v>
      </c>
      <c r="B30" s="21">
        <v>22322769</v>
      </c>
      <c r="C30" s="38">
        <v>13.806829365079365</v>
      </c>
      <c r="D30" s="38"/>
      <c r="E30" s="22">
        <f t="shared" si="22"/>
        <v>16.025333333333336</v>
      </c>
      <c r="F30" s="22"/>
      <c r="G30" s="22">
        <f t="shared" si="1"/>
        <v>14.916081349206351</v>
      </c>
      <c r="H30" s="38"/>
      <c r="I30" s="35">
        <v>20</v>
      </c>
      <c r="J30" s="36">
        <v>17.5</v>
      </c>
      <c r="K30" s="36">
        <v>16.25</v>
      </c>
      <c r="L30" s="27">
        <f t="shared" si="23"/>
        <v>17.291666666666668</v>
      </c>
      <c r="M30" s="124"/>
      <c r="N30" s="124"/>
      <c r="O30" s="35">
        <v>16</v>
      </c>
      <c r="P30" s="35">
        <v>18.25</v>
      </c>
      <c r="Q30" s="35">
        <v>17</v>
      </c>
      <c r="R30" s="23">
        <f t="shared" si="24"/>
        <v>17.083333333333332</v>
      </c>
      <c r="S30" s="39">
        <v>17.41</v>
      </c>
      <c r="T30" s="39">
        <v>17.239999999999998</v>
      </c>
      <c r="U30" s="23">
        <f t="shared" si="25"/>
        <v>17.353333333333335</v>
      </c>
      <c r="V30" s="27">
        <f t="shared" si="26"/>
        <v>17.218333333333334</v>
      </c>
      <c r="W30" s="35">
        <v>16.3</v>
      </c>
      <c r="X30" s="36">
        <v>11.2</v>
      </c>
      <c r="Y30" s="118">
        <f t="shared" si="27"/>
        <v>12.9</v>
      </c>
      <c r="Z30" s="125"/>
      <c r="AA30" s="125"/>
      <c r="AB30" s="35">
        <v>16.8</v>
      </c>
      <c r="AC30" s="36">
        <v>12.2</v>
      </c>
      <c r="AD30" s="118">
        <f t="shared" si="28"/>
        <v>13.733333333333334</v>
      </c>
      <c r="AE30" s="118">
        <f t="shared" si="29"/>
        <v>13.316666666666666</v>
      </c>
      <c r="AF30" s="125"/>
      <c r="AG30" s="35">
        <v>18.5</v>
      </c>
      <c r="AH30" s="35">
        <v>18</v>
      </c>
      <c r="AI30" s="22">
        <v>14.7</v>
      </c>
      <c r="AJ30" s="22">
        <v>14</v>
      </c>
      <c r="AK30" s="118">
        <f t="shared" si="30"/>
        <v>14.233333333333334</v>
      </c>
      <c r="AL30" s="118">
        <f t="shared" si="31"/>
        <v>16.241666666666667</v>
      </c>
      <c r="AM30" s="36">
        <v>20</v>
      </c>
      <c r="AN30" s="35">
        <v>15</v>
      </c>
      <c r="AO30" s="36">
        <v>14</v>
      </c>
      <c r="AP30" s="118">
        <f t="shared" si="32"/>
        <v>15.875</v>
      </c>
      <c r="AQ30" s="92"/>
      <c r="AR30" s="92"/>
      <c r="AS30" s="92"/>
      <c r="AT30" s="92"/>
      <c r="AU30" s="92"/>
      <c r="AV30" s="92"/>
      <c r="AW30" s="92"/>
      <c r="AX30" s="92"/>
      <c r="AY30" s="92"/>
      <c r="AZ30" s="58"/>
      <c r="BA30" s="58"/>
      <c r="BB30" s="58"/>
      <c r="BC30" s="58"/>
      <c r="BD30" s="58"/>
      <c r="BE30" s="58"/>
      <c r="BF30" s="58"/>
      <c r="BG30" s="58"/>
      <c r="BH30" s="58"/>
      <c r="BI30" s="58"/>
      <c r="BJ30" s="58"/>
      <c r="BK30" s="58"/>
      <c r="BL30" s="58"/>
      <c r="BM30" s="58"/>
      <c r="BN30" s="58"/>
      <c r="BO30" s="58"/>
      <c r="BP30" s="58"/>
      <c r="BQ30" s="58"/>
      <c r="BR30" s="58"/>
      <c r="BS30" s="58"/>
    </row>
    <row r="31" spans="1:71" ht="15.75" customHeight="1" x14ac:dyDescent="0.2">
      <c r="A31" s="20">
        <v>26</v>
      </c>
      <c r="B31" s="21">
        <v>22322757</v>
      </c>
      <c r="C31" s="38">
        <v>14.214124152380952</v>
      </c>
      <c r="D31" s="38"/>
      <c r="E31" s="22">
        <f t="shared" si="22"/>
        <v>15.654083333333334</v>
      </c>
      <c r="F31" s="22"/>
      <c r="G31" s="22">
        <f t="shared" si="1"/>
        <v>14.934103742857143</v>
      </c>
      <c r="H31" s="38"/>
      <c r="I31" s="35">
        <v>20</v>
      </c>
      <c r="J31" s="36">
        <v>17</v>
      </c>
      <c r="K31" s="36">
        <v>17.25</v>
      </c>
      <c r="L31" s="27">
        <f t="shared" si="23"/>
        <v>17.625</v>
      </c>
      <c r="M31" s="124"/>
      <c r="N31" s="124"/>
      <c r="O31" s="35">
        <v>6.75</v>
      </c>
      <c r="P31" s="35">
        <v>19.75</v>
      </c>
      <c r="Q31" s="35">
        <v>17</v>
      </c>
      <c r="R31" s="23">
        <f t="shared" si="24"/>
        <v>14.5</v>
      </c>
      <c r="S31" s="39">
        <v>17.04</v>
      </c>
      <c r="T31" s="39">
        <v>17.03</v>
      </c>
      <c r="U31" s="23">
        <f t="shared" si="25"/>
        <v>17.036666666666665</v>
      </c>
      <c r="V31" s="27">
        <f t="shared" si="26"/>
        <v>15.768333333333333</v>
      </c>
      <c r="W31" s="35">
        <v>14.35</v>
      </c>
      <c r="X31" s="36">
        <v>11</v>
      </c>
      <c r="Y31" s="118">
        <f t="shared" si="27"/>
        <v>12.116666666666667</v>
      </c>
      <c r="Z31" s="125"/>
      <c r="AA31" s="125"/>
      <c r="AB31" s="35">
        <v>15.9</v>
      </c>
      <c r="AC31" s="36">
        <v>15</v>
      </c>
      <c r="AD31" s="118">
        <f t="shared" si="28"/>
        <v>15.299999999999999</v>
      </c>
      <c r="AE31" s="118">
        <f t="shared" si="29"/>
        <v>13.708333333333332</v>
      </c>
      <c r="AF31" s="125"/>
      <c r="AG31" s="35">
        <v>18.100000000000001</v>
      </c>
      <c r="AH31" s="35">
        <v>19</v>
      </c>
      <c r="AI31" s="118">
        <v>17.100000000000001</v>
      </c>
      <c r="AJ31" s="118">
        <v>13.9</v>
      </c>
      <c r="AK31" s="118">
        <f t="shared" si="30"/>
        <v>14.966666666666669</v>
      </c>
      <c r="AL31" s="118">
        <f t="shared" si="31"/>
        <v>16.758333333333333</v>
      </c>
      <c r="AM31" s="36">
        <v>14.5</v>
      </c>
      <c r="AN31" s="35">
        <v>12.5</v>
      </c>
      <c r="AO31" s="36">
        <v>10</v>
      </c>
      <c r="AP31" s="118">
        <f t="shared" si="32"/>
        <v>12.0625</v>
      </c>
      <c r="AQ31" s="92"/>
      <c r="AR31" s="92"/>
      <c r="AS31" s="92"/>
      <c r="AT31" s="92"/>
      <c r="AU31" s="92"/>
      <c r="AV31" s="92"/>
      <c r="AW31" s="92"/>
      <c r="AX31" s="92"/>
      <c r="AY31" s="92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</row>
    <row r="32" spans="1:71" ht="17.25" customHeight="1" x14ac:dyDescent="0.2">
      <c r="A32" s="20">
        <v>27</v>
      </c>
      <c r="B32" s="21">
        <v>22322728</v>
      </c>
      <c r="C32" s="38">
        <v>12.431697936507938</v>
      </c>
      <c r="D32" s="38"/>
      <c r="E32" s="22">
        <f t="shared" si="22"/>
        <v>17.560333333333332</v>
      </c>
      <c r="F32" s="22"/>
      <c r="G32" s="22">
        <f t="shared" si="1"/>
        <v>14.996015634920635</v>
      </c>
      <c r="H32" s="38"/>
      <c r="I32" s="35">
        <v>20</v>
      </c>
      <c r="J32" s="36">
        <v>16.5</v>
      </c>
      <c r="K32" s="36">
        <v>19.5</v>
      </c>
      <c r="L32" s="27">
        <f t="shared" si="23"/>
        <v>18.583333333333332</v>
      </c>
      <c r="M32" s="124"/>
      <c r="N32" s="124"/>
      <c r="O32" s="35">
        <v>15</v>
      </c>
      <c r="P32" s="35">
        <v>17.75</v>
      </c>
      <c r="Q32" s="35">
        <v>12</v>
      </c>
      <c r="R32" s="23">
        <f t="shared" si="24"/>
        <v>14.916666666666666</v>
      </c>
      <c r="S32" s="39">
        <v>18.21</v>
      </c>
      <c r="T32" s="39">
        <v>17.649999999999999</v>
      </c>
      <c r="U32" s="23">
        <f t="shared" si="25"/>
        <v>18.023333333333333</v>
      </c>
      <c r="V32" s="27">
        <f t="shared" si="26"/>
        <v>16.47</v>
      </c>
      <c r="W32" s="35">
        <v>17.39</v>
      </c>
      <c r="X32" s="36">
        <v>13.7</v>
      </c>
      <c r="Y32" s="118">
        <f t="shared" si="27"/>
        <v>14.93</v>
      </c>
      <c r="Z32" s="125"/>
      <c r="AA32" s="125"/>
      <c r="AB32" s="35">
        <v>19.5</v>
      </c>
      <c r="AC32" s="36">
        <v>18.7</v>
      </c>
      <c r="AD32" s="118">
        <f t="shared" si="28"/>
        <v>18.966666666666665</v>
      </c>
      <c r="AE32" s="118">
        <f t="shared" si="29"/>
        <v>16.948333333333331</v>
      </c>
      <c r="AF32" s="125"/>
      <c r="AG32" s="35">
        <v>18.399999999999999</v>
      </c>
      <c r="AH32" s="35">
        <v>18</v>
      </c>
      <c r="AI32" s="118">
        <v>19.8</v>
      </c>
      <c r="AJ32" s="118">
        <v>17.899999999999999</v>
      </c>
      <c r="AK32" s="118">
        <f t="shared" si="30"/>
        <v>18.533333333333331</v>
      </c>
      <c r="AL32" s="118">
        <f t="shared" si="31"/>
        <v>18.366666666666667</v>
      </c>
      <c r="AM32" s="36">
        <v>18</v>
      </c>
      <c r="AN32" s="35">
        <v>15</v>
      </c>
      <c r="AO32" s="36">
        <v>17</v>
      </c>
      <c r="AP32" s="118">
        <f t="shared" si="32"/>
        <v>16.5</v>
      </c>
      <c r="AQ32" s="92"/>
      <c r="AR32" s="92"/>
      <c r="AS32" s="92"/>
      <c r="AT32" s="92"/>
      <c r="AU32" s="92"/>
      <c r="AV32" s="92"/>
      <c r="AW32" s="92"/>
      <c r="AX32" s="92"/>
      <c r="AY32" s="92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</row>
    <row r="33" spans="1:71" ht="15.75" customHeight="1" x14ac:dyDescent="0.2">
      <c r="A33" s="20">
        <v>28</v>
      </c>
      <c r="B33" s="126">
        <v>22322755</v>
      </c>
      <c r="C33" s="50">
        <v>14.224443079365081</v>
      </c>
      <c r="D33" s="50"/>
      <c r="E33" s="22">
        <f t="shared" si="22"/>
        <v>16.111583333333332</v>
      </c>
      <c r="F33" s="22"/>
      <c r="G33" s="22">
        <f t="shared" si="1"/>
        <v>15.168013206349206</v>
      </c>
      <c r="H33" s="38"/>
      <c r="I33" s="35">
        <v>20</v>
      </c>
      <c r="J33" s="36">
        <v>19</v>
      </c>
      <c r="K33" s="36">
        <v>17.5</v>
      </c>
      <c r="L33" s="27">
        <f t="shared" si="23"/>
        <v>18.416666666666668</v>
      </c>
      <c r="M33" s="124"/>
      <c r="N33" s="124"/>
      <c r="O33" s="35">
        <v>12.5</v>
      </c>
      <c r="P33" s="35">
        <v>16.5</v>
      </c>
      <c r="Q33" s="35">
        <v>9</v>
      </c>
      <c r="R33" s="23">
        <f t="shared" si="24"/>
        <v>12.666666666666666</v>
      </c>
      <c r="S33" s="39">
        <v>17.54</v>
      </c>
      <c r="T33" s="39">
        <v>17.760000000000002</v>
      </c>
      <c r="U33" s="23">
        <f t="shared" si="25"/>
        <v>17.613333333333333</v>
      </c>
      <c r="V33" s="27">
        <f t="shared" si="26"/>
        <v>15.14</v>
      </c>
      <c r="W33" s="35">
        <v>17.170000000000002</v>
      </c>
      <c r="X33" s="36">
        <v>10.3</v>
      </c>
      <c r="Y33" s="118">
        <f t="shared" si="27"/>
        <v>12.590000000000002</v>
      </c>
      <c r="Z33" s="125"/>
      <c r="AA33" s="125"/>
      <c r="AB33" s="35">
        <v>18.899999999999999</v>
      </c>
      <c r="AC33" s="36">
        <v>12</v>
      </c>
      <c r="AD33" s="118">
        <f t="shared" si="28"/>
        <v>14.299999999999999</v>
      </c>
      <c r="AE33" s="118">
        <f t="shared" si="29"/>
        <v>13.445</v>
      </c>
      <c r="AF33" s="125"/>
      <c r="AG33" s="35">
        <v>17.8</v>
      </c>
      <c r="AH33" s="35">
        <v>16.5</v>
      </c>
      <c r="AI33" s="118">
        <v>16.2</v>
      </c>
      <c r="AJ33" s="118">
        <v>15.6</v>
      </c>
      <c r="AK33" s="118">
        <f t="shared" si="30"/>
        <v>15.799999999999999</v>
      </c>
      <c r="AL33" s="118">
        <f t="shared" si="31"/>
        <v>16.474999999999998</v>
      </c>
      <c r="AM33" s="36">
        <v>16</v>
      </c>
      <c r="AN33" s="35">
        <v>19</v>
      </c>
      <c r="AO33" s="36">
        <v>17.5</v>
      </c>
      <c r="AP33" s="118">
        <f t="shared" si="32"/>
        <v>17.6875</v>
      </c>
      <c r="AQ33" s="92"/>
      <c r="AR33" s="92"/>
      <c r="AS33" s="92"/>
      <c r="AT33" s="92"/>
      <c r="AU33" s="92"/>
      <c r="AV33" s="92"/>
      <c r="AW33" s="92"/>
      <c r="AX33" s="92"/>
      <c r="AY33" s="92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</row>
    <row r="34" spans="1:71" ht="15.75" customHeight="1" x14ac:dyDescent="0.2">
      <c r="A34" s="20">
        <v>29</v>
      </c>
      <c r="B34" s="126">
        <v>22322768</v>
      </c>
      <c r="C34" s="50">
        <v>14.779334628571428</v>
      </c>
      <c r="D34" s="50"/>
      <c r="E34" s="22">
        <f t="shared" si="22"/>
        <v>15.620416666666667</v>
      </c>
      <c r="F34" s="22"/>
      <c r="G34" s="22">
        <f t="shared" si="1"/>
        <v>15.199875647619049</v>
      </c>
      <c r="H34" s="38"/>
      <c r="I34" s="35">
        <v>18</v>
      </c>
      <c r="J34" s="45">
        <v>13.5</v>
      </c>
      <c r="K34" s="45">
        <v>17.75</v>
      </c>
      <c r="L34" s="27">
        <f t="shared" si="23"/>
        <v>16.375</v>
      </c>
      <c r="M34" s="127"/>
      <c r="N34" s="127"/>
      <c r="O34" s="46">
        <v>14</v>
      </c>
      <c r="P34" s="46">
        <v>12.25</v>
      </c>
      <c r="Q34" s="35">
        <v>13</v>
      </c>
      <c r="R34" s="23">
        <f t="shared" si="24"/>
        <v>13.083333333333334</v>
      </c>
      <c r="S34" s="112">
        <v>17.41</v>
      </c>
      <c r="T34" s="112">
        <v>17.13</v>
      </c>
      <c r="U34" s="23">
        <f t="shared" si="25"/>
        <v>17.316666666666666</v>
      </c>
      <c r="V34" s="27">
        <f t="shared" si="26"/>
        <v>15.2</v>
      </c>
      <c r="W34" s="35">
        <v>19.350000000000001</v>
      </c>
      <c r="X34" s="36">
        <v>8.3000000000000007</v>
      </c>
      <c r="Y34" s="118">
        <f t="shared" si="27"/>
        <v>11.983333333333334</v>
      </c>
      <c r="Z34" s="125"/>
      <c r="AA34" s="125"/>
      <c r="AB34" s="35">
        <v>19.8</v>
      </c>
      <c r="AC34" s="36">
        <v>11.9</v>
      </c>
      <c r="AD34" s="118">
        <f t="shared" si="28"/>
        <v>14.533333333333333</v>
      </c>
      <c r="AE34" s="118">
        <f t="shared" si="29"/>
        <v>13.258333333333333</v>
      </c>
      <c r="AF34" s="128"/>
      <c r="AG34" s="46">
        <v>18.3</v>
      </c>
      <c r="AH34" s="35">
        <v>17</v>
      </c>
      <c r="AI34" s="118">
        <v>15.7</v>
      </c>
      <c r="AJ34" s="118">
        <v>15.9</v>
      </c>
      <c r="AK34" s="118">
        <f t="shared" si="30"/>
        <v>15.833333333333334</v>
      </c>
      <c r="AL34" s="118">
        <f t="shared" si="31"/>
        <v>16.741666666666667</v>
      </c>
      <c r="AM34" s="36">
        <v>18</v>
      </c>
      <c r="AN34" s="35">
        <v>16.5</v>
      </c>
      <c r="AO34" s="36">
        <v>15</v>
      </c>
      <c r="AP34" s="118">
        <f t="shared" si="32"/>
        <v>16.3125</v>
      </c>
      <c r="AQ34" s="92"/>
      <c r="AR34" s="92"/>
      <c r="AS34" s="92"/>
      <c r="AT34" s="92"/>
      <c r="AU34" s="92"/>
      <c r="AV34" s="92"/>
      <c r="AW34" s="92"/>
      <c r="AX34" s="92"/>
      <c r="AY34" s="92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</row>
    <row r="35" spans="1:71" ht="15.75" customHeight="1" x14ac:dyDescent="0.2">
      <c r="A35" s="20">
        <v>30</v>
      </c>
      <c r="B35" s="126">
        <v>22322715</v>
      </c>
      <c r="C35" s="50">
        <v>14.534006323809525</v>
      </c>
      <c r="D35" s="50"/>
      <c r="E35" s="22">
        <f t="shared" si="22"/>
        <v>16.451666666666664</v>
      </c>
      <c r="F35" s="22"/>
      <c r="G35" s="22">
        <f t="shared" si="1"/>
        <v>15.492836495238095</v>
      </c>
      <c r="H35" s="38"/>
      <c r="I35" s="35">
        <v>20</v>
      </c>
      <c r="J35" s="44">
        <v>20</v>
      </c>
      <c r="K35" s="44">
        <v>18</v>
      </c>
      <c r="L35" s="27">
        <f t="shared" si="23"/>
        <v>19</v>
      </c>
      <c r="M35" s="129"/>
      <c r="N35" s="129"/>
      <c r="O35" s="44">
        <v>20</v>
      </c>
      <c r="P35" s="26">
        <v>19</v>
      </c>
      <c r="Q35" s="46">
        <v>13</v>
      </c>
      <c r="R35" s="23">
        <f t="shared" si="24"/>
        <v>17.333333333333332</v>
      </c>
      <c r="S35" s="24">
        <v>16.11</v>
      </c>
      <c r="T35" s="23">
        <v>16.71</v>
      </c>
      <c r="U35" s="23">
        <f t="shared" si="25"/>
        <v>16.309999999999999</v>
      </c>
      <c r="V35" s="27">
        <f t="shared" si="26"/>
        <v>16.821666666666665</v>
      </c>
      <c r="W35" s="46">
        <v>16.52</v>
      </c>
      <c r="X35" s="36">
        <v>11.5</v>
      </c>
      <c r="Y35" s="118">
        <f t="shared" si="27"/>
        <v>13.173333333333332</v>
      </c>
      <c r="Z35" s="128"/>
      <c r="AA35" s="128"/>
      <c r="AB35" s="46">
        <v>18.2</v>
      </c>
      <c r="AC35" s="45">
        <v>13.7</v>
      </c>
      <c r="AD35" s="118">
        <f t="shared" si="28"/>
        <v>15.199999999999998</v>
      </c>
      <c r="AE35" s="118">
        <f t="shared" si="29"/>
        <v>14.186666666666664</v>
      </c>
      <c r="AF35" s="123"/>
      <c r="AG35" s="44">
        <v>17</v>
      </c>
      <c r="AH35" s="35">
        <v>14.5</v>
      </c>
      <c r="AI35" s="118">
        <v>16.600000000000001</v>
      </c>
      <c r="AJ35" s="118">
        <v>15.2</v>
      </c>
      <c r="AK35" s="118">
        <f t="shared" si="30"/>
        <v>15.666666666666666</v>
      </c>
      <c r="AL35" s="118">
        <f t="shared" si="31"/>
        <v>15.708333333333332</v>
      </c>
      <c r="AM35" s="36">
        <v>20</v>
      </c>
      <c r="AN35" s="35">
        <v>20</v>
      </c>
      <c r="AO35" s="36">
        <v>13</v>
      </c>
      <c r="AP35" s="118">
        <f t="shared" si="32"/>
        <v>17.375</v>
      </c>
      <c r="AQ35" s="92"/>
      <c r="AR35" s="92"/>
      <c r="AS35" s="92"/>
      <c r="AT35" s="92"/>
      <c r="AU35" s="92"/>
      <c r="AV35" s="92"/>
      <c r="AW35" s="92"/>
      <c r="AX35" s="92"/>
      <c r="AY35" s="92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</row>
    <row r="36" spans="1:71" ht="15.75" customHeight="1" x14ac:dyDescent="0.2">
      <c r="A36" s="20">
        <v>31</v>
      </c>
      <c r="B36" s="126">
        <v>22322640</v>
      </c>
      <c r="C36" s="50">
        <v>15.408121879365076</v>
      </c>
      <c r="D36" s="50"/>
      <c r="E36" s="22">
        <f t="shared" si="22"/>
        <v>16.164583333333333</v>
      </c>
      <c r="F36" s="22"/>
      <c r="G36" s="22">
        <f t="shared" si="1"/>
        <v>15.786352606349205</v>
      </c>
      <c r="H36" s="38"/>
      <c r="I36" s="35">
        <v>18</v>
      </c>
      <c r="J36" s="36">
        <v>15.5</v>
      </c>
      <c r="K36" s="36">
        <v>16.75</v>
      </c>
      <c r="L36" s="27">
        <f t="shared" si="23"/>
        <v>16.541666666666668</v>
      </c>
      <c r="M36" s="130"/>
      <c r="N36" s="130"/>
      <c r="O36" s="36">
        <v>19</v>
      </c>
      <c r="P36" s="40">
        <v>20</v>
      </c>
      <c r="Q36" s="44">
        <v>14</v>
      </c>
      <c r="R36" s="23">
        <f t="shared" si="24"/>
        <v>17.666666666666668</v>
      </c>
      <c r="S36" s="37">
        <v>17.72</v>
      </c>
      <c r="T36" s="39">
        <v>17.809999999999999</v>
      </c>
      <c r="U36" s="23">
        <f t="shared" si="25"/>
        <v>17.75</v>
      </c>
      <c r="V36" s="27">
        <f t="shared" si="26"/>
        <v>17.708333333333336</v>
      </c>
      <c r="W36" s="44">
        <v>13.7</v>
      </c>
      <c r="X36" s="36">
        <v>13.7</v>
      </c>
      <c r="Y36" s="118">
        <f t="shared" si="27"/>
        <v>13.699999999999998</v>
      </c>
      <c r="Z36" s="123"/>
      <c r="AA36" s="123"/>
      <c r="AB36" s="44">
        <v>19.3</v>
      </c>
      <c r="AC36" s="44">
        <v>11.7</v>
      </c>
      <c r="AD36" s="118">
        <f t="shared" si="28"/>
        <v>14.233333333333334</v>
      </c>
      <c r="AE36" s="118">
        <f t="shared" si="29"/>
        <v>13.966666666666665</v>
      </c>
      <c r="AF36" s="131"/>
      <c r="AG36" s="36">
        <v>17</v>
      </c>
      <c r="AH36" s="35">
        <v>19</v>
      </c>
      <c r="AI36" s="118">
        <v>14.3</v>
      </c>
      <c r="AJ36" s="118">
        <v>16.5</v>
      </c>
      <c r="AK36" s="118">
        <f t="shared" si="30"/>
        <v>15.766666666666666</v>
      </c>
      <c r="AL36" s="118">
        <f t="shared" si="31"/>
        <v>16.883333333333333</v>
      </c>
      <c r="AM36" s="36">
        <v>18.5</v>
      </c>
      <c r="AN36" s="35">
        <v>12.5</v>
      </c>
      <c r="AO36" s="36">
        <v>14</v>
      </c>
      <c r="AP36" s="118">
        <f t="shared" si="32"/>
        <v>14.5625</v>
      </c>
      <c r="AQ36" s="92"/>
      <c r="AR36" s="92"/>
      <c r="AS36" s="92"/>
      <c r="AT36" s="92"/>
      <c r="AU36" s="92"/>
      <c r="AV36" s="92"/>
      <c r="AW36" s="92"/>
      <c r="AX36" s="92"/>
      <c r="AY36" s="92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</row>
    <row r="37" spans="1:71" ht="15.75" customHeight="1" x14ac:dyDescent="0.2">
      <c r="A37" s="20">
        <v>32</v>
      </c>
      <c r="B37" s="132">
        <v>22322717</v>
      </c>
      <c r="C37" s="50">
        <v>16.393443587301586</v>
      </c>
      <c r="D37" s="50"/>
      <c r="E37" s="22">
        <f t="shared" si="22"/>
        <v>15.496833333333333</v>
      </c>
      <c r="F37" s="22"/>
      <c r="G37" s="22">
        <f t="shared" si="1"/>
        <v>15.945138460317459</v>
      </c>
      <c r="H37" s="38"/>
      <c r="I37" s="35">
        <v>14</v>
      </c>
      <c r="J37" s="36">
        <v>15.25</v>
      </c>
      <c r="K37" s="36">
        <v>16.75</v>
      </c>
      <c r="L37" s="27">
        <f t="shared" si="23"/>
        <v>15.791666666666666</v>
      </c>
      <c r="M37" s="130"/>
      <c r="N37" s="130"/>
      <c r="O37" s="36">
        <v>16.25</v>
      </c>
      <c r="P37" s="35">
        <v>16.5</v>
      </c>
      <c r="Q37" s="36">
        <v>15</v>
      </c>
      <c r="R37" s="23">
        <f t="shared" si="24"/>
        <v>15.916666666666666</v>
      </c>
      <c r="S37" s="37">
        <v>17.239999999999998</v>
      </c>
      <c r="T37" s="39">
        <v>17.21</v>
      </c>
      <c r="U37" s="23">
        <f t="shared" si="25"/>
        <v>17.23</v>
      </c>
      <c r="V37" s="27">
        <f t="shared" si="26"/>
        <v>16.573333333333334</v>
      </c>
      <c r="W37" s="36">
        <v>17.39</v>
      </c>
      <c r="X37" s="36">
        <v>10.7</v>
      </c>
      <c r="Y37" s="118">
        <f t="shared" si="27"/>
        <v>12.93</v>
      </c>
      <c r="Z37" s="131"/>
      <c r="AA37" s="131"/>
      <c r="AB37" s="36">
        <v>15.4</v>
      </c>
      <c r="AC37" s="36">
        <v>10.199999999999999</v>
      </c>
      <c r="AD37" s="118">
        <f t="shared" si="28"/>
        <v>11.933333333333332</v>
      </c>
      <c r="AE37" s="118">
        <f t="shared" si="29"/>
        <v>12.431666666666665</v>
      </c>
      <c r="AF37" s="131"/>
      <c r="AG37" s="36">
        <v>20</v>
      </c>
      <c r="AH37" s="35">
        <v>17</v>
      </c>
      <c r="AI37" s="22">
        <v>15.3</v>
      </c>
      <c r="AJ37" s="22">
        <v>15.6</v>
      </c>
      <c r="AK37" s="118">
        <f t="shared" si="30"/>
        <v>15.5</v>
      </c>
      <c r="AL37" s="118">
        <f t="shared" si="31"/>
        <v>17</v>
      </c>
      <c r="AM37" s="26">
        <v>14</v>
      </c>
      <c r="AN37" s="36">
        <v>15</v>
      </c>
      <c r="AO37" s="36">
        <v>14</v>
      </c>
      <c r="AP37" s="118">
        <f t="shared" si="32"/>
        <v>14.375</v>
      </c>
      <c r="AQ37" s="92"/>
      <c r="AR37" s="92"/>
      <c r="AS37" s="92"/>
      <c r="AT37" s="92"/>
      <c r="AU37" s="92"/>
      <c r="AV37" s="92"/>
      <c r="AW37" s="92"/>
      <c r="AX37" s="92"/>
      <c r="AY37" s="92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</row>
    <row r="38" spans="1:71" ht="15.75" customHeight="1" x14ac:dyDescent="0.2">
      <c r="A38" s="20"/>
      <c r="B38" s="119"/>
      <c r="C38" s="119"/>
      <c r="D38" s="119"/>
      <c r="E38" s="119"/>
      <c r="F38" s="119"/>
      <c r="G38" s="119"/>
      <c r="H38" s="119"/>
      <c r="I38" s="119"/>
      <c r="J38" s="119"/>
      <c r="K38" s="119"/>
      <c r="L38" s="119"/>
      <c r="M38" s="119"/>
      <c r="N38" s="119"/>
      <c r="O38" s="118"/>
      <c r="P38" s="118"/>
      <c r="Q38" s="118"/>
      <c r="R38" s="118"/>
      <c r="S38" s="118"/>
      <c r="T38" s="118"/>
      <c r="U38" s="118"/>
      <c r="V38" s="118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8"/>
      <c r="AM38" s="119"/>
      <c r="AN38" s="119"/>
      <c r="AO38" s="119"/>
      <c r="AP38" s="119"/>
      <c r="AQ38" s="92"/>
      <c r="AR38" s="92"/>
      <c r="AS38" s="92"/>
      <c r="AT38" s="92"/>
      <c r="AU38" s="92"/>
      <c r="AV38" s="92"/>
      <c r="AW38" s="92"/>
      <c r="AX38" s="92"/>
      <c r="AY38" s="92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</row>
    <row r="39" spans="1:71" ht="15.75" customHeight="1" x14ac:dyDescent="0.2">
      <c r="A39" s="20"/>
      <c r="B39" s="119"/>
      <c r="C39" s="118"/>
      <c r="D39" s="118"/>
      <c r="E39" s="118"/>
      <c r="F39" s="118"/>
      <c r="G39" s="118"/>
      <c r="H39" s="118"/>
      <c r="I39" s="119"/>
      <c r="J39" s="119"/>
      <c r="K39" s="119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9"/>
      <c r="X39" s="119"/>
      <c r="Y39" s="119"/>
      <c r="Z39" s="119"/>
      <c r="AA39" s="119"/>
      <c r="AB39" s="119"/>
      <c r="AC39" s="119"/>
      <c r="AD39" s="119"/>
      <c r="AE39" s="118"/>
      <c r="AF39" s="118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92"/>
      <c r="AR39" s="92"/>
      <c r="AS39" s="92"/>
      <c r="AT39" s="92"/>
      <c r="AU39" s="92"/>
      <c r="AV39" s="92"/>
      <c r="AW39" s="92"/>
      <c r="AX39" s="92"/>
      <c r="AY39" s="92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</row>
    <row r="40" spans="1:71" ht="15.75" customHeight="1" x14ac:dyDescent="0.2">
      <c r="A40" s="20"/>
      <c r="B40" s="119"/>
      <c r="C40" s="119"/>
      <c r="D40" s="119"/>
      <c r="E40" s="119"/>
      <c r="F40" s="119"/>
      <c r="G40" s="119"/>
      <c r="H40" s="119"/>
      <c r="I40" s="119"/>
      <c r="J40" s="119"/>
      <c r="K40" s="119"/>
      <c r="L40" s="119"/>
      <c r="M40" s="119"/>
      <c r="N40" s="119"/>
      <c r="O40" s="118"/>
      <c r="P40" s="118"/>
      <c r="Q40" s="118"/>
      <c r="R40" s="118"/>
      <c r="S40" s="118"/>
      <c r="T40" s="118"/>
      <c r="U40" s="118"/>
      <c r="V40" s="118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92"/>
      <c r="AR40" s="92"/>
      <c r="AS40" s="92"/>
      <c r="AT40" s="92"/>
      <c r="AU40" s="92"/>
      <c r="AV40" s="92"/>
      <c r="AW40" s="92"/>
      <c r="AX40" s="92"/>
      <c r="AY40" s="92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</row>
    <row r="41" spans="1:71" ht="15.75" customHeight="1" x14ac:dyDescent="0.2">
      <c r="A41" s="87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118"/>
      <c r="P41" s="118"/>
      <c r="Q41" s="118"/>
      <c r="R41" s="118"/>
      <c r="S41" s="118"/>
      <c r="T41" s="118"/>
      <c r="U41" s="118"/>
      <c r="V41" s="118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92"/>
      <c r="AR41" s="92"/>
      <c r="AS41" s="92"/>
      <c r="AT41" s="92"/>
      <c r="AU41" s="92"/>
      <c r="AV41" s="92"/>
      <c r="AW41" s="92"/>
      <c r="AX41" s="92"/>
      <c r="AY41" s="92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</row>
    <row r="42" spans="1:71" ht="15.75" customHeight="1" x14ac:dyDescent="0.2">
      <c r="A42" s="87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118"/>
      <c r="P42" s="118"/>
      <c r="Q42" s="118"/>
      <c r="R42" s="118"/>
      <c r="S42" s="118"/>
      <c r="T42" s="118"/>
      <c r="U42" s="118"/>
      <c r="V42" s="118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92"/>
      <c r="AR42" s="92"/>
      <c r="AS42" s="92"/>
      <c r="AT42" s="92"/>
      <c r="AU42" s="92"/>
      <c r="AV42" s="92"/>
      <c r="AW42" s="92"/>
      <c r="AX42" s="92"/>
      <c r="AY42" s="92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</row>
    <row r="43" spans="1:71" ht="15.75" customHeight="1" x14ac:dyDescent="0.2">
      <c r="A43" s="87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118"/>
      <c r="P43" s="118"/>
      <c r="Q43" s="118"/>
      <c r="R43" s="118"/>
      <c r="S43" s="118"/>
      <c r="T43" s="118"/>
      <c r="U43" s="118"/>
      <c r="V43" s="118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92"/>
      <c r="AR43" s="92"/>
      <c r="AS43" s="92"/>
      <c r="AT43" s="92"/>
      <c r="AU43" s="92"/>
      <c r="AV43" s="92"/>
      <c r="AW43" s="92"/>
      <c r="AX43" s="92"/>
      <c r="AY43" s="92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</row>
    <row r="44" spans="1:71" ht="15.75" customHeight="1" x14ac:dyDescent="0.2">
      <c r="A44" s="87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118"/>
      <c r="P44" s="118"/>
      <c r="Q44" s="118"/>
      <c r="R44" s="118"/>
      <c r="S44" s="118"/>
      <c r="T44" s="118"/>
      <c r="U44" s="118"/>
      <c r="V44" s="118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92"/>
      <c r="AR44" s="92"/>
      <c r="AS44" s="92"/>
      <c r="AT44" s="92"/>
      <c r="AU44" s="92"/>
      <c r="AV44" s="92"/>
      <c r="AW44" s="92"/>
      <c r="AX44" s="92"/>
      <c r="AY44" s="92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</row>
    <row r="45" spans="1:71" ht="15.75" customHeight="1" x14ac:dyDescent="0.2">
      <c r="A45" s="87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118"/>
      <c r="P45" s="118"/>
      <c r="Q45" s="118"/>
      <c r="R45" s="118"/>
      <c r="S45" s="118"/>
      <c r="T45" s="118"/>
      <c r="U45" s="118"/>
      <c r="V45" s="118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92"/>
      <c r="AR45" s="92"/>
      <c r="AS45" s="92"/>
      <c r="AT45" s="92"/>
      <c r="AU45" s="92"/>
      <c r="AV45" s="92"/>
      <c r="AW45" s="92"/>
      <c r="AX45" s="92"/>
      <c r="AY45" s="92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</row>
    <row r="46" spans="1:71" ht="15.75" customHeight="1" x14ac:dyDescent="0.2">
      <c r="A46" s="87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119"/>
      <c r="P46" s="119"/>
      <c r="Q46" s="119"/>
      <c r="R46" s="119"/>
      <c r="S46" s="119"/>
      <c r="T46" s="119"/>
      <c r="U46" s="119"/>
      <c r="V46" s="119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92"/>
      <c r="AR46" s="92"/>
      <c r="AS46" s="92"/>
      <c r="AT46" s="92"/>
      <c r="AU46" s="92"/>
      <c r="AV46" s="92"/>
      <c r="AW46" s="92"/>
      <c r="AX46" s="92"/>
      <c r="AY46" s="92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8"/>
    </row>
    <row r="47" spans="1:71" ht="15.75" customHeight="1" x14ac:dyDescent="0.2">
      <c r="A47" s="87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119"/>
      <c r="P47" s="119"/>
      <c r="Q47" s="119"/>
      <c r="R47" s="119"/>
      <c r="S47" s="119"/>
      <c r="T47" s="119"/>
      <c r="U47" s="119"/>
      <c r="V47" s="118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92"/>
      <c r="AR47" s="92"/>
      <c r="AS47" s="92"/>
      <c r="AT47" s="92"/>
      <c r="AU47" s="92"/>
      <c r="AV47" s="92"/>
      <c r="AW47" s="92"/>
      <c r="AX47" s="92"/>
      <c r="AY47" s="92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8"/>
    </row>
    <row r="48" spans="1:71" ht="15.75" customHeight="1" x14ac:dyDescent="0.2">
      <c r="A48" s="87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120"/>
      <c r="P48" s="120"/>
      <c r="Q48" s="120"/>
      <c r="R48" s="120"/>
      <c r="S48" s="120"/>
      <c r="T48" s="120"/>
      <c r="U48" s="120"/>
      <c r="V48" s="120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92"/>
      <c r="AR48" s="92"/>
      <c r="AS48" s="92"/>
      <c r="AT48" s="92"/>
      <c r="AU48" s="92"/>
      <c r="AV48" s="92"/>
      <c r="AW48" s="92"/>
      <c r="AX48" s="92"/>
      <c r="AY48" s="92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8"/>
    </row>
    <row r="49" spans="1:71" ht="15.75" customHeight="1" x14ac:dyDescent="0.2">
      <c r="A49" s="87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120"/>
      <c r="P49" s="120"/>
      <c r="Q49" s="120"/>
      <c r="R49" s="120"/>
      <c r="S49" s="120"/>
      <c r="T49" s="120"/>
      <c r="U49" s="120"/>
      <c r="V49" s="120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92"/>
      <c r="AR49" s="92"/>
      <c r="AS49" s="92"/>
      <c r="AT49" s="92"/>
      <c r="AU49" s="92"/>
      <c r="AV49" s="92"/>
      <c r="AW49" s="92"/>
      <c r="AX49" s="92"/>
      <c r="AY49" s="92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8"/>
    </row>
    <row r="50" spans="1:71" ht="15.75" customHeight="1" x14ac:dyDescent="0.2">
      <c r="A50" s="87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120"/>
      <c r="P50" s="120"/>
      <c r="Q50" s="120"/>
      <c r="R50" s="120"/>
      <c r="S50" s="120"/>
      <c r="T50" s="120"/>
      <c r="U50" s="120"/>
      <c r="V50" s="120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92"/>
      <c r="AR50" s="92"/>
      <c r="AS50" s="92"/>
      <c r="AT50" s="92"/>
      <c r="AU50" s="92"/>
      <c r="AV50" s="92"/>
      <c r="AW50" s="92"/>
      <c r="AX50" s="92"/>
      <c r="AY50" s="92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8"/>
    </row>
    <row r="51" spans="1:71" ht="15.75" customHeight="1" x14ac:dyDescent="0.2">
      <c r="A51" s="87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120"/>
      <c r="P51" s="120"/>
      <c r="Q51" s="120"/>
      <c r="R51" s="120"/>
      <c r="S51" s="120"/>
      <c r="T51" s="120"/>
      <c r="U51" s="120"/>
      <c r="V51" s="120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92"/>
      <c r="AR51" s="92"/>
      <c r="AS51" s="92"/>
      <c r="AT51" s="92"/>
      <c r="AU51" s="92"/>
      <c r="AV51" s="92"/>
      <c r="AW51" s="92"/>
      <c r="AX51" s="92"/>
      <c r="AY51" s="92"/>
      <c r="AZ51" s="58"/>
      <c r="BA51" s="58"/>
      <c r="BB51" s="58"/>
      <c r="BC51" s="58"/>
      <c r="BD51" s="58"/>
      <c r="BE51" s="58"/>
      <c r="BF51" s="58"/>
      <c r="BG51" s="58"/>
      <c r="BH51" s="58"/>
      <c r="BI51" s="58"/>
      <c r="BJ51" s="58"/>
      <c r="BK51" s="58"/>
      <c r="BL51" s="58"/>
      <c r="BM51" s="58"/>
      <c r="BN51" s="58"/>
      <c r="BO51" s="58"/>
      <c r="BP51" s="58"/>
      <c r="BQ51" s="58"/>
      <c r="BR51" s="58"/>
      <c r="BS51" s="58"/>
    </row>
    <row r="52" spans="1:71" ht="15.75" customHeight="1" x14ac:dyDescent="0.2">
      <c r="A52" s="87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120"/>
      <c r="P52" s="120"/>
      <c r="Q52" s="120"/>
      <c r="R52" s="120"/>
      <c r="S52" s="120"/>
      <c r="T52" s="120"/>
      <c r="U52" s="120"/>
      <c r="V52" s="120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92"/>
      <c r="AR52" s="92"/>
      <c r="AS52" s="92"/>
      <c r="AT52" s="92"/>
      <c r="AU52" s="92"/>
      <c r="AV52" s="92"/>
      <c r="AW52" s="92"/>
      <c r="AX52" s="92"/>
      <c r="AY52" s="92"/>
      <c r="AZ52" s="58"/>
      <c r="BA52" s="58"/>
      <c r="BB52" s="58"/>
      <c r="BC52" s="58"/>
      <c r="BD52" s="58"/>
      <c r="BE52" s="58"/>
      <c r="BF52" s="58"/>
      <c r="BG52" s="58"/>
      <c r="BH52" s="58"/>
      <c r="BI52" s="58"/>
      <c r="BJ52" s="58"/>
      <c r="BK52" s="58"/>
      <c r="BL52" s="58"/>
      <c r="BM52" s="58"/>
      <c r="BN52" s="58"/>
      <c r="BO52" s="58"/>
      <c r="BP52" s="58"/>
      <c r="BQ52" s="58"/>
      <c r="BR52" s="58"/>
      <c r="BS52" s="58"/>
    </row>
    <row r="53" spans="1:71" ht="15.75" customHeight="1" x14ac:dyDescent="0.2">
      <c r="A53" s="87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120"/>
      <c r="P53" s="120"/>
      <c r="Q53" s="120"/>
      <c r="R53" s="120"/>
      <c r="S53" s="120"/>
      <c r="T53" s="120"/>
      <c r="U53" s="120"/>
      <c r="V53" s="120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92"/>
      <c r="AR53" s="92"/>
      <c r="AS53" s="92"/>
      <c r="AT53" s="92"/>
      <c r="AU53" s="92"/>
      <c r="AV53" s="92"/>
      <c r="AW53" s="92"/>
      <c r="AX53" s="92"/>
      <c r="AY53" s="92"/>
      <c r="AZ53" s="58"/>
      <c r="BA53" s="58"/>
      <c r="BB53" s="58"/>
      <c r="BC53" s="58"/>
      <c r="BD53" s="58"/>
      <c r="BE53" s="58"/>
      <c r="BF53" s="58"/>
      <c r="BG53" s="58"/>
      <c r="BH53" s="58"/>
      <c r="BI53" s="58"/>
      <c r="BJ53" s="58"/>
      <c r="BK53" s="58"/>
      <c r="BL53" s="58"/>
      <c r="BM53" s="58"/>
      <c r="BN53" s="58"/>
      <c r="BO53" s="58"/>
      <c r="BP53" s="58"/>
      <c r="BQ53" s="58"/>
      <c r="BR53" s="58"/>
      <c r="BS53" s="58"/>
    </row>
    <row r="54" spans="1:71" ht="15.75" customHeight="1" x14ac:dyDescent="0.2">
      <c r="A54" s="87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120"/>
      <c r="P54" s="120"/>
      <c r="Q54" s="120"/>
      <c r="R54" s="120"/>
      <c r="S54" s="120"/>
      <c r="T54" s="120"/>
      <c r="U54" s="120"/>
      <c r="V54" s="120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92"/>
      <c r="AR54" s="92"/>
      <c r="AS54" s="92"/>
      <c r="AT54" s="92"/>
      <c r="AU54" s="92"/>
      <c r="AV54" s="92"/>
      <c r="AW54" s="92"/>
      <c r="AX54" s="92"/>
      <c r="AY54" s="92"/>
      <c r="AZ54" s="58"/>
      <c r="BA54" s="58"/>
      <c r="BB54" s="58"/>
      <c r="BC54" s="58"/>
      <c r="BD54" s="58"/>
      <c r="BE54" s="58"/>
      <c r="BF54" s="58"/>
      <c r="BG54" s="58"/>
      <c r="BH54" s="58"/>
      <c r="BI54" s="58"/>
      <c r="BJ54" s="58"/>
      <c r="BK54" s="58"/>
      <c r="BL54" s="58"/>
      <c r="BM54" s="58"/>
      <c r="BN54" s="58"/>
      <c r="BO54" s="58"/>
      <c r="BP54" s="58"/>
      <c r="BQ54" s="58"/>
      <c r="BR54" s="58"/>
      <c r="BS54" s="58"/>
    </row>
    <row r="55" spans="1:71" ht="15.75" customHeight="1" x14ac:dyDescent="0.2">
      <c r="A55" s="87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120"/>
      <c r="P55" s="120"/>
      <c r="Q55" s="120"/>
      <c r="R55" s="120"/>
      <c r="S55" s="120"/>
      <c r="T55" s="120"/>
      <c r="U55" s="120"/>
      <c r="V55" s="120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92"/>
      <c r="AR55" s="92"/>
      <c r="AS55" s="92"/>
      <c r="AT55" s="92"/>
      <c r="AU55" s="92"/>
      <c r="AV55" s="92"/>
      <c r="AW55" s="92"/>
      <c r="AX55" s="92"/>
      <c r="AY55" s="92"/>
      <c r="AZ55" s="58"/>
      <c r="BA55" s="58"/>
      <c r="BB55" s="58"/>
      <c r="BC55" s="58"/>
      <c r="BD55" s="58"/>
      <c r="BE55" s="58"/>
      <c r="BF55" s="58"/>
      <c r="BG55" s="58"/>
      <c r="BH55" s="58"/>
      <c r="BI55" s="58"/>
      <c r="BJ55" s="58"/>
      <c r="BK55" s="58"/>
      <c r="BL55" s="58"/>
      <c r="BM55" s="58"/>
      <c r="BN55" s="58"/>
      <c r="BO55" s="58"/>
      <c r="BP55" s="58"/>
      <c r="BQ55" s="58"/>
      <c r="BR55" s="58"/>
      <c r="BS55" s="58"/>
    </row>
    <row r="56" spans="1:71" ht="15.75" customHeight="1" x14ac:dyDescent="0.2">
      <c r="A56" s="87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7"/>
      <c r="P56" s="87"/>
      <c r="Q56" s="87"/>
      <c r="R56" s="87"/>
      <c r="S56" s="87"/>
      <c r="T56" s="87"/>
      <c r="U56" s="87"/>
      <c r="V56" s="88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92"/>
      <c r="AR56" s="92"/>
      <c r="AS56" s="92"/>
      <c r="AT56" s="92"/>
      <c r="AU56" s="92"/>
      <c r="AV56" s="92"/>
      <c r="AW56" s="92"/>
      <c r="AX56" s="92"/>
      <c r="AY56" s="92"/>
      <c r="AZ56" s="58"/>
      <c r="BA56" s="58"/>
      <c r="BB56" s="58"/>
      <c r="BC56" s="58"/>
      <c r="BD56" s="58"/>
      <c r="BE56" s="58"/>
      <c r="BF56" s="58"/>
      <c r="BG56" s="58"/>
      <c r="BH56" s="58"/>
      <c r="BI56" s="58"/>
      <c r="BJ56" s="58"/>
      <c r="BK56" s="58"/>
      <c r="BL56" s="58"/>
      <c r="BM56" s="58"/>
      <c r="BN56" s="58"/>
      <c r="BO56" s="58"/>
      <c r="BP56" s="58"/>
      <c r="BQ56" s="58"/>
      <c r="BR56" s="58"/>
      <c r="BS56" s="58"/>
    </row>
    <row r="57" spans="1:71" ht="15.75" customHeight="1" x14ac:dyDescent="0.2">
      <c r="A57" s="87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7"/>
      <c r="P57" s="87"/>
      <c r="Q57" s="87"/>
      <c r="R57" s="87"/>
      <c r="S57" s="87"/>
      <c r="T57" s="87"/>
      <c r="U57" s="87"/>
      <c r="V57" s="88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92"/>
      <c r="AR57" s="92"/>
      <c r="AS57" s="92"/>
      <c r="AT57" s="92"/>
      <c r="AU57" s="92"/>
      <c r="AV57" s="92"/>
      <c r="AW57" s="92"/>
      <c r="AX57" s="92"/>
      <c r="AY57" s="92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</row>
    <row r="58" spans="1:71" ht="15.75" customHeight="1" x14ac:dyDescent="0.2">
      <c r="A58" s="87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7"/>
      <c r="P58" s="87"/>
      <c r="Q58" s="87"/>
      <c r="R58" s="87"/>
      <c r="S58" s="87"/>
      <c r="T58" s="87"/>
      <c r="U58" s="87"/>
      <c r="V58" s="88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92"/>
      <c r="AR58" s="92"/>
      <c r="AS58" s="92"/>
      <c r="AT58" s="92"/>
      <c r="AU58" s="92"/>
      <c r="AV58" s="92"/>
      <c r="AW58" s="92"/>
      <c r="AX58" s="92"/>
      <c r="AY58" s="92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</row>
    <row r="59" spans="1:71" ht="15.75" customHeight="1" x14ac:dyDescent="0.2">
      <c r="A59" s="87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7"/>
      <c r="P59" s="87"/>
      <c r="Q59" s="87"/>
      <c r="R59" s="87"/>
      <c r="S59" s="87"/>
      <c r="T59" s="87"/>
      <c r="U59" s="87"/>
      <c r="V59" s="88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92"/>
      <c r="AR59" s="92"/>
      <c r="AS59" s="92"/>
      <c r="AT59" s="92"/>
      <c r="AU59" s="92"/>
      <c r="AV59" s="92"/>
      <c r="AW59" s="92"/>
      <c r="AX59" s="92"/>
      <c r="AY59" s="92"/>
      <c r="AZ59" s="58"/>
      <c r="BA59" s="58"/>
      <c r="BB59" s="58"/>
      <c r="BC59" s="58"/>
      <c r="BD59" s="58"/>
      <c r="BE59" s="58"/>
      <c r="BF59" s="58"/>
      <c r="BG59" s="58"/>
      <c r="BH59" s="58"/>
      <c r="BI59" s="58"/>
      <c r="BJ59" s="58"/>
      <c r="BK59" s="58"/>
      <c r="BL59" s="58"/>
      <c r="BM59" s="58"/>
      <c r="BN59" s="58"/>
      <c r="BO59" s="58"/>
      <c r="BP59" s="58"/>
      <c r="BQ59" s="58"/>
      <c r="BR59" s="58"/>
      <c r="BS59" s="58"/>
    </row>
    <row r="60" spans="1:71" ht="15.75" customHeight="1" x14ac:dyDescent="0.2">
      <c r="A60" s="87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7"/>
      <c r="P60" s="87"/>
      <c r="Q60" s="87"/>
      <c r="R60" s="87"/>
      <c r="S60" s="87"/>
      <c r="T60" s="87"/>
      <c r="U60" s="87"/>
      <c r="V60" s="88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92"/>
      <c r="AR60" s="92"/>
      <c r="AS60" s="92"/>
      <c r="AT60" s="92"/>
      <c r="AU60" s="92"/>
      <c r="AV60" s="92"/>
      <c r="AW60" s="92"/>
      <c r="AX60" s="92"/>
      <c r="AY60" s="92"/>
      <c r="AZ60" s="58"/>
      <c r="BA60" s="58"/>
      <c r="BB60" s="58"/>
      <c r="BC60" s="58"/>
      <c r="BD60" s="58"/>
      <c r="BE60" s="58"/>
      <c r="BF60" s="58"/>
      <c r="BG60" s="58"/>
      <c r="BH60" s="58"/>
      <c r="BI60" s="58"/>
      <c r="BJ60" s="58"/>
      <c r="BK60" s="58"/>
      <c r="BL60" s="58"/>
      <c r="BM60" s="58"/>
      <c r="BN60" s="58"/>
      <c r="BO60" s="58"/>
      <c r="BP60" s="58"/>
      <c r="BQ60" s="58"/>
      <c r="BR60" s="58"/>
      <c r="BS60" s="58"/>
    </row>
    <row r="61" spans="1:71" ht="15.75" customHeight="1" x14ac:dyDescent="0.2">
      <c r="A61" s="87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7"/>
      <c r="P61" s="87"/>
      <c r="Q61" s="87"/>
      <c r="R61" s="87"/>
      <c r="S61" s="87"/>
      <c r="T61" s="87"/>
      <c r="U61" s="87"/>
      <c r="V61" s="88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92"/>
      <c r="AR61" s="92"/>
      <c r="AS61" s="92"/>
      <c r="AT61" s="92"/>
      <c r="AU61" s="92"/>
      <c r="AV61" s="92"/>
      <c r="AW61" s="92"/>
      <c r="AX61" s="92"/>
      <c r="AY61" s="92"/>
      <c r="AZ61" s="58"/>
      <c r="BA61" s="58"/>
      <c r="BB61" s="58"/>
      <c r="BC61" s="58"/>
      <c r="BD61" s="58"/>
      <c r="BE61" s="58"/>
      <c r="BF61" s="58"/>
      <c r="BG61" s="58"/>
      <c r="BH61" s="58"/>
      <c r="BI61" s="58"/>
      <c r="BJ61" s="58"/>
      <c r="BK61" s="58"/>
      <c r="BL61" s="58"/>
      <c r="BM61" s="58"/>
      <c r="BN61" s="58"/>
      <c r="BO61" s="58"/>
      <c r="BP61" s="58"/>
      <c r="BQ61" s="58"/>
      <c r="BR61" s="58"/>
      <c r="BS61" s="58"/>
    </row>
    <row r="62" spans="1:71" ht="15.75" customHeight="1" x14ac:dyDescent="0.2">
      <c r="A62" s="87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7"/>
      <c r="P62" s="87"/>
      <c r="Q62" s="87"/>
      <c r="R62" s="87"/>
      <c r="S62" s="87"/>
      <c r="T62" s="87"/>
      <c r="U62" s="87"/>
      <c r="V62" s="88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92"/>
      <c r="AR62" s="92"/>
      <c r="AS62" s="92"/>
      <c r="AT62" s="92"/>
      <c r="AU62" s="92"/>
      <c r="AV62" s="92"/>
      <c r="AW62" s="92"/>
      <c r="AX62" s="92"/>
      <c r="AY62" s="92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</row>
    <row r="63" spans="1:71" ht="15.75" customHeight="1" x14ac:dyDescent="0.2">
      <c r="A63" s="87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7"/>
      <c r="P63" s="87"/>
      <c r="Q63" s="87"/>
      <c r="R63" s="87"/>
      <c r="S63" s="87"/>
      <c r="T63" s="87"/>
      <c r="U63" s="87"/>
      <c r="V63" s="88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92"/>
      <c r="AR63" s="92"/>
      <c r="AS63" s="92"/>
      <c r="AT63" s="92"/>
      <c r="AU63" s="92"/>
      <c r="AV63" s="92"/>
      <c r="AW63" s="92"/>
      <c r="AX63" s="92"/>
      <c r="AY63" s="92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</row>
    <row r="64" spans="1:71" ht="15.75" customHeight="1" x14ac:dyDescent="0.2">
      <c r="A64" s="87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7"/>
      <c r="P64" s="87"/>
      <c r="Q64" s="87"/>
      <c r="R64" s="87"/>
      <c r="S64" s="87"/>
      <c r="T64" s="87"/>
      <c r="U64" s="87"/>
      <c r="V64" s="88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92"/>
      <c r="AR64" s="92"/>
      <c r="AS64" s="92"/>
      <c r="AT64" s="92"/>
      <c r="AU64" s="92"/>
      <c r="AV64" s="92"/>
      <c r="AW64" s="92"/>
      <c r="AX64" s="92"/>
      <c r="AY64" s="92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  <c r="BM64" s="58"/>
      <c r="BN64" s="58"/>
      <c r="BO64" s="58"/>
      <c r="BP64" s="58"/>
      <c r="BQ64" s="58"/>
      <c r="BR64" s="58"/>
      <c r="BS64" s="58"/>
    </row>
    <row r="65" spans="1:71" ht="15.75" customHeight="1" x14ac:dyDescent="0.2">
      <c r="A65" s="87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7"/>
      <c r="P65" s="87"/>
      <c r="Q65" s="87"/>
      <c r="R65" s="87"/>
      <c r="S65" s="87"/>
      <c r="T65" s="87"/>
      <c r="U65" s="87"/>
      <c r="V65" s="88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92"/>
      <c r="AR65" s="92"/>
      <c r="AS65" s="92"/>
      <c r="AT65" s="92"/>
      <c r="AU65" s="92"/>
      <c r="AV65" s="92"/>
      <c r="AW65" s="92"/>
      <c r="AX65" s="92"/>
      <c r="AY65" s="92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</row>
    <row r="66" spans="1:71" ht="15.75" customHeight="1" x14ac:dyDescent="0.2">
      <c r="A66" s="87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7"/>
      <c r="P66" s="87"/>
      <c r="Q66" s="87"/>
      <c r="R66" s="87"/>
      <c r="S66" s="87"/>
      <c r="T66" s="87"/>
      <c r="U66" s="87"/>
      <c r="V66" s="88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92"/>
      <c r="AR66" s="92"/>
      <c r="AS66" s="92"/>
      <c r="AT66" s="92"/>
      <c r="AU66" s="92"/>
      <c r="AV66" s="92"/>
      <c r="AW66" s="92"/>
      <c r="AX66" s="92"/>
      <c r="AY66" s="92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  <c r="BM66" s="58"/>
      <c r="BN66" s="58"/>
      <c r="BO66" s="58"/>
      <c r="BP66" s="58"/>
      <c r="BQ66" s="58"/>
      <c r="BR66" s="58"/>
      <c r="BS66" s="58"/>
    </row>
    <row r="67" spans="1:71" ht="15.75" customHeight="1" x14ac:dyDescent="0.2">
      <c r="A67" s="87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7"/>
      <c r="P67" s="87"/>
      <c r="Q67" s="87"/>
      <c r="R67" s="87"/>
      <c r="S67" s="87"/>
      <c r="T67" s="87"/>
      <c r="U67" s="87"/>
      <c r="V67" s="88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92"/>
      <c r="AR67" s="92"/>
      <c r="AS67" s="92"/>
      <c r="AT67" s="92"/>
      <c r="AU67" s="92"/>
      <c r="AV67" s="92"/>
      <c r="AW67" s="92"/>
      <c r="AX67" s="92"/>
      <c r="AY67" s="92"/>
      <c r="AZ67" s="58"/>
      <c r="BA67" s="58"/>
      <c r="BB67" s="58"/>
      <c r="BC67" s="58"/>
      <c r="BD67" s="58"/>
      <c r="BE67" s="58"/>
      <c r="BF67" s="58"/>
      <c r="BG67" s="58"/>
      <c r="BH67" s="58"/>
      <c r="BI67" s="58"/>
      <c r="BJ67" s="58"/>
      <c r="BK67" s="58"/>
      <c r="BL67" s="58"/>
      <c r="BM67" s="58"/>
      <c r="BN67" s="58"/>
      <c r="BO67" s="58"/>
      <c r="BP67" s="58"/>
      <c r="BQ67" s="58"/>
      <c r="BR67" s="58"/>
      <c r="BS67" s="58"/>
    </row>
    <row r="68" spans="1:71" ht="15.75" customHeight="1" x14ac:dyDescent="0.2">
      <c r="A68" s="87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7"/>
      <c r="P68" s="87"/>
      <c r="Q68" s="87"/>
      <c r="R68" s="87"/>
      <c r="S68" s="87"/>
      <c r="T68" s="87"/>
      <c r="U68" s="87"/>
      <c r="V68" s="88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92"/>
      <c r="AR68" s="92"/>
      <c r="AS68" s="92"/>
      <c r="AT68" s="92"/>
      <c r="AU68" s="92"/>
      <c r="AV68" s="92"/>
      <c r="AW68" s="92"/>
      <c r="AX68" s="92"/>
      <c r="AY68" s="92"/>
      <c r="AZ68" s="58"/>
      <c r="BA68" s="58"/>
      <c r="BB68" s="58"/>
      <c r="BC68" s="58"/>
      <c r="BD68" s="58"/>
      <c r="BE68" s="58"/>
      <c r="BF68" s="58"/>
      <c r="BG68" s="58"/>
      <c r="BH68" s="58"/>
      <c r="BI68" s="58"/>
      <c r="BJ68" s="58"/>
      <c r="BK68" s="58"/>
      <c r="BL68" s="58"/>
      <c r="BM68" s="58"/>
      <c r="BN68" s="58"/>
      <c r="BO68" s="58"/>
      <c r="BP68" s="58"/>
      <c r="BQ68" s="58"/>
      <c r="BR68" s="58"/>
      <c r="BS68" s="58"/>
    </row>
    <row r="69" spans="1:71" ht="15.75" customHeight="1" x14ac:dyDescent="0.2">
      <c r="A69" s="87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7"/>
      <c r="P69" s="87"/>
      <c r="Q69" s="87"/>
      <c r="R69" s="87"/>
      <c r="S69" s="87"/>
      <c r="T69" s="87"/>
      <c r="U69" s="87"/>
      <c r="V69" s="88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92"/>
      <c r="AR69" s="92"/>
      <c r="AS69" s="92"/>
      <c r="AT69" s="92"/>
      <c r="AU69" s="92"/>
      <c r="AV69" s="92"/>
      <c r="AW69" s="92"/>
      <c r="AX69" s="92"/>
      <c r="AY69" s="92"/>
      <c r="AZ69" s="58"/>
      <c r="BA69" s="58"/>
      <c r="BB69" s="58"/>
      <c r="BC69" s="58"/>
      <c r="BD69" s="58"/>
      <c r="BE69" s="58"/>
      <c r="BF69" s="58"/>
      <c r="BG69" s="58"/>
      <c r="BH69" s="58"/>
      <c r="BI69" s="58"/>
      <c r="BJ69" s="58"/>
      <c r="BK69" s="58"/>
      <c r="BL69" s="58"/>
      <c r="BM69" s="58"/>
      <c r="BN69" s="58"/>
      <c r="BO69" s="58"/>
      <c r="BP69" s="58"/>
      <c r="BQ69" s="58"/>
      <c r="BR69" s="58"/>
      <c r="BS69" s="58"/>
    </row>
    <row r="70" spans="1:71" ht="15.75" customHeight="1" x14ac:dyDescent="0.2">
      <c r="A70" s="87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7"/>
      <c r="P70" s="87"/>
      <c r="Q70" s="87"/>
      <c r="R70" s="87"/>
      <c r="S70" s="87"/>
      <c r="T70" s="87"/>
      <c r="U70" s="87"/>
      <c r="V70" s="88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92"/>
      <c r="AR70" s="92"/>
      <c r="AS70" s="92"/>
      <c r="AT70" s="92"/>
      <c r="AU70" s="92"/>
      <c r="AV70" s="92"/>
      <c r="AW70" s="92"/>
      <c r="AX70" s="92"/>
      <c r="AY70" s="92"/>
      <c r="AZ70" s="58"/>
      <c r="BA70" s="58"/>
      <c r="BB70" s="58"/>
      <c r="BC70" s="58"/>
      <c r="BD70" s="58"/>
      <c r="BE70" s="58"/>
      <c r="BF70" s="58"/>
      <c r="BG70" s="58"/>
      <c r="BH70" s="58"/>
      <c r="BI70" s="58"/>
      <c r="BJ70" s="58"/>
      <c r="BK70" s="58"/>
      <c r="BL70" s="58"/>
      <c r="BM70" s="58"/>
      <c r="BN70" s="58"/>
      <c r="BO70" s="58"/>
      <c r="BP70" s="58"/>
      <c r="BQ70" s="58"/>
      <c r="BR70" s="58"/>
      <c r="BS70" s="58"/>
    </row>
    <row r="71" spans="1:71" ht="15.75" customHeight="1" x14ac:dyDescent="0.2">
      <c r="A71" s="87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7"/>
      <c r="P71" s="87"/>
      <c r="Q71" s="87"/>
      <c r="R71" s="87"/>
      <c r="S71" s="87"/>
      <c r="T71" s="87"/>
      <c r="U71" s="87"/>
      <c r="V71" s="88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92"/>
      <c r="AR71" s="92"/>
      <c r="AS71" s="92"/>
      <c r="AT71" s="92"/>
      <c r="AU71" s="92"/>
      <c r="AV71" s="92"/>
      <c r="AW71" s="92"/>
      <c r="AX71" s="92"/>
      <c r="AY71" s="92"/>
      <c r="AZ71" s="58"/>
      <c r="BA71" s="58"/>
      <c r="BB71" s="58"/>
      <c r="BC71" s="58"/>
      <c r="BD71" s="58"/>
      <c r="BE71" s="58"/>
      <c r="BF71" s="58"/>
      <c r="BG71" s="58"/>
      <c r="BH71" s="58"/>
      <c r="BI71" s="58"/>
      <c r="BJ71" s="58"/>
      <c r="BK71" s="58"/>
      <c r="BL71" s="58"/>
      <c r="BM71" s="58"/>
      <c r="BN71" s="58"/>
      <c r="BO71" s="58"/>
      <c r="BP71" s="58"/>
      <c r="BQ71" s="58"/>
      <c r="BR71" s="58"/>
      <c r="BS71" s="58"/>
    </row>
    <row r="72" spans="1:71" ht="15.75" customHeight="1" x14ac:dyDescent="0.2">
      <c r="A72" s="87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7"/>
      <c r="P72" s="87"/>
      <c r="Q72" s="87"/>
      <c r="R72" s="87"/>
      <c r="S72" s="87"/>
      <c r="T72" s="87"/>
      <c r="U72" s="87"/>
      <c r="V72" s="88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92"/>
      <c r="AR72" s="92"/>
      <c r="AS72" s="92"/>
      <c r="AT72" s="92"/>
      <c r="AU72" s="92"/>
      <c r="AV72" s="92"/>
      <c r="AW72" s="92"/>
      <c r="AX72" s="92"/>
      <c r="AY72" s="92"/>
      <c r="AZ72" s="58"/>
      <c r="BA72" s="58"/>
      <c r="BB72" s="58"/>
      <c r="BC72" s="58"/>
      <c r="BD72" s="58"/>
      <c r="BE72" s="58"/>
      <c r="BF72" s="58"/>
      <c r="BG72" s="58"/>
      <c r="BH72" s="58"/>
      <c r="BI72" s="58"/>
      <c r="BJ72" s="58"/>
      <c r="BK72" s="58"/>
      <c r="BL72" s="58"/>
      <c r="BM72" s="58"/>
      <c r="BN72" s="58"/>
      <c r="BO72" s="58"/>
      <c r="BP72" s="58"/>
      <c r="BQ72" s="58"/>
      <c r="BR72" s="58"/>
      <c r="BS72" s="58"/>
    </row>
    <row r="73" spans="1:71" ht="15.75" customHeight="1" x14ac:dyDescent="0.2">
      <c r="A73" s="87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7"/>
      <c r="P73" s="87"/>
      <c r="Q73" s="87"/>
      <c r="R73" s="87"/>
      <c r="S73" s="87"/>
      <c r="T73" s="87"/>
      <c r="U73" s="87"/>
      <c r="V73" s="88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92"/>
      <c r="AR73" s="92"/>
      <c r="AS73" s="92"/>
      <c r="AT73" s="92"/>
      <c r="AU73" s="92"/>
      <c r="AV73" s="92"/>
      <c r="AW73" s="92"/>
      <c r="AX73" s="92"/>
      <c r="AY73" s="92"/>
      <c r="AZ73" s="58"/>
      <c r="BA73" s="58"/>
      <c r="BB73" s="58"/>
      <c r="BC73" s="58"/>
      <c r="BD73" s="58"/>
      <c r="BE73" s="58"/>
      <c r="BF73" s="58"/>
      <c r="BG73" s="58"/>
      <c r="BH73" s="58"/>
      <c r="BI73" s="58"/>
      <c r="BJ73" s="58"/>
      <c r="BK73" s="58"/>
      <c r="BL73" s="58"/>
      <c r="BM73" s="58"/>
      <c r="BN73" s="58"/>
      <c r="BO73" s="58"/>
      <c r="BP73" s="58"/>
      <c r="BQ73" s="58"/>
      <c r="BR73" s="58"/>
      <c r="BS73" s="58"/>
    </row>
    <row r="74" spans="1:71" ht="15.75" customHeight="1" x14ac:dyDescent="0.2">
      <c r="A74" s="87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7"/>
      <c r="P74" s="87"/>
      <c r="Q74" s="87"/>
      <c r="R74" s="87"/>
      <c r="S74" s="87"/>
      <c r="T74" s="87"/>
      <c r="U74" s="87"/>
      <c r="V74" s="88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92"/>
      <c r="AR74" s="92"/>
      <c r="AS74" s="92"/>
      <c r="AT74" s="92"/>
      <c r="AU74" s="92"/>
      <c r="AV74" s="92"/>
      <c r="AW74" s="92"/>
      <c r="AX74" s="92"/>
      <c r="AY74" s="92"/>
      <c r="AZ74" s="58"/>
      <c r="BA74" s="58"/>
      <c r="BB74" s="58"/>
      <c r="BC74" s="58"/>
      <c r="BD74" s="58"/>
      <c r="BE74" s="58"/>
      <c r="BF74" s="58"/>
      <c r="BG74" s="58"/>
      <c r="BH74" s="58"/>
      <c r="BI74" s="58"/>
      <c r="BJ74" s="58"/>
      <c r="BK74" s="58"/>
      <c r="BL74" s="58"/>
      <c r="BM74" s="58"/>
      <c r="BN74" s="58"/>
      <c r="BO74" s="58"/>
      <c r="BP74" s="58"/>
      <c r="BQ74" s="58"/>
      <c r="BR74" s="58"/>
      <c r="BS74" s="58"/>
    </row>
    <row r="75" spans="1:71" ht="15.75" customHeight="1" x14ac:dyDescent="0.2">
      <c r="A75" s="87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7"/>
      <c r="P75" s="87"/>
      <c r="Q75" s="87"/>
      <c r="R75" s="87"/>
      <c r="S75" s="87"/>
      <c r="T75" s="87"/>
      <c r="U75" s="87"/>
      <c r="V75" s="88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92"/>
      <c r="AR75" s="92"/>
      <c r="AS75" s="92"/>
      <c r="AT75" s="92"/>
      <c r="AU75" s="92"/>
      <c r="AV75" s="92"/>
      <c r="AW75" s="92"/>
      <c r="AX75" s="92"/>
      <c r="AY75" s="92"/>
      <c r="AZ75" s="58"/>
      <c r="BA75" s="58"/>
      <c r="BB75" s="58"/>
      <c r="BC75" s="58"/>
      <c r="BD75" s="58"/>
      <c r="BE75" s="58"/>
      <c r="BF75" s="58"/>
      <c r="BG75" s="58"/>
      <c r="BH75" s="58"/>
      <c r="BI75" s="58"/>
      <c r="BJ75" s="58"/>
      <c r="BK75" s="58"/>
      <c r="BL75" s="58"/>
      <c r="BM75" s="58"/>
      <c r="BN75" s="58"/>
      <c r="BO75" s="58"/>
      <c r="BP75" s="58"/>
      <c r="BQ75" s="58"/>
      <c r="BR75" s="58"/>
      <c r="BS75" s="58"/>
    </row>
    <row r="76" spans="1:71" ht="15.75" customHeight="1" x14ac:dyDescent="0.2">
      <c r="A76" s="87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7"/>
      <c r="P76" s="87"/>
      <c r="Q76" s="87"/>
      <c r="R76" s="87"/>
      <c r="S76" s="87"/>
      <c r="T76" s="87"/>
      <c r="U76" s="87"/>
      <c r="V76" s="88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92"/>
      <c r="AR76" s="92"/>
      <c r="AS76" s="92"/>
      <c r="AT76" s="92"/>
      <c r="AU76" s="92"/>
      <c r="AV76" s="92"/>
      <c r="AW76" s="92"/>
      <c r="AX76" s="92"/>
      <c r="AY76" s="92"/>
      <c r="AZ76" s="58"/>
      <c r="BA76" s="58"/>
      <c r="BB76" s="58"/>
      <c r="BC76" s="58"/>
      <c r="BD76" s="58"/>
      <c r="BE76" s="58"/>
      <c r="BF76" s="58"/>
      <c r="BG76" s="58"/>
      <c r="BH76" s="58"/>
      <c r="BI76" s="58"/>
      <c r="BJ76" s="58"/>
      <c r="BK76" s="58"/>
      <c r="BL76" s="58"/>
      <c r="BM76" s="58"/>
      <c r="BN76" s="58"/>
      <c r="BO76" s="58"/>
      <c r="BP76" s="58"/>
      <c r="BQ76" s="58"/>
      <c r="BR76" s="58"/>
      <c r="BS76" s="58"/>
    </row>
    <row r="77" spans="1:71" ht="15.75" customHeight="1" x14ac:dyDescent="0.2">
      <c r="A77" s="87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7"/>
      <c r="P77" s="87"/>
      <c r="Q77" s="87"/>
      <c r="R77" s="87"/>
      <c r="S77" s="87"/>
      <c r="T77" s="87"/>
      <c r="U77" s="87"/>
      <c r="V77" s="88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92"/>
      <c r="AR77" s="92"/>
      <c r="AS77" s="92"/>
      <c r="AT77" s="92"/>
      <c r="AU77" s="92"/>
      <c r="AV77" s="92"/>
      <c r="AW77" s="92"/>
      <c r="AX77" s="92"/>
      <c r="AY77" s="92"/>
      <c r="AZ77" s="58"/>
      <c r="BA77" s="58"/>
      <c r="BB77" s="58"/>
      <c r="BC77" s="58"/>
      <c r="BD77" s="58"/>
      <c r="BE77" s="58"/>
      <c r="BF77" s="58"/>
      <c r="BG77" s="58"/>
      <c r="BH77" s="58"/>
      <c r="BI77" s="58"/>
      <c r="BJ77" s="58"/>
      <c r="BK77" s="58"/>
      <c r="BL77" s="58"/>
      <c r="BM77" s="58"/>
      <c r="BN77" s="58"/>
      <c r="BO77" s="58"/>
      <c r="BP77" s="58"/>
      <c r="BQ77" s="58"/>
      <c r="BR77" s="58"/>
      <c r="BS77" s="58"/>
    </row>
    <row r="78" spans="1:71" ht="15.75" customHeight="1" x14ac:dyDescent="0.2">
      <c r="A78" s="87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7"/>
      <c r="P78" s="87"/>
      <c r="Q78" s="87"/>
      <c r="R78" s="87"/>
      <c r="S78" s="87"/>
      <c r="T78" s="87"/>
      <c r="U78" s="87"/>
      <c r="V78" s="88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92"/>
      <c r="AR78" s="92"/>
      <c r="AS78" s="92"/>
      <c r="AT78" s="92"/>
      <c r="AU78" s="92"/>
      <c r="AV78" s="92"/>
      <c r="AW78" s="92"/>
      <c r="AX78" s="92"/>
      <c r="AY78" s="92"/>
      <c r="AZ78" s="58"/>
      <c r="BA78" s="58"/>
      <c r="BB78" s="58"/>
      <c r="BC78" s="58"/>
      <c r="BD78" s="58"/>
      <c r="BE78" s="58"/>
      <c r="BF78" s="58"/>
      <c r="BG78" s="58"/>
      <c r="BH78" s="58"/>
      <c r="BI78" s="58"/>
      <c r="BJ78" s="58"/>
      <c r="BK78" s="58"/>
      <c r="BL78" s="58"/>
      <c r="BM78" s="58"/>
      <c r="BN78" s="58"/>
      <c r="BO78" s="58"/>
      <c r="BP78" s="58"/>
      <c r="BQ78" s="58"/>
      <c r="BR78" s="58"/>
      <c r="BS78" s="58"/>
    </row>
    <row r="79" spans="1:71" ht="15.75" customHeight="1" x14ac:dyDescent="0.2">
      <c r="A79" s="87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7"/>
      <c r="P79" s="87"/>
      <c r="Q79" s="87"/>
      <c r="R79" s="87"/>
      <c r="S79" s="87"/>
      <c r="T79" s="87"/>
      <c r="U79" s="87"/>
      <c r="V79" s="88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92"/>
      <c r="AR79" s="92"/>
      <c r="AS79" s="92"/>
      <c r="AT79" s="92"/>
      <c r="AU79" s="92"/>
      <c r="AV79" s="92"/>
      <c r="AW79" s="92"/>
      <c r="AX79" s="92"/>
      <c r="AY79" s="92"/>
      <c r="AZ79" s="58"/>
      <c r="BA79" s="58"/>
      <c r="BB79" s="58"/>
      <c r="BC79" s="58"/>
      <c r="BD79" s="58"/>
      <c r="BE79" s="58"/>
      <c r="BF79" s="58"/>
      <c r="BG79" s="58"/>
      <c r="BH79" s="58"/>
      <c r="BI79" s="58"/>
      <c r="BJ79" s="58"/>
      <c r="BK79" s="58"/>
      <c r="BL79" s="58"/>
      <c r="BM79" s="58"/>
      <c r="BN79" s="58"/>
      <c r="BO79" s="58"/>
      <c r="BP79" s="58"/>
      <c r="BQ79" s="58"/>
      <c r="BR79" s="58"/>
      <c r="BS79" s="58"/>
    </row>
    <row r="80" spans="1:71" ht="15.75" customHeight="1" x14ac:dyDescent="0.2">
      <c r="A80" s="87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7"/>
      <c r="P80" s="87"/>
      <c r="Q80" s="87"/>
      <c r="R80" s="87"/>
      <c r="S80" s="87"/>
      <c r="T80" s="87"/>
      <c r="U80" s="87"/>
      <c r="V80" s="88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92"/>
      <c r="AR80" s="92"/>
      <c r="AS80" s="92"/>
      <c r="AT80" s="92"/>
      <c r="AU80" s="92"/>
      <c r="AV80" s="92"/>
      <c r="AW80" s="92"/>
      <c r="AX80" s="92"/>
      <c r="AY80" s="92"/>
      <c r="AZ80" s="58"/>
      <c r="BA80" s="58"/>
      <c r="BB80" s="58"/>
      <c r="BC80" s="58"/>
      <c r="BD80" s="58"/>
      <c r="BE80" s="58"/>
      <c r="BF80" s="58"/>
      <c r="BG80" s="58"/>
      <c r="BH80" s="58"/>
      <c r="BI80" s="58"/>
      <c r="BJ80" s="58"/>
      <c r="BK80" s="58"/>
      <c r="BL80" s="58"/>
      <c r="BM80" s="58"/>
      <c r="BN80" s="58"/>
      <c r="BO80" s="58"/>
      <c r="BP80" s="58"/>
      <c r="BQ80" s="58"/>
      <c r="BR80" s="58"/>
      <c r="BS80" s="58"/>
    </row>
    <row r="81" spans="1:71" ht="15.75" customHeight="1" x14ac:dyDescent="0.2">
      <c r="A81" s="87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87"/>
      <c r="Q81" s="87"/>
      <c r="R81" s="87"/>
      <c r="S81" s="87"/>
      <c r="T81" s="87"/>
      <c r="U81" s="87"/>
      <c r="V81" s="88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92"/>
      <c r="AR81" s="92"/>
      <c r="AS81" s="92"/>
      <c r="AT81" s="92"/>
      <c r="AU81" s="92"/>
      <c r="AV81" s="92"/>
      <c r="AW81" s="92"/>
      <c r="AX81" s="92"/>
      <c r="AY81" s="92"/>
      <c r="AZ81" s="58"/>
      <c r="BA81" s="58"/>
      <c r="BB81" s="58"/>
      <c r="BC81" s="58"/>
      <c r="BD81" s="58"/>
      <c r="BE81" s="58"/>
      <c r="BF81" s="58"/>
      <c r="BG81" s="58"/>
      <c r="BH81" s="58"/>
      <c r="BI81" s="58"/>
      <c r="BJ81" s="58"/>
      <c r="BK81" s="58"/>
      <c r="BL81" s="58"/>
      <c r="BM81" s="58"/>
      <c r="BN81" s="58"/>
      <c r="BO81" s="58"/>
      <c r="BP81" s="58"/>
      <c r="BQ81" s="58"/>
      <c r="BR81" s="58"/>
      <c r="BS81" s="58"/>
    </row>
    <row r="82" spans="1:71" ht="15.75" customHeight="1" x14ac:dyDescent="0.2">
      <c r="A82" s="87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7"/>
      <c r="P82" s="87"/>
      <c r="Q82" s="87"/>
      <c r="R82" s="87"/>
      <c r="S82" s="87"/>
      <c r="T82" s="87"/>
      <c r="U82" s="87"/>
      <c r="V82" s="88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92"/>
      <c r="AR82" s="92"/>
      <c r="AS82" s="92"/>
      <c r="AT82" s="92"/>
      <c r="AU82" s="92"/>
      <c r="AV82" s="92"/>
      <c r="AW82" s="92"/>
      <c r="AX82" s="92"/>
      <c r="AY82" s="92"/>
      <c r="AZ82" s="58"/>
      <c r="BA82" s="58"/>
      <c r="BB82" s="58"/>
      <c r="BC82" s="58"/>
      <c r="BD82" s="58"/>
      <c r="BE82" s="58"/>
      <c r="BF82" s="58"/>
      <c r="BG82" s="58"/>
      <c r="BH82" s="58"/>
      <c r="BI82" s="58"/>
      <c r="BJ82" s="58"/>
      <c r="BK82" s="58"/>
      <c r="BL82" s="58"/>
      <c r="BM82" s="58"/>
      <c r="BN82" s="58"/>
      <c r="BO82" s="58"/>
      <c r="BP82" s="58"/>
      <c r="BQ82" s="58"/>
      <c r="BR82" s="58"/>
      <c r="BS82" s="58"/>
    </row>
    <row r="83" spans="1:71" ht="15.75" customHeight="1" x14ac:dyDescent="0.2">
      <c r="A83" s="87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7"/>
      <c r="P83" s="87"/>
      <c r="Q83" s="87"/>
      <c r="R83" s="87"/>
      <c r="S83" s="87"/>
      <c r="T83" s="87"/>
      <c r="U83" s="87"/>
      <c r="V83" s="88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92"/>
      <c r="AR83" s="92"/>
      <c r="AS83" s="92"/>
      <c r="AT83" s="92"/>
      <c r="AU83" s="92"/>
      <c r="AV83" s="92"/>
      <c r="AW83" s="92"/>
      <c r="AX83" s="92"/>
      <c r="AY83" s="92"/>
      <c r="AZ83" s="58"/>
      <c r="BA83" s="58"/>
      <c r="BB83" s="58"/>
      <c r="BC83" s="58"/>
      <c r="BD83" s="58"/>
      <c r="BE83" s="58"/>
      <c r="BF83" s="58"/>
      <c r="BG83" s="58"/>
      <c r="BH83" s="58"/>
      <c r="BI83" s="58"/>
      <c r="BJ83" s="58"/>
      <c r="BK83" s="58"/>
      <c r="BL83" s="58"/>
      <c r="BM83" s="58"/>
      <c r="BN83" s="58"/>
      <c r="BO83" s="58"/>
      <c r="BP83" s="58"/>
      <c r="BQ83" s="58"/>
      <c r="BR83" s="58"/>
      <c r="BS83" s="58"/>
    </row>
    <row r="84" spans="1:71" ht="15.75" customHeight="1" x14ac:dyDescent="0.2">
      <c r="A84" s="87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7"/>
      <c r="P84" s="87"/>
      <c r="Q84" s="87"/>
      <c r="R84" s="87"/>
      <c r="S84" s="87"/>
      <c r="T84" s="87"/>
      <c r="U84" s="87"/>
      <c r="V84" s="88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92"/>
      <c r="AR84" s="92"/>
      <c r="AS84" s="92"/>
      <c r="AT84" s="92"/>
      <c r="AU84" s="92"/>
      <c r="AV84" s="92"/>
      <c r="AW84" s="92"/>
      <c r="AX84" s="92"/>
      <c r="AY84" s="92"/>
      <c r="AZ84" s="58"/>
      <c r="BA84" s="58"/>
      <c r="BB84" s="58"/>
      <c r="BC84" s="58"/>
      <c r="BD84" s="58"/>
      <c r="BE84" s="58"/>
      <c r="BF84" s="58"/>
      <c r="BG84" s="58"/>
      <c r="BH84" s="58"/>
      <c r="BI84" s="58"/>
      <c r="BJ84" s="58"/>
      <c r="BK84" s="58"/>
      <c r="BL84" s="58"/>
      <c r="BM84" s="58"/>
      <c r="BN84" s="58"/>
      <c r="BO84" s="58"/>
      <c r="BP84" s="58"/>
      <c r="BQ84" s="58"/>
      <c r="BR84" s="58"/>
      <c r="BS84" s="58"/>
    </row>
    <row r="85" spans="1:71" ht="15.75" customHeight="1" x14ac:dyDescent="0.2">
      <c r="A85" s="87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7"/>
      <c r="P85" s="87"/>
      <c r="Q85" s="87"/>
      <c r="R85" s="87"/>
      <c r="S85" s="87"/>
      <c r="T85" s="87"/>
      <c r="U85" s="87"/>
      <c r="V85" s="88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92"/>
      <c r="AR85" s="92"/>
      <c r="AS85" s="92"/>
      <c r="AT85" s="92"/>
      <c r="AU85" s="92"/>
      <c r="AV85" s="92"/>
      <c r="AW85" s="92"/>
      <c r="AX85" s="92"/>
      <c r="AY85" s="92"/>
      <c r="AZ85" s="58"/>
      <c r="BA85" s="58"/>
      <c r="BB85" s="58"/>
      <c r="BC85" s="58"/>
      <c r="BD85" s="58"/>
      <c r="BE85" s="58"/>
      <c r="BF85" s="58"/>
      <c r="BG85" s="58"/>
      <c r="BH85" s="58"/>
      <c r="BI85" s="58"/>
      <c r="BJ85" s="58"/>
      <c r="BK85" s="58"/>
      <c r="BL85" s="58"/>
      <c r="BM85" s="58"/>
      <c r="BN85" s="58"/>
      <c r="BO85" s="58"/>
      <c r="BP85" s="58"/>
      <c r="BQ85" s="58"/>
      <c r="BR85" s="58"/>
      <c r="BS85" s="58"/>
    </row>
    <row r="86" spans="1:71" ht="15.75" customHeight="1" x14ac:dyDescent="0.2">
      <c r="A86" s="87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7"/>
      <c r="P86" s="87"/>
      <c r="Q86" s="87"/>
      <c r="R86" s="87"/>
      <c r="S86" s="87"/>
      <c r="T86" s="87"/>
      <c r="U86" s="87"/>
      <c r="V86" s="88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92"/>
      <c r="AR86" s="92"/>
      <c r="AS86" s="92"/>
      <c r="AT86" s="92"/>
      <c r="AU86" s="92"/>
      <c r="AV86" s="92"/>
      <c r="AW86" s="92"/>
      <c r="AX86" s="92"/>
      <c r="AY86" s="92"/>
      <c r="AZ86" s="58"/>
      <c r="BA86" s="58"/>
      <c r="BB86" s="58"/>
      <c r="BC86" s="58"/>
      <c r="BD86" s="58"/>
      <c r="BE86" s="58"/>
      <c r="BF86" s="58"/>
      <c r="BG86" s="58"/>
      <c r="BH86" s="58"/>
      <c r="BI86" s="58"/>
      <c r="BJ86" s="58"/>
      <c r="BK86" s="58"/>
      <c r="BL86" s="58"/>
      <c r="BM86" s="58"/>
      <c r="BN86" s="58"/>
      <c r="BO86" s="58"/>
      <c r="BP86" s="58"/>
      <c r="BQ86" s="58"/>
      <c r="BR86" s="58"/>
      <c r="BS86" s="58"/>
    </row>
    <row r="87" spans="1:71" ht="15.75" customHeight="1" x14ac:dyDescent="0.2">
      <c r="A87" s="87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7"/>
      <c r="P87" s="87"/>
      <c r="Q87" s="87"/>
      <c r="R87" s="87"/>
      <c r="S87" s="87"/>
      <c r="T87" s="87"/>
      <c r="U87" s="87"/>
      <c r="V87" s="88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92"/>
      <c r="AR87" s="92"/>
      <c r="AS87" s="92"/>
      <c r="AT87" s="92"/>
      <c r="AU87" s="92"/>
      <c r="AV87" s="92"/>
      <c r="AW87" s="92"/>
      <c r="AX87" s="92"/>
      <c r="AY87" s="92"/>
      <c r="AZ87" s="58"/>
      <c r="BA87" s="58"/>
      <c r="BB87" s="58"/>
      <c r="BC87" s="58"/>
      <c r="BD87" s="58"/>
      <c r="BE87" s="58"/>
      <c r="BF87" s="58"/>
      <c r="BG87" s="58"/>
      <c r="BH87" s="58"/>
      <c r="BI87" s="58"/>
      <c r="BJ87" s="58"/>
      <c r="BK87" s="58"/>
      <c r="BL87" s="58"/>
      <c r="BM87" s="58"/>
      <c r="BN87" s="58"/>
      <c r="BO87" s="58"/>
      <c r="BP87" s="58"/>
      <c r="BQ87" s="58"/>
      <c r="BR87" s="58"/>
      <c r="BS87" s="58"/>
    </row>
    <row r="88" spans="1:71" ht="15.75" customHeight="1" x14ac:dyDescent="0.2">
      <c r="A88" s="87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7"/>
      <c r="P88" s="87"/>
      <c r="Q88" s="87"/>
      <c r="R88" s="87"/>
      <c r="S88" s="87"/>
      <c r="T88" s="87"/>
      <c r="U88" s="87"/>
      <c r="V88" s="88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92"/>
      <c r="AR88" s="92"/>
      <c r="AS88" s="92"/>
      <c r="AT88" s="92"/>
      <c r="AU88" s="92"/>
      <c r="AV88" s="92"/>
      <c r="AW88" s="92"/>
      <c r="AX88" s="92"/>
      <c r="AY88" s="92"/>
      <c r="AZ88" s="58"/>
      <c r="BA88" s="58"/>
      <c r="BB88" s="58"/>
      <c r="BC88" s="58"/>
      <c r="BD88" s="58"/>
      <c r="BE88" s="58"/>
      <c r="BF88" s="58"/>
      <c r="BG88" s="58"/>
      <c r="BH88" s="58"/>
      <c r="BI88" s="58"/>
      <c r="BJ88" s="58"/>
      <c r="BK88" s="58"/>
      <c r="BL88" s="58"/>
      <c r="BM88" s="58"/>
      <c r="BN88" s="58"/>
      <c r="BO88" s="58"/>
      <c r="BP88" s="58"/>
      <c r="BQ88" s="58"/>
      <c r="BR88" s="58"/>
      <c r="BS88" s="58"/>
    </row>
    <row r="89" spans="1:71" ht="15.75" customHeight="1" x14ac:dyDescent="0.2">
      <c r="A89" s="87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7"/>
      <c r="P89" s="87"/>
      <c r="Q89" s="87"/>
      <c r="R89" s="87"/>
      <c r="S89" s="87"/>
      <c r="T89" s="87"/>
      <c r="U89" s="87"/>
      <c r="V89" s="88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92"/>
      <c r="AR89" s="92"/>
      <c r="AS89" s="92"/>
      <c r="AT89" s="92"/>
      <c r="AU89" s="92"/>
      <c r="AV89" s="92"/>
      <c r="AW89" s="92"/>
      <c r="AX89" s="92"/>
      <c r="AY89" s="92"/>
      <c r="AZ89" s="58"/>
      <c r="BA89" s="58"/>
      <c r="BB89" s="58"/>
      <c r="BC89" s="58"/>
      <c r="BD89" s="58"/>
      <c r="BE89" s="58"/>
      <c r="BF89" s="58"/>
      <c r="BG89" s="58"/>
      <c r="BH89" s="58"/>
      <c r="BI89" s="58"/>
      <c r="BJ89" s="58"/>
      <c r="BK89" s="58"/>
      <c r="BL89" s="58"/>
      <c r="BM89" s="58"/>
      <c r="BN89" s="58"/>
      <c r="BO89" s="58"/>
      <c r="BP89" s="58"/>
      <c r="BQ89" s="58"/>
      <c r="BR89" s="58"/>
      <c r="BS89" s="58"/>
    </row>
    <row r="90" spans="1:71" ht="15.75" customHeight="1" x14ac:dyDescent="0.2">
      <c r="A90" s="87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7"/>
      <c r="P90" s="87"/>
      <c r="Q90" s="87"/>
      <c r="R90" s="87"/>
      <c r="S90" s="87"/>
      <c r="T90" s="87"/>
      <c r="U90" s="87"/>
      <c r="V90" s="88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92"/>
      <c r="AR90" s="92"/>
      <c r="AS90" s="92"/>
      <c r="AT90" s="92"/>
      <c r="AU90" s="92"/>
      <c r="AV90" s="92"/>
      <c r="AW90" s="92"/>
      <c r="AX90" s="92"/>
      <c r="AY90" s="92"/>
      <c r="AZ90" s="58"/>
      <c r="BA90" s="58"/>
      <c r="BB90" s="58"/>
      <c r="BC90" s="58"/>
      <c r="BD90" s="58"/>
      <c r="BE90" s="58"/>
      <c r="BF90" s="58"/>
      <c r="BG90" s="58"/>
      <c r="BH90" s="58"/>
      <c r="BI90" s="58"/>
      <c r="BJ90" s="58"/>
      <c r="BK90" s="58"/>
      <c r="BL90" s="58"/>
      <c r="BM90" s="58"/>
      <c r="BN90" s="58"/>
      <c r="BO90" s="58"/>
      <c r="BP90" s="58"/>
      <c r="BQ90" s="58"/>
      <c r="BR90" s="58"/>
      <c r="BS90" s="58"/>
    </row>
    <row r="91" spans="1:71" ht="15.75" customHeight="1" x14ac:dyDescent="0.2">
      <c r="A91" s="87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7"/>
      <c r="P91" s="87"/>
      <c r="Q91" s="87"/>
      <c r="R91" s="87"/>
      <c r="S91" s="87"/>
      <c r="T91" s="87"/>
      <c r="U91" s="87"/>
      <c r="V91" s="88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92"/>
      <c r="AR91" s="92"/>
      <c r="AS91" s="92"/>
      <c r="AT91" s="92"/>
      <c r="AU91" s="92"/>
      <c r="AV91" s="92"/>
      <c r="AW91" s="92"/>
      <c r="AX91" s="92"/>
      <c r="AY91" s="92"/>
      <c r="AZ91" s="58"/>
      <c r="BA91" s="58"/>
      <c r="BB91" s="58"/>
      <c r="BC91" s="58"/>
      <c r="BD91" s="58"/>
      <c r="BE91" s="58"/>
      <c r="BF91" s="58"/>
      <c r="BG91" s="58"/>
      <c r="BH91" s="58"/>
      <c r="BI91" s="58"/>
      <c r="BJ91" s="58"/>
      <c r="BK91" s="58"/>
      <c r="BL91" s="58"/>
      <c r="BM91" s="58"/>
      <c r="BN91" s="58"/>
      <c r="BO91" s="58"/>
      <c r="BP91" s="58"/>
      <c r="BQ91" s="58"/>
      <c r="BR91" s="58"/>
      <c r="BS91" s="58"/>
    </row>
    <row r="92" spans="1:71" ht="15.75" customHeight="1" x14ac:dyDescent="0.2">
      <c r="A92" s="87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7"/>
      <c r="P92" s="87"/>
      <c r="Q92" s="87"/>
      <c r="R92" s="87"/>
      <c r="S92" s="87"/>
      <c r="T92" s="87"/>
      <c r="U92" s="87"/>
      <c r="V92" s="88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92"/>
      <c r="AR92" s="92"/>
      <c r="AS92" s="92"/>
      <c r="AT92" s="92"/>
      <c r="AU92" s="92"/>
      <c r="AV92" s="92"/>
      <c r="AW92" s="92"/>
      <c r="AX92" s="92"/>
      <c r="AY92" s="92"/>
      <c r="AZ92" s="58"/>
      <c r="BA92" s="58"/>
      <c r="BB92" s="58"/>
      <c r="BC92" s="58"/>
      <c r="BD92" s="58"/>
      <c r="BE92" s="58"/>
      <c r="BF92" s="58"/>
      <c r="BG92" s="58"/>
      <c r="BH92" s="58"/>
      <c r="BI92" s="58"/>
      <c r="BJ92" s="58"/>
      <c r="BK92" s="58"/>
      <c r="BL92" s="58"/>
      <c r="BM92" s="58"/>
      <c r="BN92" s="58"/>
      <c r="BO92" s="58"/>
      <c r="BP92" s="58"/>
      <c r="BQ92" s="58"/>
      <c r="BR92" s="58"/>
      <c r="BS92" s="58"/>
    </row>
    <row r="93" spans="1:71" ht="15.75" customHeight="1" x14ac:dyDescent="0.2">
      <c r="A93" s="87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7"/>
      <c r="P93" s="87"/>
      <c r="Q93" s="87"/>
      <c r="R93" s="87"/>
      <c r="S93" s="87"/>
      <c r="T93" s="87"/>
      <c r="U93" s="87"/>
      <c r="V93" s="88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92"/>
      <c r="AR93" s="92"/>
      <c r="AS93" s="92"/>
      <c r="AT93" s="92"/>
      <c r="AU93" s="92"/>
      <c r="AV93" s="92"/>
      <c r="AW93" s="92"/>
      <c r="AX93" s="92"/>
      <c r="AY93" s="92"/>
      <c r="AZ93" s="58"/>
      <c r="BA93" s="58"/>
      <c r="BB93" s="58"/>
      <c r="BC93" s="58"/>
      <c r="BD93" s="58"/>
      <c r="BE93" s="58"/>
      <c r="BF93" s="58"/>
      <c r="BG93" s="58"/>
      <c r="BH93" s="58"/>
      <c r="BI93" s="58"/>
      <c r="BJ93" s="58"/>
      <c r="BK93" s="58"/>
      <c r="BL93" s="58"/>
      <c r="BM93" s="58"/>
      <c r="BN93" s="58"/>
      <c r="BO93" s="58"/>
      <c r="BP93" s="58"/>
      <c r="BQ93" s="58"/>
      <c r="BR93" s="58"/>
      <c r="BS93" s="58"/>
    </row>
    <row r="94" spans="1:71" ht="15.75" customHeight="1" x14ac:dyDescent="0.2">
      <c r="A94" s="87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7"/>
      <c r="P94" s="87"/>
      <c r="Q94" s="87"/>
      <c r="R94" s="87"/>
      <c r="S94" s="87"/>
      <c r="T94" s="87"/>
      <c r="U94" s="87"/>
      <c r="V94" s="88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92"/>
      <c r="AR94" s="92"/>
      <c r="AS94" s="92"/>
      <c r="AT94" s="92"/>
      <c r="AU94" s="92"/>
      <c r="AV94" s="92"/>
      <c r="AW94" s="92"/>
      <c r="AX94" s="92"/>
      <c r="AY94" s="92"/>
      <c r="AZ94" s="58"/>
      <c r="BA94" s="58"/>
      <c r="BB94" s="58"/>
      <c r="BC94" s="58"/>
      <c r="BD94" s="58"/>
      <c r="BE94" s="58"/>
      <c r="BF94" s="58"/>
      <c r="BG94" s="58"/>
      <c r="BH94" s="58"/>
      <c r="BI94" s="58"/>
      <c r="BJ94" s="58"/>
      <c r="BK94" s="58"/>
      <c r="BL94" s="58"/>
      <c r="BM94" s="58"/>
      <c r="BN94" s="58"/>
      <c r="BO94" s="58"/>
      <c r="BP94" s="58"/>
      <c r="BQ94" s="58"/>
      <c r="BR94" s="58"/>
      <c r="BS94" s="58"/>
    </row>
    <row r="95" spans="1:71" ht="15.75" customHeight="1" x14ac:dyDescent="0.2">
      <c r="A95" s="87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7"/>
      <c r="P95" s="87"/>
      <c r="Q95" s="87"/>
      <c r="R95" s="87"/>
      <c r="S95" s="87"/>
      <c r="T95" s="87"/>
      <c r="U95" s="87"/>
      <c r="V95" s="88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92"/>
      <c r="AR95" s="92"/>
      <c r="AS95" s="92"/>
      <c r="AT95" s="92"/>
      <c r="AU95" s="92"/>
      <c r="AV95" s="92"/>
      <c r="AW95" s="92"/>
      <c r="AX95" s="92"/>
      <c r="AY95" s="92"/>
      <c r="AZ95" s="58"/>
      <c r="BA95" s="58"/>
      <c r="BB95" s="58"/>
      <c r="BC95" s="58"/>
      <c r="BD95" s="58"/>
      <c r="BE95" s="58"/>
      <c r="BF95" s="58"/>
      <c r="BG95" s="58"/>
      <c r="BH95" s="58"/>
      <c r="BI95" s="58"/>
      <c r="BJ95" s="58"/>
      <c r="BK95" s="58"/>
      <c r="BL95" s="58"/>
      <c r="BM95" s="58"/>
      <c r="BN95" s="58"/>
      <c r="BO95" s="58"/>
      <c r="BP95" s="58"/>
      <c r="BQ95" s="58"/>
      <c r="BR95" s="58"/>
      <c r="BS95" s="58"/>
    </row>
    <row r="96" spans="1:71" ht="15.75" customHeight="1" x14ac:dyDescent="0.2">
      <c r="A96" s="87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7"/>
      <c r="P96" s="87"/>
      <c r="Q96" s="87"/>
      <c r="R96" s="87"/>
      <c r="S96" s="87"/>
      <c r="T96" s="87"/>
      <c r="U96" s="87"/>
      <c r="V96" s="88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92"/>
      <c r="AR96" s="92"/>
      <c r="AS96" s="92"/>
      <c r="AT96" s="92"/>
      <c r="AU96" s="92"/>
      <c r="AV96" s="92"/>
      <c r="AW96" s="92"/>
      <c r="AX96" s="92"/>
      <c r="AY96" s="92"/>
      <c r="AZ96" s="58"/>
      <c r="BA96" s="58"/>
      <c r="BB96" s="58"/>
      <c r="BC96" s="58"/>
      <c r="BD96" s="58"/>
      <c r="BE96" s="58"/>
      <c r="BF96" s="58"/>
      <c r="BG96" s="58"/>
      <c r="BH96" s="58"/>
      <c r="BI96" s="58"/>
      <c r="BJ96" s="58"/>
      <c r="BK96" s="58"/>
      <c r="BL96" s="58"/>
      <c r="BM96" s="58"/>
      <c r="BN96" s="58"/>
      <c r="BO96" s="58"/>
      <c r="BP96" s="58"/>
      <c r="BQ96" s="58"/>
      <c r="BR96" s="58"/>
      <c r="BS96" s="58"/>
    </row>
    <row r="97" spans="1:71" ht="15.75" customHeight="1" x14ac:dyDescent="0.2">
      <c r="A97" s="87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7"/>
      <c r="P97" s="87"/>
      <c r="Q97" s="87"/>
      <c r="R97" s="87"/>
      <c r="S97" s="87"/>
      <c r="T97" s="87"/>
      <c r="U97" s="87"/>
      <c r="V97" s="88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92"/>
      <c r="AR97" s="92"/>
      <c r="AS97" s="92"/>
      <c r="AT97" s="92"/>
      <c r="AU97" s="92"/>
      <c r="AV97" s="92"/>
      <c r="AW97" s="92"/>
      <c r="AX97" s="92"/>
      <c r="AY97" s="92"/>
      <c r="AZ97" s="58"/>
      <c r="BA97" s="58"/>
      <c r="BB97" s="58"/>
      <c r="BC97" s="58"/>
      <c r="BD97" s="58"/>
      <c r="BE97" s="58"/>
      <c r="BF97" s="58"/>
      <c r="BG97" s="58"/>
      <c r="BH97" s="58"/>
      <c r="BI97" s="58"/>
      <c r="BJ97" s="58"/>
      <c r="BK97" s="58"/>
      <c r="BL97" s="58"/>
      <c r="BM97" s="58"/>
      <c r="BN97" s="58"/>
      <c r="BO97" s="58"/>
      <c r="BP97" s="58"/>
      <c r="BQ97" s="58"/>
      <c r="BR97" s="58"/>
      <c r="BS97" s="58"/>
    </row>
    <row r="98" spans="1:71" ht="15.75" customHeight="1" x14ac:dyDescent="0.2">
      <c r="A98" s="87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7"/>
      <c r="P98" s="87"/>
      <c r="Q98" s="87"/>
      <c r="R98" s="87"/>
      <c r="S98" s="87"/>
      <c r="T98" s="87"/>
      <c r="U98" s="87"/>
      <c r="V98" s="88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92"/>
      <c r="AR98" s="92"/>
      <c r="AS98" s="92"/>
      <c r="AT98" s="92"/>
      <c r="AU98" s="92"/>
      <c r="AV98" s="92"/>
      <c r="AW98" s="92"/>
      <c r="AX98" s="92"/>
      <c r="AY98" s="92"/>
      <c r="AZ98" s="58"/>
      <c r="BA98" s="58"/>
      <c r="BB98" s="58"/>
      <c r="BC98" s="58"/>
      <c r="BD98" s="58"/>
      <c r="BE98" s="58"/>
      <c r="BF98" s="58"/>
      <c r="BG98" s="58"/>
      <c r="BH98" s="58"/>
      <c r="BI98" s="58"/>
      <c r="BJ98" s="58"/>
      <c r="BK98" s="58"/>
      <c r="BL98" s="58"/>
      <c r="BM98" s="58"/>
      <c r="BN98" s="58"/>
      <c r="BO98" s="58"/>
      <c r="BP98" s="58"/>
      <c r="BQ98" s="58"/>
      <c r="BR98" s="58"/>
      <c r="BS98" s="58"/>
    </row>
    <row r="99" spans="1:71" ht="15.75" customHeight="1" x14ac:dyDescent="0.2">
      <c r="A99" s="87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7"/>
      <c r="P99" s="87"/>
      <c r="Q99" s="87"/>
      <c r="R99" s="87"/>
      <c r="S99" s="87"/>
      <c r="T99" s="87"/>
      <c r="U99" s="87"/>
      <c r="V99" s="88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92"/>
      <c r="AR99" s="92"/>
      <c r="AS99" s="92"/>
      <c r="AT99" s="92"/>
      <c r="AU99" s="92"/>
      <c r="AV99" s="92"/>
      <c r="AW99" s="92"/>
      <c r="AX99" s="92"/>
      <c r="AY99" s="92"/>
      <c r="AZ99" s="58"/>
      <c r="BA99" s="58"/>
      <c r="BB99" s="58"/>
      <c r="BC99" s="58"/>
      <c r="BD99" s="58"/>
      <c r="BE99" s="58"/>
      <c r="BF99" s="58"/>
      <c r="BG99" s="58"/>
      <c r="BH99" s="58"/>
      <c r="BI99" s="58"/>
      <c r="BJ99" s="58"/>
      <c r="BK99" s="58"/>
      <c r="BL99" s="58"/>
      <c r="BM99" s="58"/>
      <c r="BN99" s="58"/>
      <c r="BO99" s="58"/>
      <c r="BP99" s="58"/>
      <c r="BQ99" s="58"/>
      <c r="BR99" s="58"/>
      <c r="BS99" s="58"/>
    </row>
    <row r="100" spans="1:71" ht="15.75" customHeight="1" x14ac:dyDescent="0.2">
      <c r="A100" s="87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7"/>
      <c r="P100" s="87"/>
      <c r="Q100" s="87"/>
      <c r="R100" s="87"/>
      <c r="S100" s="87"/>
      <c r="T100" s="87"/>
      <c r="U100" s="87"/>
      <c r="V100" s="88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92"/>
      <c r="AR100" s="92"/>
      <c r="AS100" s="92"/>
      <c r="AT100" s="92"/>
      <c r="AU100" s="92"/>
      <c r="AV100" s="92"/>
      <c r="AW100" s="92"/>
      <c r="AX100" s="92"/>
      <c r="AY100" s="92"/>
      <c r="AZ100" s="58"/>
      <c r="BA100" s="58"/>
      <c r="BB100" s="58"/>
      <c r="BC100" s="58"/>
      <c r="BD100" s="58"/>
      <c r="BE100" s="58"/>
      <c r="BF100" s="58"/>
      <c r="BG100" s="58"/>
      <c r="BH100" s="58"/>
      <c r="BI100" s="58"/>
      <c r="BJ100" s="58"/>
      <c r="BK100" s="58"/>
      <c r="BL100" s="58"/>
      <c r="BM100" s="58"/>
      <c r="BN100" s="58"/>
      <c r="BO100" s="58"/>
      <c r="BP100" s="58"/>
      <c r="BQ100" s="58"/>
      <c r="BR100" s="58"/>
      <c r="BS100" s="58"/>
    </row>
    <row r="101" spans="1:71" ht="15.75" customHeight="1" x14ac:dyDescent="0.2">
      <c r="A101" s="87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7"/>
      <c r="P101" s="87"/>
      <c r="Q101" s="87"/>
      <c r="R101" s="87"/>
      <c r="S101" s="87"/>
      <c r="T101" s="87"/>
      <c r="U101" s="87"/>
      <c r="V101" s="88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92"/>
      <c r="AR101" s="92"/>
      <c r="AS101" s="92"/>
      <c r="AT101" s="92"/>
      <c r="AU101" s="92"/>
      <c r="AV101" s="92"/>
      <c r="AW101" s="92"/>
      <c r="AX101" s="92"/>
      <c r="AY101" s="92"/>
      <c r="AZ101" s="58"/>
      <c r="BA101" s="58"/>
      <c r="BB101" s="58"/>
      <c r="BC101" s="58"/>
      <c r="BD101" s="58"/>
      <c r="BE101" s="58"/>
      <c r="BF101" s="58"/>
      <c r="BG101" s="58"/>
      <c r="BH101" s="58"/>
      <c r="BI101" s="58"/>
      <c r="BJ101" s="58"/>
      <c r="BK101" s="58"/>
      <c r="BL101" s="58"/>
      <c r="BM101" s="58"/>
      <c r="BN101" s="58"/>
      <c r="BO101" s="58"/>
      <c r="BP101" s="58"/>
      <c r="BQ101" s="58"/>
      <c r="BR101" s="58"/>
      <c r="BS101" s="58"/>
    </row>
    <row r="102" spans="1:71" ht="15.75" customHeight="1" x14ac:dyDescent="0.2">
      <c r="A102" s="87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7"/>
      <c r="P102" s="87"/>
      <c r="Q102" s="87"/>
      <c r="R102" s="87"/>
      <c r="S102" s="87"/>
      <c r="T102" s="87"/>
      <c r="U102" s="87"/>
      <c r="V102" s="88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  <c r="AQ102" s="92"/>
      <c r="AR102" s="92"/>
      <c r="AS102" s="92"/>
      <c r="AT102" s="92"/>
      <c r="AU102" s="92"/>
      <c r="AV102" s="92"/>
      <c r="AW102" s="92"/>
      <c r="AX102" s="92"/>
      <c r="AY102" s="92"/>
      <c r="AZ102" s="58"/>
      <c r="BA102" s="58"/>
      <c r="BB102" s="58"/>
      <c r="BC102" s="58"/>
      <c r="BD102" s="58"/>
      <c r="BE102" s="58"/>
      <c r="BF102" s="58"/>
      <c r="BG102" s="58"/>
      <c r="BH102" s="58"/>
      <c r="BI102" s="58"/>
      <c r="BJ102" s="58"/>
      <c r="BK102" s="58"/>
      <c r="BL102" s="58"/>
      <c r="BM102" s="58"/>
      <c r="BN102" s="58"/>
      <c r="BO102" s="58"/>
      <c r="BP102" s="58"/>
      <c r="BQ102" s="58"/>
      <c r="BR102" s="58"/>
      <c r="BS102" s="58"/>
    </row>
    <row r="103" spans="1:71" ht="15.75" customHeight="1" x14ac:dyDescent="0.2">
      <c r="A103" s="87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7"/>
      <c r="P103" s="87"/>
      <c r="Q103" s="87"/>
      <c r="R103" s="87"/>
      <c r="S103" s="87"/>
      <c r="T103" s="87"/>
      <c r="U103" s="87"/>
      <c r="V103" s="88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  <c r="AQ103" s="92"/>
      <c r="AR103" s="92"/>
      <c r="AS103" s="92"/>
      <c r="AT103" s="92"/>
      <c r="AU103" s="92"/>
      <c r="AV103" s="92"/>
      <c r="AW103" s="92"/>
      <c r="AX103" s="92"/>
      <c r="AY103" s="92"/>
      <c r="AZ103" s="58"/>
      <c r="BA103" s="58"/>
      <c r="BB103" s="58"/>
      <c r="BC103" s="58"/>
      <c r="BD103" s="58"/>
      <c r="BE103" s="58"/>
      <c r="BF103" s="58"/>
      <c r="BG103" s="58"/>
      <c r="BH103" s="58"/>
      <c r="BI103" s="58"/>
      <c r="BJ103" s="58"/>
      <c r="BK103" s="58"/>
      <c r="BL103" s="58"/>
      <c r="BM103" s="58"/>
      <c r="BN103" s="58"/>
      <c r="BO103" s="58"/>
      <c r="BP103" s="58"/>
      <c r="BQ103" s="58"/>
      <c r="BR103" s="58"/>
      <c r="BS103" s="58"/>
    </row>
    <row r="104" spans="1:71" ht="15.75" customHeight="1" x14ac:dyDescent="0.2">
      <c r="A104" s="87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7"/>
      <c r="P104" s="87"/>
      <c r="Q104" s="87"/>
      <c r="R104" s="87"/>
      <c r="S104" s="87"/>
      <c r="T104" s="87"/>
      <c r="U104" s="87"/>
      <c r="V104" s="88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  <c r="AQ104" s="92"/>
      <c r="AR104" s="92"/>
      <c r="AS104" s="92"/>
      <c r="AT104" s="92"/>
      <c r="AU104" s="92"/>
      <c r="AV104" s="92"/>
      <c r="AW104" s="92"/>
      <c r="AX104" s="92"/>
      <c r="AY104" s="92"/>
      <c r="AZ104" s="58"/>
      <c r="BA104" s="58"/>
      <c r="BB104" s="58"/>
      <c r="BC104" s="58"/>
      <c r="BD104" s="58"/>
      <c r="BE104" s="58"/>
      <c r="BF104" s="58"/>
      <c r="BG104" s="58"/>
      <c r="BH104" s="58"/>
      <c r="BI104" s="58"/>
      <c r="BJ104" s="58"/>
      <c r="BK104" s="58"/>
      <c r="BL104" s="58"/>
      <c r="BM104" s="58"/>
      <c r="BN104" s="58"/>
      <c r="BO104" s="58"/>
      <c r="BP104" s="58"/>
      <c r="BQ104" s="58"/>
      <c r="BR104" s="58"/>
      <c r="BS104" s="58"/>
    </row>
    <row r="105" spans="1:71" ht="15.75" customHeight="1" x14ac:dyDescent="0.2">
      <c r="A105" s="87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7"/>
      <c r="P105" s="87"/>
      <c r="Q105" s="87"/>
      <c r="R105" s="87"/>
      <c r="S105" s="87"/>
      <c r="T105" s="87"/>
      <c r="U105" s="87"/>
      <c r="V105" s="88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  <c r="AQ105" s="92"/>
      <c r="AR105" s="92"/>
      <c r="AS105" s="92"/>
      <c r="AT105" s="92"/>
      <c r="AU105" s="92"/>
      <c r="AV105" s="92"/>
      <c r="AW105" s="92"/>
      <c r="AX105" s="92"/>
      <c r="AY105" s="92"/>
      <c r="AZ105" s="58"/>
      <c r="BA105" s="58"/>
      <c r="BB105" s="58"/>
      <c r="BC105" s="58"/>
      <c r="BD105" s="58"/>
      <c r="BE105" s="58"/>
      <c r="BF105" s="58"/>
      <c r="BG105" s="58"/>
      <c r="BH105" s="58"/>
      <c r="BI105" s="58"/>
      <c r="BJ105" s="58"/>
      <c r="BK105" s="58"/>
      <c r="BL105" s="58"/>
      <c r="BM105" s="58"/>
      <c r="BN105" s="58"/>
      <c r="BO105" s="58"/>
      <c r="BP105" s="58"/>
      <c r="BQ105" s="58"/>
      <c r="BR105" s="58"/>
      <c r="BS105" s="58"/>
    </row>
    <row r="106" spans="1:71" ht="15.75" customHeight="1" x14ac:dyDescent="0.2">
      <c r="A106" s="87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7"/>
      <c r="P106" s="87"/>
      <c r="Q106" s="87"/>
      <c r="R106" s="87"/>
      <c r="S106" s="87"/>
      <c r="T106" s="87"/>
      <c r="U106" s="87"/>
      <c r="V106" s="88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  <c r="AQ106" s="92"/>
      <c r="AR106" s="92"/>
      <c r="AS106" s="92"/>
      <c r="AT106" s="92"/>
      <c r="AU106" s="92"/>
      <c r="AV106" s="92"/>
      <c r="AW106" s="92"/>
      <c r="AX106" s="92"/>
      <c r="AY106" s="92"/>
      <c r="AZ106" s="58"/>
      <c r="BA106" s="58"/>
      <c r="BB106" s="58"/>
      <c r="BC106" s="58"/>
      <c r="BD106" s="58"/>
      <c r="BE106" s="58"/>
      <c r="BF106" s="58"/>
      <c r="BG106" s="58"/>
      <c r="BH106" s="58"/>
      <c r="BI106" s="58"/>
      <c r="BJ106" s="58"/>
      <c r="BK106" s="58"/>
      <c r="BL106" s="58"/>
      <c r="BM106" s="58"/>
      <c r="BN106" s="58"/>
      <c r="BO106" s="58"/>
      <c r="BP106" s="58"/>
      <c r="BQ106" s="58"/>
      <c r="BR106" s="58"/>
      <c r="BS106" s="58"/>
    </row>
    <row r="107" spans="1:71" ht="15.75" customHeight="1" x14ac:dyDescent="0.2">
      <c r="A107" s="87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7"/>
      <c r="P107" s="87"/>
      <c r="Q107" s="87"/>
      <c r="R107" s="87"/>
      <c r="S107" s="87"/>
      <c r="T107" s="87"/>
      <c r="U107" s="87"/>
      <c r="V107" s="88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92"/>
      <c r="AR107" s="92"/>
      <c r="AS107" s="92"/>
      <c r="AT107" s="92"/>
      <c r="AU107" s="92"/>
      <c r="AV107" s="92"/>
      <c r="AW107" s="92"/>
      <c r="AX107" s="92"/>
      <c r="AY107" s="92"/>
      <c r="AZ107" s="58"/>
      <c r="BA107" s="58"/>
      <c r="BB107" s="58"/>
      <c r="BC107" s="58"/>
      <c r="BD107" s="58"/>
      <c r="BE107" s="58"/>
      <c r="BF107" s="58"/>
      <c r="BG107" s="58"/>
      <c r="BH107" s="58"/>
      <c r="BI107" s="58"/>
      <c r="BJ107" s="58"/>
      <c r="BK107" s="58"/>
      <c r="BL107" s="58"/>
      <c r="BM107" s="58"/>
      <c r="BN107" s="58"/>
      <c r="BO107" s="58"/>
      <c r="BP107" s="58"/>
      <c r="BQ107" s="58"/>
      <c r="BR107" s="58"/>
      <c r="BS107" s="58"/>
    </row>
    <row r="108" spans="1:71" ht="15.75" customHeight="1" x14ac:dyDescent="0.2">
      <c r="A108" s="87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7"/>
      <c r="P108" s="87"/>
      <c r="Q108" s="87"/>
      <c r="R108" s="87"/>
      <c r="S108" s="87"/>
      <c r="T108" s="87"/>
      <c r="U108" s="87"/>
      <c r="V108" s="88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92"/>
      <c r="AR108" s="92"/>
      <c r="AS108" s="92"/>
      <c r="AT108" s="92"/>
      <c r="AU108" s="92"/>
      <c r="AV108" s="92"/>
      <c r="AW108" s="92"/>
      <c r="AX108" s="92"/>
      <c r="AY108" s="92"/>
      <c r="AZ108" s="58"/>
      <c r="BA108" s="58"/>
      <c r="BB108" s="58"/>
      <c r="BC108" s="58"/>
      <c r="BD108" s="58"/>
      <c r="BE108" s="58"/>
      <c r="BF108" s="58"/>
      <c r="BG108" s="58"/>
      <c r="BH108" s="58"/>
      <c r="BI108" s="58"/>
      <c r="BJ108" s="58"/>
      <c r="BK108" s="58"/>
      <c r="BL108" s="58"/>
      <c r="BM108" s="58"/>
      <c r="BN108" s="58"/>
      <c r="BO108" s="58"/>
      <c r="BP108" s="58"/>
      <c r="BQ108" s="58"/>
      <c r="BR108" s="58"/>
      <c r="BS108" s="58"/>
    </row>
    <row r="109" spans="1:71" ht="15.75" customHeight="1" x14ac:dyDescent="0.2">
      <c r="A109" s="87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7"/>
      <c r="P109" s="87"/>
      <c r="Q109" s="87"/>
      <c r="R109" s="87"/>
      <c r="S109" s="87"/>
      <c r="T109" s="87"/>
      <c r="U109" s="87"/>
      <c r="V109" s="88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92"/>
      <c r="AR109" s="92"/>
      <c r="AS109" s="92"/>
      <c r="AT109" s="92"/>
      <c r="AU109" s="92"/>
      <c r="AV109" s="92"/>
      <c r="AW109" s="92"/>
      <c r="AX109" s="92"/>
      <c r="AY109" s="92"/>
      <c r="AZ109" s="58"/>
      <c r="BA109" s="58"/>
      <c r="BB109" s="58"/>
      <c r="BC109" s="58"/>
      <c r="BD109" s="58"/>
      <c r="BE109" s="58"/>
      <c r="BF109" s="58"/>
      <c r="BG109" s="58"/>
      <c r="BH109" s="58"/>
      <c r="BI109" s="58"/>
      <c r="BJ109" s="58"/>
      <c r="BK109" s="58"/>
      <c r="BL109" s="58"/>
      <c r="BM109" s="58"/>
      <c r="BN109" s="58"/>
      <c r="BO109" s="58"/>
      <c r="BP109" s="58"/>
      <c r="BQ109" s="58"/>
      <c r="BR109" s="58"/>
      <c r="BS109" s="58"/>
    </row>
    <row r="110" spans="1:71" ht="15.75" customHeight="1" x14ac:dyDescent="0.2">
      <c r="A110" s="87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7"/>
      <c r="P110" s="87"/>
      <c r="Q110" s="87"/>
      <c r="R110" s="87"/>
      <c r="S110" s="87"/>
      <c r="T110" s="87"/>
      <c r="U110" s="87"/>
      <c r="V110" s="88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92"/>
      <c r="AR110" s="92"/>
      <c r="AS110" s="92"/>
      <c r="AT110" s="92"/>
      <c r="AU110" s="92"/>
      <c r="AV110" s="92"/>
      <c r="AW110" s="92"/>
      <c r="AX110" s="92"/>
      <c r="AY110" s="92"/>
      <c r="AZ110" s="58"/>
      <c r="BA110" s="58"/>
      <c r="BB110" s="58"/>
      <c r="BC110" s="58"/>
      <c r="BD110" s="58"/>
      <c r="BE110" s="58"/>
      <c r="BF110" s="58"/>
      <c r="BG110" s="58"/>
      <c r="BH110" s="58"/>
      <c r="BI110" s="58"/>
      <c r="BJ110" s="58"/>
      <c r="BK110" s="58"/>
      <c r="BL110" s="58"/>
      <c r="BM110" s="58"/>
      <c r="BN110" s="58"/>
      <c r="BO110" s="58"/>
      <c r="BP110" s="58"/>
      <c r="BQ110" s="58"/>
      <c r="BR110" s="58"/>
      <c r="BS110" s="58"/>
    </row>
    <row r="111" spans="1:71" ht="15.75" customHeight="1" x14ac:dyDescent="0.2">
      <c r="A111" s="87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7"/>
      <c r="P111" s="87"/>
      <c r="Q111" s="87"/>
      <c r="R111" s="87"/>
      <c r="S111" s="87"/>
      <c r="T111" s="87"/>
      <c r="U111" s="87"/>
      <c r="V111" s="88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92"/>
      <c r="AR111" s="92"/>
      <c r="AS111" s="92"/>
      <c r="AT111" s="92"/>
      <c r="AU111" s="92"/>
      <c r="AV111" s="92"/>
      <c r="AW111" s="92"/>
      <c r="AX111" s="92"/>
      <c r="AY111" s="92"/>
      <c r="AZ111" s="58"/>
      <c r="BA111" s="58"/>
      <c r="BB111" s="58"/>
      <c r="BC111" s="58"/>
      <c r="BD111" s="58"/>
      <c r="BE111" s="58"/>
      <c r="BF111" s="58"/>
      <c r="BG111" s="58"/>
      <c r="BH111" s="58"/>
      <c r="BI111" s="58"/>
      <c r="BJ111" s="58"/>
      <c r="BK111" s="58"/>
      <c r="BL111" s="58"/>
      <c r="BM111" s="58"/>
      <c r="BN111" s="58"/>
      <c r="BO111" s="58"/>
      <c r="BP111" s="58"/>
      <c r="BQ111" s="58"/>
      <c r="BR111" s="58"/>
      <c r="BS111" s="58"/>
    </row>
    <row r="112" spans="1:71" ht="15.75" customHeight="1" x14ac:dyDescent="0.2">
      <c r="A112" s="87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7"/>
      <c r="P112" s="87"/>
      <c r="Q112" s="87"/>
      <c r="R112" s="87"/>
      <c r="S112" s="87"/>
      <c r="T112" s="87"/>
      <c r="U112" s="87"/>
      <c r="V112" s="88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92"/>
      <c r="AR112" s="92"/>
      <c r="AS112" s="92"/>
      <c r="AT112" s="92"/>
      <c r="AU112" s="92"/>
      <c r="AV112" s="92"/>
      <c r="AW112" s="92"/>
      <c r="AX112" s="92"/>
      <c r="AY112" s="92"/>
      <c r="AZ112" s="58"/>
      <c r="BA112" s="58"/>
      <c r="BB112" s="58"/>
      <c r="BC112" s="58"/>
      <c r="BD112" s="58"/>
      <c r="BE112" s="58"/>
      <c r="BF112" s="58"/>
      <c r="BG112" s="58"/>
      <c r="BH112" s="58"/>
      <c r="BI112" s="58"/>
      <c r="BJ112" s="58"/>
      <c r="BK112" s="58"/>
      <c r="BL112" s="58"/>
      <c r="BM112" s="58"/>
      <c r="BN112" s="58"/>
      <c r="BO112" s="58"/>
      <c r="BP112" s="58"/>
      <c r="BQ112" s="58"/>
      <c r="BR112" s="58"/>
      <c r="BS112" s="58"/>
    </row>
    <row r="113" spans="1:71" ht="15.75" customHeight="1" x14ac:dyDescent="0.2">
      <c r="A113" s="87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7"/>
      <c r="P113" s="87"/>
      <c r="Q113" s="87"/>
      <c r="R113" s="87"/>
      <c r="S113" s="87"/>
      <c r="T113" s="87"/>
      <c r="U113" s="87"/>
      <c r="V113" s="88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92"/>
      <c r="AR113" s="92"/>
      <c r="AS113" s="92"/>
      <c r="AT113" s="92"/>
      <c r="AU113" s="92"/>
      <c r="AV113" s="92"/>
      <c r="AW113" s="92"/>
      <c r="AX113" s="92"/>
      <c r="AY113" s="92"/>
      <c r="AZ113" s="58"/>
      <c r="BA113" s="58"/>
      <c r="BB113" s="58"/>
      <c r="BC113" s="58"/>
      <c r="BD113" s="58"/>
      <c r="BE113" s="58"/>
      <c r="BF113" s="58"/>
      <c r="BG113" s="58"/>
      <c r="BH113" s="58"/>
      <c r="BI113" s="58"/>
      <c r="BJ113" s="58"/>
      <c r="BK113" s="58"/>
      <c r="BL113" s="58"/>
      <c r="BM113" s="58"/>
      <c r="BN113" s="58"/>
      <c r="BO113" s="58"/>
      <c r="BP113" s="58"/>
      <c r="BQ113" s="58"/>
      <c r="BR113" s="58"/>
      <c r="BS113" s="58"/>
    </row>
    <row r="114" spans="1:71" ht="15.75" customHeight="1" x14ac:dyDescent="0.2">
      <c r="A114" s="87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7"/>
      <c r="P114" s="87"/>
      <c r="Q114" s="87"/>
      <c r="R114" s="87"/>
      <c r="S114" s="87"/>
      <c r="T114" s="87"/>
      <c r="U114" s="87"/>
      <c r="V114" s="88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92"/>
      <c r="AR114" s="92"/>
      <c r="AS114" s="92"/>
      <c r="AT114" s="92"/>
      <c r="AU114" s="92"/>
      <c r="AV114" s="92"/>
      <c r="AW114" s="92"/>
      <c r="AX114" s="92"/>
      <c r="AY114" s="92"/>
      <c r="AZ114" s="58"/>
      <c r="BA114" s="58"/>
      <c r="BB114" s="58"/>
      <c r="BC114" s="58"/>
      <c r="BD114" s="58"/>
      <c r="BE114" s="58"/>
      <c r="BF114" s="58"/>
      <c r="BG114" s="58"/>
      <c r="BH114" s="58"/>
      <c r="BI114" s="58"/>
      <c r="BJ114" s="58"/>
      <c r="BK114" s="58"/>
      <c r="BL114" s="58"/>
      <c r="BM114" s="58"/>
      <c r="BN114" s="58"/>
      <c r="BO114" s="58"/>
      <c r="BP114" s="58"/>
      <c r="BQ114" s="58"/>
      <c r="BR114" s="58"/>
      <c r="BS114" s="58"/>
    </row>
    <row r="115" spans="1:71" ht="15.75" customHeight="1" x14ac:dyDescent="0.2">
      <c r="A115" s="87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7"/>
      <c r="P115" s="87"/>
      <c r="Q115" s="87"/>
      <c r="R115" s="87"/>
      <c r="S115" s="87"/>
      <c r="T115" s="87"/>
      <c r="U115" s="87"/>
      <c r="V115" s="88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  <c r="AQ115" s="92"/>
      <c r="AR115" s="92"/>
      <c r="AS115" s="92"/>
      <c r="AT115" s="92"/>
      <c r="AU115" s="92"/>
      <c r="AV115" s="92"/>
      <c r="AW115" s="92"/>
      <c r="AX115" s="92"/>
      <c r="AY115" s="92"/>
      <c r="AZ115" s="58"/>
      <c r="BA115" s="58"/>
      <c r="BB115" s="58"/>
      <c r="BC115" s="58"/>
      <c r="BD115" s="58"/>
      <c r="BE115" s="58"/>
      <c r="BF115" s="58"/>
      <c r="BG115" s="58"/>
      <c r="BH115" s="58"/>
      <c r="BI115" s="58"/>
      <c r="BJ115" s="58"/>
      <c r="BK115" s="58"/>
      <c r="BL115" s="58"/>
      <c r="BM115" s="58"/>
      <c r="BN115" s="58"/>
      <c r="BO115" s="58"/>
      <c r="BP115" s="58"/>
      <c r="BQ115" s="58"/>
      <c r="BR115" s="58"/>
      <c r="BS115" s="58"/>
    </row>
    <row r="116" spans="1:71" ht="15.75" customHeight="1" x14ac:dyDescent="0.2">
      <c r="A116" s="87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7"/>
      <c r="P116" s="87"/>
      <c r="Q116" s="87"/>
      <c r="R116" s="87"/>
      <c r="S116" s="87"/>
      <c r="T116" s="87"/>
      <c r="U116" s="87"/>
      <c r="V116" s="88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  <c r="AQ116" s="92"/>
      <c r="AR116" s="92"/>
      <c r="AS116" s="92"/>
      <c r="AT116" s="92"/>
      <c r="AU116" s="92"/>
      <c r="AV116" s="92"/>
      <c r="AW116" s="92"/>
      <c r="AX116" s="92"/>
      <c r="AY116" s="92"/>
      <c r="AZ116" s="58"/>
      <c r="BA116" s="58"/>
      <c r="BB116" s="58"/>
      <c r="BC116" s="58"/>
      <c r="BD116" s="58"/>
      <c r="BE116" s="58"/>
      <c r="BF116" s="58"/>
      <c r="BG116" s="58"/>
      <c r="BH116" s="58"/>
      <c r="BI116" s="58"/>
      <c r="BJ116" s="58"/>
      <c r="BK116" s="58"/>
      <c r="BL116" s="58"/>
      <c r="BM116" s="58"/>
      <c r="BN116" s="58"/>
      <c r="BO116" s="58"/>
      <c r="BP116" s="58"/>
      <c r="BQ116" s="58"/>
      <c r="BR116" s="58"/>
      <c r="BS116" s="58"/>
    </row>
    <row r="117" spans="1:71" ht="15.75" customHeight="1" x14ac:dyDescent="0.2">
      <c r="A117" s="87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7"/>
      <c r="P117" s="87"/>
      <c r="Q117" s="87"/>
      <c r="R117" s="87"/>
      <c r="S117" s="87"/>
      <c r="T117" s="87"/>
      <c r="U117" s="87"/>
      <c r="V117" s="88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92"/>
      <c r="AR117" s="92"/>
      <c r="AS117" s="92"/>
      <c r="AT117" s="92"/>
      <c r="AU117" s="92"/>
      <c r="AV117" s="92"/>
      <c r="AW117" s="92"/>
      <c r="AX117" s="92"/>
      <c r="AY117" s="92"/>
      <c r="AZ117" s="58"/>
      <c r="BA117" s="58"/>
      <c r="BB117" s="58"/>
      <c r="BC117" s="58"/>
      <c r="BD117" s="58"/>
      <c r="BE117" s="58"/>
      <c r="BF117" s="58"/>
      <c r="BG117" s="58"/>
      <c r="BH117" s="58"/>
      <c r="BI117" s="58"/>
      <c r="BJ117" s="58"/>
      <c r="BK117" s="58"/>
      <c r="BL117" s="58"/>
      <c r="BM117" s="58"/>
      <c r="BN117" s="58"/>
      <c r="BO117" s="58"/>
      <c r="BP117" s="58"/>
      <c r="BQ117" s="58"/>
      <c r="BR117" s="58"/>
      <c r="BS117" s="58"/>
    </row>
    <row r="118" spans="1:71" ht="15.75" customHeight="1" x14ac:dyDescent="0.2">
      <c r="A118" s="87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7"/>
      <c r="P118" s="87"/>
      <c r="Q118" s="87"/>
      <c r="R118" s="87"/>
      <c r="S118" s="87"/>
      <c r="T118" s="87"/>
      <c r="U118" s="87"/>
      <c r="V118" s="88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92"/>
      <c r="AR118" s="92"/>
      <c r="AS118" s="92"/>
      <c r="AT118" s="92"/>
      <c r="AU118" s="92"/>
      <c r="AV118" s="92"/>
      <c r="AW118" s="92"/>
      <c r="AX118" s="92"/>
      <c r="AY118" s="92"/>
      <c r="AZ118" s="58"/>
      <c r="BA118" s="58"/>
      <c r="BB118" s="58"/>
      <c r="BC118" s="58"/>
      <c r="BD118" s="58"/>
      <c r="BE118" s="58"/>
      <c r="BF118" s="58"/>
      <c r="BG118" s="58"/>
      <c r="BH118" s="58"/>
      <c r="BI118" s="58"/>
      <c r="BJ118" s="58"/>
      <c r="BK118" s="58"/>
      <c r="BL118" s="58"/>
      <c r="BM118" s="58"/>
      <c r="BN118" s="58"/>
      <c r="BO118" s="58"/>
      <c r="BP118" s="58"/>
      <c r="BQ118" s="58"/>
      <c r="BR118" s="58"/>
      <c r="BS118" s="58"/>
    </row>
    <row r="119" spans="1:71" ht="15.75" customHeight="1" x14ac:dyDescent="0.2">
      <c r="A119" s="87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7"/>
      <c r="P119" s="87"/>
      <c r="Q119" s="87"/>
      <c r="R119" s="87"/>
      <c r="S119" s="87"/>
      <c r="T119" s="87"/>
      <c r="U119" s="87"/>
      <c r="V119" s="88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92"/>
      <c r="AR119" s="92"/>
      <c r="AS119" s="92"/>
      <c r="AT119" s="92"/>
      <c r="AU119" s="92"/>
      <c r="AV119" s="92"/>
      <c r="AW119" s="92"/>
      <c r="AX119" s="92"/>
      <c r="AY119" s="92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8"/>
      <c r="BR119" s="58"/>
      <c r="BS119" s="58"/>
    </row>
    <row r="120" spans="1:71" ht="15.75" customHeight="1" x14ac:dyDescent="0.2">
      <c r="A120" s="87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7"/>
      <c r="P120" s="87"/>
      <c r="Q120" s="87"/>
      <c r="R120" s="87"/>
      <c r="S120" s="87"/>
      <c r="T120" s="87"/>
      <c r="U120" s="87"/>
      <c r="V120" s="88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92"/>
      <c r="AR120" s="92"/>
      <c r="AS120" s="92"/>
      <c r="AT120" s="92"/>
      <c r="AU120" s="92"/>
      <c r="AV120" s="92"/>
      <c r="AW120" s="92"/>
      <c r="AX120" s="92"/>
      <c r="AY120" s="92"/>
      <c r="AZ120" s="58"/>
      <c r="BA120" s="58"/>
      <c r="BB120" s="58"/>
      <c r="BC120" s="58"/>
      <c r="BD120" s="58"/>
      <c r="BE120" s="58"/>
      <c r="BF120" s="58"/>
      <c r="BG120" s="58"/>
      <c r="BH120" s="58"/>
      <c r="BI120" s="58"/>
      <c r="BJ120" s="58"/>
      <c r="BK120" s="58"/>
      <c r="BL120" s="58"/>
      <c r="BM120" s="58"/>
      <c r="BN120" s="58"/>
      <c r="BO120" s="58"/>
      <c r="BP120" s="58"/>
      <c r="BQ120" s="58"/>
      <c r="BR120" s="58"/>
      <c r="BS120" s="58"/>
    </row>
    <row r="121" spans="1:71" ht="15.75" customHeight="1" x14ac:dyDescent="0.2">
      <c r="A121" s="87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7"/>
      <c r="P121" s="87"/>
      <c r="Q121" s="87"/>
      <c r="R121" s="87"/>
      <c r="S121" s="87"/>
      <c r="T121" s="87"/>
      <c r="U121" s="87"/>
      <c r="V121" s="88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92"/>
      <c r="AR121" s="92"/>
      <c r="AS121" s="92"/>
      <c r="AT121" s="92"/>
      <c r="AU121" s="92"/>
      <c r="AV121" s="92"/>
      <c r="AW121" s="92"/>
      <c r="AX121" s="92"/>
      <c r="AY121" s="92"/>
      <c r="AZ121" s="58"/>
      <c r="BA121" s="58"/>
      <c r="BB121" s="58"/>
      <c r="BC121" s="58"/>
      <c r="BD121" s="58"/>
      <c r="BE121" s="58"/>
      <c r="BF121" s="58"/>
      <c r="BG121" s="58"/>
      <c r="BH121" s="58"/>
      <c r="BI121" s="58"/>
      <c r="BJ121" s="58"/>
      <c r="BK121" s="58"/>
      <c r="BL121" s="58"/>
      <c r="BM121" s="58"/>
      <c r="BN121" s="58"/>
      <c r="BO121" s="58"/>
      <c r="BP121" s="58"/>
      <c r="BQ121" s="58"/>
      <c r="BR121" s="58"/>
      <c r="BS121" s="58"/>
    </row>
    <row r="122" spans="1:71" ht="15.75" customHeight="1" x14ac:dyDescent="0.2">
      <c r="A122" s="87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7"/>
      <c r="P122" s="87"/>
      <c r="Q122" s="87"/>
      <c r="R122" s="87"/>
      <c r="S122" s="87"/>
      <c r="T122" s="87"/>
      <c r="U122" s="87"/>
      <c r="V122" s="88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92"/>
      <c r="AR122" s="92"/>
      <c r="AS122" s="92"/>
      <c r="AT122" s="92"/>
      <c r="AU122" s="92"/>
      <c r="AV122" s="92"/>
      <c r="AW122" s="92"/>
      <c r="AX122" s="92"/>
      <c r="AY122" s="92"/>
      <c r="AZ122" s="58"/>
      <c r="BA122" s="58"/>
      <c r="BB122" s="58"/>
      <c r="BC122" s="58"/>
      <c r="BD122" s="58"/>
      <c r="BE122" s="58"/>
      <c r="BF122" s="58"/>
      <c r="BG122" s="58"/>
      <c r="BH122" s="58"/>
      <c r="BI122" s="58"/>
      <c r="BJ122" s="58"/>
      <c r="BK122" s="58"/>
      <c r="BL122" s="58"/>
      <c r="BM122" s="58"/>
      <c r="BN122" s="58"/>
      <c r="BO122" s="58"/>
      <c r="BP122" s="58"/>
      <c r="BQ122" s="58"/>
      <c r="BR122" s="58"/>
      <c r="BS122" s="58"/>
    </row>
    <row r="123" spans="1:71" ht="15.75" customHeight="1" x14ac:dyDescent="0.2">
      <c r="A123" s="87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7"/>
      <c r="P123" s="87"/>
      <c r="Q123" s="87"/>
      <c r="R123" s="87"/>
      <c r="S123" s="87"/>
      <c r="T123" s="87"/>
      <c r="U123" s="87"/>
      <c r="V123" s="88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  <c r="AQ123" s="92"/>
      <c r="AR123" s="92"/>
      <c r="AS123" s="92"/>
      <c r="AT123" s="92"/>
      <c r="AU123" s="92"/>
      <c r="AV123" s="92"/>
      <c r="AW123" s="92"/>
      <c r="AX123" s="92"/>
      <c r="AY123" s="92"/>
      <c r="AZ123" s="58"/>
      <c r="BA123" s="58"/>
      <c r="BB123" s="58"/>
      <c r="BC123" s="58"/>
      <c r="BD123" s="58"/>
      <c r="BE123" s="58"/>
      <c r="BF123" s="58"/>
      <c r="BG123" s="58"/>
      <c r="BH123" s="58"/>
      <c r="BI123" s="58"/>
      <c r="BJ123" s="58"/>
      <c r="BK123" s="58"/>
      <c r="BL123" s="58"/>
      <c r="BM123" s="58"/>
      <c r="BN123" s="58"/>
      <c r="BO123" s="58"/>
      <c r="BP123" s="58"/>
      <c r="BQ123" s="58"/>
      <c r="BR123" s="58"/>
      <c r="BS123" s="58"/>
    </row>
    <row r="124" spans="1:71" ht="15.75" customHeight="1" x14ac:dyDescent="0.2">
      <c r="A124" s="87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7"/>
      <c r="P124" s="87"/>
      <c r="Q124" s="87"/>
      <c r="R124" s="87"/>
      <c r="S124" s="87"/>
      <c r="T124" s="87"/>
      <c r="U124" s="87"/>
      <c r="V124" s="88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  <c r="AQ124" s="92"/>
      <c r="AR124" s="92"/>
      <c r="AS124" s="92"/>
      <c r="AT124" s="92"/>
      <c r="AU124" s="92"/>
      <c r="AV124" s="92"/>
      <c r="AW124" s="92"/>
      <c r="AX124" s="92"/>
      <c r="AY124" s="92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</row>
    <row r="125" spans="1:71" ht="15.75" customHeight="1" x14ac:dyDescent="0.2">
      <c r="A125" s="87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7"/>
      <c r="P125" s="87"/>
      <c r="Q125" s="87"/>
      <c r="R125" s="87"/>
      <c r="S125" s="87"/>
      <c r="T125" s="87"/>
      <c r="U125" s="87"/>
      <c r="V125" s="88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  <c r="AQ125" s="92"/>
      <c r="AR125" s="92"/>
      <c r="AS125" s="92"/>
      <c r="AT125" s="92"/>
      <c r="AU125" s="92"/>
      <c r="AV125" s="92"/>
      <c r="AW125" s="92"/>
      <c r="AX125" s="92"/>
      <c r="AY125" s="92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</row>
    <row r="126" spans="1:71" ht="15.75" customHeight="1" x14ac:dyDescent="0.2">
      <c r="A126" s="87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7"/>
      <c r="P126" s="87"/>
      <c r="Q126" s="87"/>
      <c r="R126" s="87"/>
      <c r="S126" s="87"/>
      <c r="T126" s="87"/>
      <c r="U126" s="87"/>
      <c r="V126" s="88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  <c r="AQ126" s="92"/>
      <c r="AR126" s="92"/>
      <c r="AS126" s="92"/>
      <c r="AT126" s="92"/>
      <c r="AU126" s="92"/>
      <c r="AV126" s="92"/>
      <c r="AW126" s="92"/>
      <c r="AX126" s="92"/>
      <c r="AY126" s="92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</row>
    <row r="127" spans="1:71" ht="15.75" customHeight="1" x14ac:dyDescent="0.2">
      <c r="A127" s="87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7"/>
      <c r="P127" s="87"/>
      <c r="Q127" s="87"/>
      <c r="R127" s="87"/>
      <c r="S127" s="87"/>
      <c r="T127" s="87"/>
      <c r="U127" s="87"/>
      <c r="V127" s="88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  <c r="AQ127" s="92"/>
      <c r="AR127" s="92"/>
      <c r="AS127" s="92"/>
      <c r="AT127" s="92"/>
      <c r="AU127" s="92"/>
      <c r="AV127" s="92"/>
      <c r="AW127" s="92"/>
      <c r="AX127" s="92"/>
      <c r="AY127" s="92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</row>
    <row r="128" spans="1:71" ht="15.75" customHeight="1" x14ac:dyDescent="0.2">
      <c r="A128" s="87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7"/>
      <c r="P128" s="87"/>
      <c r="Q128" s="87"/>
      <c r="R128" s="87"/>
      <c r="S128" s="87"/>
      <c r="T128" s="87"/>
      <c r="U128" s="87"/>
      <c r="V128" s="88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92"/>
      <c r="AR128" s="92"/>
      <c r="AS128" s="92"/>
      <c r="AT128" s="92"/>
      <c r="AU128" s="92"/>
      <c r="AV128" s="92"/>
      <c r="AW128" s="92"/>
      <c r="AX128" s="92"/>
      <c r="AY128" s="92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</row>
    <row r="129" spans="1:71" ht="15.75" customHeight="1" x14ac:dyDescent="0.2">
      <c r="A129" s="87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7"/>
      <c r="P129" s="87"/>
      <c r="Q129" s="87"/>
      <c r="R129" s="87"/>
      <c r="S129" s="87"/>
      <c r="T129" s="87"/>
      <c r="U129" s="87"/>
      <c r="V129" s="88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  <c r="AQ129" s="92"/>
      <c r="AR129" s="92"/>
      <c r="AS129" s="92"/>
      <c r="AT129" s="92"/>
      <c r="AU129" s="92"/>
      <c r="AV129" s="92"/>
      <c r="AW129" s="92"/>
      <c r="AX129" s="92"/>
      <c r="AY129" s="92"/>
      <c r="AZ129" s="58"/>
      <c r="BA129" s="58"/>
      <c r="BB129" s="58"/>
      <c r="BC129" s="58"/>
      <c r="BD129" s="58"/>
      <c r="BE129" s="58"/>
      <c r="BF129" s="58"/>
      <c r="BG129" s="58"/>
      <c r="BH129" s="58"/>
      <c r="BI129" s="58"/>
      <c r="BJ129" s="58"/>
      <c r="BK129" s="58"/>
      <c r="BL129" s="58"/>
      <c r="BM129" s="58"/>
      <c r="BN129" s="58"/>
      <c r="BO129" s="58"/>
      <c r="BP129" s="58"/>
      <c r="BQ129" s="58"/>
      <c r="BR129" s="58"/>
      <c r="BS129" s="58"/>
    </row>
    <row r="130" spans="1:71" ht="15.75" customHeight="1" x14ac:dyDescent="0.2">
      <c r="A130" s="87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7"/>
      <c r="P130" s="87"/>
      <c r="Q130" s="87"/>
      <c r="R130" s="87"/>
      <c r="S130" s="87"/>
      <c r="T130" s="87"/>
      <c r="U130" s="87"/>
      <c r="V130" s="88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  <c r="AQ130" s="92"/>
      <c r="AR130" s="92"/>
      <c r="AS130" s="92"/>
      <c r="AT130" s="92"/>
      <c r="AU130" s="92"/>
      <c r="AV130" s="92"/>
      <c r="AW130" s="92"/>
      <c r="AX130" s="92"/>
      <c r="AY130" s="92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</row>
    <row r="131" spans="1:71" ht="15.75" customHeight="1" x14ac:dyDescent="0.2">
      <c r="A131" s="87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7"/>
      <c r="P131" s="87"/>
      <c r="Q131" s="87"/>
      <c r="R131" s="87"/>
      <c r="S131" s="87"/>
      <c r="T131" s="87"/>
      <c r="U131" s="87"/>
      <c r="V131" s="88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92"/>
      <c r="AR131" s="92"/>
      <c r="AS131" s="92"/>
      <c r="AT131" s="92"/>
      <c r="AU131" s="92"/>
      <c r="AV131" s="92"/>
      <c r="AW131" s="92"/>
      <c r="AX131" s="92"/>
      <c r="AY131" s="92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</row>
    <row r="132" spans="1:71" ht="15.75" customHeight="1" x14ac:dyDescent="0.2">
      <c r="A132" s="87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7"/>
      <c r="P132" s="87"/>
      <c r="Q132" s="87"/>
      <c r="R132" s="87"/>
      <c r="S132" s="87"/>
      <c r="T132" s="87"/>
      <c r="U132" s="87"/>
      <c r="V132" s="88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  <c r="AQ132" s="92"/>
      <c r="AR132" s="92"/>
      <c r="AS132" s="92"/>
      <c r="AT132" s="92"/>
      <c r="AU132" s="92"/>
      <c r="AV132" s="92"/>
      <c r="AW132" s="92"/>
      <c r="AX132" s="92"/>
      <c r="AY132" s="92"/>
      <c r="AZ132" s="58"/>
      <c r="BA132" s="58"/>
      <c r="BB132" s="58"/>
      <c r="BC132" s="58"/>
      <c r="BD132" s="58"/>
      <c r="BE132" s="58"/>
      <c r="BF132" s="58"/>
      <c r="BG132" s="58"/>
      <c r="BH132" s="58"/>
      <c r="BI132" s="58"/>
      <c r="BJ132" s="58"/>
      <c r="BK132" s="58"/>
      <c r="BL132" s="58"/>
      <c r="BM132" s="58"/>
      <c r="BN132" s="58"/>
      <c r="BO132" s="58"/>
      <c r="BP132" s="58"/>
      <c r="BQ132" s="58"/>
      <c r="BR132" s="58"/>
      <c r="BS132" s="58"/>
    </row>
    <row r="133" spans="1:71" ht="15.75" customHeight="1" x14ac:dyDescent="0.2">
      <c r="A133" s="87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7"/>
      <c r="P133" s="87"/>
      <c r="Q133" s="87"/>
      <c r="R133" s="87"/>
      <c r="S133" s="87"/>
      <c r="T133" s="87"/>
      <c r="U133" s="87"/>
      <c r="V133" s="88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  <c r="AQ133" s="92"/>
      <c r="AR133" s="92"/>
      <c r="AS133" s="92"/>
      <c r="AT133" s="92"/>
      <c r="AU133" s="92"/>
      <c r="AV133" s="92"/>
      <c r="AW133" s="92"/>
      <c r="AX133" s="92"/>
      <c r="AY133" s="92"/>
      <c r="AZ133" s="58"/>
      <c r="BA133" s="58"/>
      <c r="BB133" s="58"/>
      <c r="BC133" s="58"/>
      <c r="BD133" s="58"/>
      <c r="BE133" s="58"/>
      <c r="BF133" s="58"/>
      <c r="BG133" s="58"/>
      <c r="BH133" s="58"/>
      <c r="BI133" s="58"/>
      <c r="BJ133" s="58"/>
      <c r="BK133" s="58"/>
      <c r="BL133" s="58"/>
      <c r="BM133" s="58"/>
      <c r="BN133" s="58"/>
      <c r="BO133" s="58"/>
      <c r="BP133" s="58"/>
      <c r="BQ133" s="58"/>
      <c r="BR133" s="58"/>
      <c r="BS133" s="58"/>
    </row>
    <row r="134" spans="1:71" ht="15.75" customHeight="1" x14ac:dyDescent="0.2">
      <c r="A134" s="87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7"/>
      <c r="P134" s="87"/>
      <c r="Q134" s="87"/>
      <c r="R134" s="87"/>
      <c r="S134" s="87"/>
      <c r="T134" s="87"/>
      <c r="U134" s="87"/>
      <c r="V134" s="88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92"/>
      <c r="AR134" s="92"/>
      <c r="AS134" s="92"/>
      <c r="AT134" s="92"/>
      <c r="AU134" s="92"/>
      <c r="AV134" s="92"/>
      <c r="AW134" s="92"/>
      <c r="AX134" s="92"/>
      <c r="AY134" s="92"/>
      <c r="AZ134" s="58"/>
      <c r="BA134" s="58"/>
      <c r="BB134" s="58"/>
      <c r="BC134" s="58"/>
      <c r="BD134" s="58"/>
      <c r="BE134" s="58"/>
      <c r="BF134" s="58"/>
      <c r="BG134" s="58"/>
      <c r="BH134" s="58"/>
      <c r="BI134" s="58"/>
      <c r="BJ134" s="58"/>
      <c r="BK134" s="58"/>
      <c r="BL134" s="58"/>
      <c r="BM134" s="58"/>
      <c r="BN134" s="58"/>
      <c r="BO134" s="58"/>
      <c r="BP134" s="58"/>
      <c r="BQ134" s="58"/>
      <c r="BR134" s="58"/>
      <c r="BS134" s="58"/>
    </row>
    <row r="135" spans="1:71" ht="15.75" customHeight="1" x14ac:dyDescent="0.2">
      <c r="A135" s="87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7"/>
      <c r="P135" s="87"/>
      <c r="Q135" s="87"/>
      <c r="R135" s="87"/>
      <c r="S135" s="87"/>
      <c r="T135" s="87"/>
      <c r="U135" s="87"/>
      <c r="V135" s="88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  <c r="AQ135" s="92"/>
      <c r="AR135" s="92"/>
      <c r="AS135" s="92"/>
      <c r="AT135" s="92"/>
      <c r="AU135" s="92"/>
      <c r="AV135" s="92"/>
      <c r="AW135" s="92"/>
      <c r="AX135" s="92"/>
      <c r="AY135" s="92"/>
      <c r="AZ135" s="58"/>
      <c r="BA135" s="58"/>
      <c r="BB135" s="58"/>
      <c r="BC135" s="58"/>
      <c r="BD135" s="58"/>
      <c r="BE135" s="58"/>
      <c r="BF135" s="58"/>
      <c r="BG135" s="58"/>
      <c r="BH135" s="58"/>
      <c r="BI135" s="58"/>
      <c r="BJ135" s="58"/>
      <c r="BK135" s="58"/>
      <c r="BL135" s="58"/>
      <c r="BM135" s="58"/>
      <c r="BN135" s="58"/>
      <c r="BO135" s="58"/>
      <c r="BP135" s="58"/>
      <c r="BQ135" s="58"/>
      <c r="BR135" s="58"/>
      <c r="BS135" s="58"/>
    </row>
    <row r="136" spans="1:71" ht="15.75" customHeight="1" x14ac:dyDescent="0.2">
      <c r="A136" s="87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7"/>
      <c r="P136" s="87"/>
      <c r="Q136" s="87"/>
      <c r="R136" s="87"/>
      <c r="S136" s="87"/>
      <c r="T136" s="87"/>
      <c r="U136" s="87"/>
      <c r="V136" s="88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  <c r="AQ136" s="92"/>
      <c r="AR136" s="92"/>
      <c r="AS136" s="92"/>
      <c r="AT136" s="92"/>
      <c r="AU136" s="92"/>
      <c r="AV136" s="92"/>
      <c r="AW136" s="92"/>
      <c r="AX136" s="92"/>
      <c r="AY136" s="92"/>
      <c r="AZ136" s="58"/>
      <c r="BA136" s="58"/>
      <c r="BB136" s="58"/>
      <c r="BC136" s="58"/>
      <c r="BD136" s="58"/>
      <c r="BE136" s="58"/>
      <c r="BF136" s="58"/>
      <c r="BG136" s="58"/>
      <c r="BH136" s="58"/>
      <c r="BI136" s="58"/>
      <c r="BJ136" s="58"/>
      <c r="BK136" s="58"/>
      <c r="BL136" s="58"/>
      <c r="BM136" s="58"/>
      <c r="BN136" s="58"/>
      <c r="BO136" s="58"/>
      <c r="BP136" s="58"/>
      <c r="BQ136" s="58"/>
      <c r="BR136" s="58"/>
      <c r="BS136" s="58"/>
    </row>
    <row r="137" spans="1:71" ht="15.75" customHeight="1" x14ac:dyDescent="0.2">
      <c r="A137" s="87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7"/>
      <c r="P137" s="87"/>
      <c r="Q137" s="87"/>
      <c r="R137" s="87"/>
      <c r="S137" s="87"/>
      <c r="T137" s="87"/>
      <c r="U137" s="87"/>
      <c r="V137" s="88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  <c r="AQ137" s="92"/>
      <c r="AR137" s="92"/>
      <c r="AS137" s="92"/>
      <c r="AT137" s="92"/>
      <c r="AU137" s="92"/>
      <c r="AV137" s="92"/>
      <c r="AW137" s="92"/>
      <c r="AX137" s="92"/>
      <c r="AY137" s="92"/>
      <c r="AZ137" s="58"/>
      <c r="BA137" s="58"/>
      <c r="BB137" s="58"/>
      <c r="BC137" s="58"/>
      <c r="BD137" s="58"/>
      <c r="BE137" s="58"/>
      <c r="BF137" s="58"/>
      <c r="BG137" s="58"/>
      <c r="BH137" s="58"/>
      <c r="BI137" s="58"/>
      <c r="BJ137" s="58"/>
      <c r="BK137" s="58"/>
      <c r="BL137" s="58"/>
      <c r="BM137" s="58"/>
      <c r="BN137" s="58"/>
      <c r="BO137" s="58"/>
      <c r="BP137" s="58"/>
      <c r="BQ137" s="58"/>
      <c r="BR137" s="58"/>
      <c r="BS137" s="58"/>
    </row>
    <row r="138" spans="1:71" ht="15.75" customHeight="1" x14ac:dyDescent="0.2">
      <c r="A138" s="87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7"/>
      <c r="P138" s="87"/>
      <c r="Q138" s="87"/>
      <c r="R138" s="87"/>
      <c r="S138" s="87"/>
      <c r="T138" s="87"/>
      <c r="U138" s="87"/>
      <c r="V138" s="88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  <c r="AQ138" s="92"/>
      <c r="AR138" s="92"/>
      <c r="AS138" s="92"/>
      <c r="AT138" s="92"/>
      <c r="AU138" s="92"/>
      <c r="AV138" s="92"/>
      <c r="AW138" s="92"/>
      <c r="AX138" s="92"/>
      <c r="AY138" s="92"/>
      <c r="AZ138" s="58"/>
      <c r="BA138" s="58"/>
      <c r="BB138" s="58"/>
      <c r="BC138" s="58"/>
      <c r="BD138" s="58"/>
      <c r="BE138" s="58"/>
      <c r="BF138" s="58"/>
      <c r="BG138" s="58"/>
      <c r="BH138" s="58"/>
      <c r="BI138" s="58"/>
      <c r="BJ138" s="58"/>
      <c r="BK138" s="58"/>
      <c r="BL138" s="58"/>
      <c r="BM138" s="58"/>
      <c r="BN138" s="58"/>
      <c r="BO138" s="58"/>
      <c r="BP138" s="58"/>
      <c r="BQ138" s="58"/>
      <c r="BR138" s="58"/>
      <c r="BS138" s="58"/>
    </row>
    <row r="139" spans="1:71" ht="15.75" customHeight="1" x14ac:dyDescent="0.2">
      <c r="A139" s="87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7"/>
      <c r="P139" s="87"/>
      <c r="Q139" s="87"/>
      <c r="R139" s="87"/>
      <c r="S139" s="87"/>
      <c r="T139" s="87"/>
      <c r="U139" s="87"/>
      <c r="V139" s="88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92"/>
      <c r="AR139" s="92"/>
      <c r="AS139" s="92"/>
      <c r="AT139" s="92"/>
      <c r="AU139" s="92"/>
      <c r="AV139" s="92"/>
      <c r="AW139" s="92"/>
      <c r="AX139" s="92"/>
      <c r="AY139" s="92"/>
      <c r="AZ139" s="58"/>
      <c r="BA139" s="58"/>
      <c r="BB139" s="58"/>
      <c r="BC139" s="58"/>
      <c r="BD139" s="58"/>
      <c r="BE139" s="58"/>
      <c r="BF139" s="58"/>
      <c r="BG139" s="58"/>
      <c r="BH139" s="58"/>
      <c r="BI139" s="58"/>
      <c r="BJ139" s="58"/>
      <c r="BK139" s="58"/>
      <c r="BL139" s="58"/>
      <c r="BM139" s="58"/>
      <c r="BN139" s="58"/>
      <c r="BO139" s="58"/>
      <c r="BP139" s="58"/>
      <c r="BQ139" s="58"/>
      <c r="BR139" s="58"/>
      <c r="BS139" s="58"/>
    </row>
    <row r="140" spans="1:71" ht="15.75" customHeight="1" x14ac:dyDescent="0.2">
      <c r="A140" s="87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7"/>
      <c r="P140" s="87"/>
      <c r="Q140" s="87"/>
      <c r="R140" s="87"/>
      <c r="S140" s="87"/>
      <c r="T140" s="87"/>
      <c r="U140" s="87"/>
      <c r="V140" s="88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92"/>
      <c r="AR140" s="92"/>
      <c r="AS140" s="92"/>
      <c r="AT140" s="92"/>
      <c r="AU140" s="92"/>
      <c r="AV140" s="92"/>
      <c r="AW140" s="92"/>
      <c r="AX140" s="92"/>
      <c r="AY140" s="92"/>
      <c r="AZ140" s="58"/>
      <c r="BA140" s="58"/>
      <c r="BB140" s="58"/>
      <c r="BC140" s="58"/>
      <c r="BD140" s="58"/>
      <c r="BE140" s="58"/>
      <c r="BF140" s="58"/>
      <c r="BG140" s="58"/>
      <c r="BH140" s="58"/>
      <c r="BI140" s="58"/>
      <c r="BJ140" s="58"/>
      <c r="BK140" s="58"/>
      <c r="BL140" s="58"/>
      <c r="BM140" s="58"/>
      <c r="BN140" s="58"/>
      <c r="BO140" s="58"/>
      <c r="BP140" s="58"/>
      <c r="BQ140" s="58"/>
      <c r="BR140" s="58"/>
      <c r="BS140" s="58"/>
    </row>
    <row r="141" spans="1:71" ht="15.75" customHeight="1" x14ac:dyDescent="0.2">
      <c r="A141" s="87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7"/>
      <c r="P141" s="87"/>
      <c r="Q141" s="87"/>
      <c r="R141" s="87"/>
      <c r="S141" s="87"/>
      <c r="T141" s="87"/>
      <c r="U141" s="87"/>
      <c r="V141" s="88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92"/>
      <c r="AR141" s="92"/>
      <c r="AS141" s="92"/>
      <c r="AT141" s="92"/>
      <c r="AU141" s="92"/>
      <c r="AV141" s="92"/>
      <c r="AW141" s="92"/>
      <c r="AX141" s="92"/>
      <c r="AY141" s="92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</row>
    <row r="142" spans="1:71" ht="15.75" customHeight="1" x14ac:dyDescent="0.2">
      <c r="A142" s="87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7"/>
      <c r="P142" s="87"/>
      <c r="Q142" s="87"/>
      <c r="R142" s="87"/>
      <c r="S142" s="87"/>
      <c r="T142" s="87"/>
      <c r="U142" s="87"/>
      <c r="V142" s="88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92"/>
      <c r="AR142" s="92"/>
      <c r="AS142" s="92"/>
      <c r="AT142" s="92"/>
      <c r="AU142" s="92"/>
      <c r="AV142" s="92"/>
      <c r="AW142" s="92"/>
      <c r="AX142" s="92"/>
      <c r="AY142" s="92"/>
      <c r="AZ142" s="58"/>
      <c r="BA142" s="58"/>
      <c r="BB142" s="58"/>
      <c r="BC142" s="58"/>
      <c r="BD142" s="58"/>
      <c r="BE142" s="58"/>
      <c r="BF142" s="58"/>
      <c r="BG142" s="58"/>
      <c r="BH142" s="58"/>
      <c r="BI142" s="58"/>
      <c r="BJ142" s="58"/>
      <c r="BK142" s="58"/>
      <c r="BL142" s="58"/>
      <c r="BM142" s="58"/>
      <c r="BN142" s="58"/>
      <c r="BO142" s="58"/>
      <c r="BP142" s="58"/>
      <c r="BQ142" s="58"/>
      <c r="BR142" s="58"/>
      <c r="BS142" s="58"/>
    </row>
    <row r="143" spans="1:71" ht="15.75" customHeight="1" x14ac:dyDescent="0.2">
      <c r="A143" s="87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7"/>
      <c r="P143" s="87"/>
      <c r="Q143" s="87"/>
      <c r="R143" s="87"/>
      <c r="S143" s="87"/>
      <c r="T143" s="87"/>
      <c r="U143" s="87"/>
      <c r="V143" s="88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92"/>
      <c r="AR143" s="92"/>
      <c r="AS143" s="92"/>
      <c r="AT143" s="92"/>
      <c r="AU143" s="92"/>
      <c r="AV143" s="92"/>
      <c r="AW143" s="92"/>
      <c r="AX143" s="92"/>
      <c r="AY143" s="92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8"/>
      <c r="BR143" s="58"/>
      <c r="BS143" s="58"/>
    </row>
    <row r="144" spans="1:71" ht="15.75" customHeight="1" x14ac:dyDescent="0.2">
      <c r="A144" s="87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7"/>
      <c r="P144" s="87"/>
      <c r="Q144" s="87"/>
      <c r="R144" s="87"/>
      <c r="S144" s="87"/>
      <c r="T144" s="87"/>
      <c r="U144" s="87"/>
      <c r="V144" s="88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92"/>
      <c r="AR144" s="92"/>
      <c r="AS144" s="92"/>
      <c r="AT144" s="92"/>
      <c r="AU144" s="92"/>
      <c r="AV144" s="92"/>
      <c r="AW144" s="92"/>
      <c r="AX144" s="92"/>
      <c r="AY144" s="92"/>
      <c r="AZ144" s="58"/>
      <c r="BA144" s="58"/>
      <c r="BB144" s="58"/>
      <c r="BC144" s="58"/>
      <c r="BD144" s="58"/>
      <c r="BE144" s="58"/>
      <c r="BF144" s="58"/>
      <c r="BG144" s="58"/>
      <c r="BH144" s="58"/>
      <c r="BI144" s="58"/>
      <c r="BJ144" s="58"/>
      <c r="BK144" s="58"/>
      <c r="BL144" s="58"/>
      <c r="BM144" s="58"/>
      <c r="BN144" s="58"/>
      <c r="BO144" s="58"/>
      <c r="BP144" s="58"/>
      <c r="BQ144" s="58"/>
      <c r="BR144" s="58"/>
      <c r="BS144" s="58"/>
    </row>
    <row r="145" spans="1:71" ht="15.75" customHeight="1" x14ac:dyDescent="0.2">
      <c r="A145" s="87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7"/>
      <c r="P145" s="87"/>
      <c r="Q145" s="87"/>
      <c r="R145" s="87"/>
      <c r="S145" s="87"/>
      <c r="T145" s="87"/>
      <c r="U145" s="87"/>
      <c r="V145" s="88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92"/>
      <c r="AR145" s="92"/>
      <c r="AS145" s="92"/>
      <c r="AT145" s="92"/>
      <c r="AU145" s="92"/>
      <c r="AV145" s="92"/>
      <c r="AW145" s="92"/>
      <c r="AX145" s="92"/>
      <c r="AY145" s="92"/>
      <c r="AZ145" s="58"/>
      <c r="BA145" s="58"/>
      <c r="BB145" s="58"/>
      <c r="BC145" s="58"/>
      <c r="BD145" s="58"/>
      <c r="BE145" s="58"/>
      <c r="BF145" s="58"/>
      <c r="BG145" s="58"/>
      <c r="BH145" s="58"/>
      <c r="BI145" s="58"/>
      <c r="BJ145" s="58"/>
      <c r="BK145" s="58"/>
      <c r="BL145" s="58"/>
      <c r="BM145" s="58"/>
      <c r="BN145" s="58"/>
      <c r="BO145" s="58"/>
      <c r="BP145" s="58"/>
      <c r="BQ145" s="58"/>
      <c r="BR145" s="58"/>
      <c r="BS145" s="58"/>
    </row>
    <row r="146" spans="1:71" ht="15.75" customHeight="1" x14ac:dyDescent="0.2">
      <c r="A146" s="87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7"/>
      <c r="P146" s="87"/>
      <c r="Q146" s="87"/>
      <c r="R146" s="87"/>
      <c r="S146" s="87"/>
      <c r="T146" s="87"/>
      <c r="U146" s="87"/>
      <c r="V146" s="88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92"/>
      <c r="AR146" s="92"/>
      <c r="AS146" s="92"/>
      <c r="AT146" s="92"/>
      <c r="AU146" s="92"/>
      <c r="AV146" s="92"/>
      <c r="AW146" s="92"/>
      <c r="AX146" s="92"/>
      <c r="AY146" s="92"/>
      <c r="AZ146" s="58"/>
      <c r="BA146" s="58"/>
      <c r="BB146" s="58"/>
      <c r="BC146" s="58"/>
      <c r="BD146" s="58"/>
      <c r="BE146" s="58"/>
      <c r="BF146" s="58"/>
      <c r="BG146" s="58"/>
      <c r="BH146" s="58"/>
      <c r="BI146" s="58"/>
      <c r="BJ146" s="58"/>
      <c r="BK146" s="58"/>
      <c r="BL146" s="58"/>
      <c r="BM146" s="58"/>
      <c r="BN146" s="58"/>
      <c r="BO146" s="58"/>
      <c r="BP146" s="58"/>
      <c r="BQ146" s="58"/>
      <c r="BR146" s="58"/>
      <c r="BS146" s="58"/>
    </row>
    <row r="147" spans="1:71" ht="15.75" customHeight="1" x14ac:dyDescent="0.2">
      <c r="A147" s="87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7"/>
      <c r="P147" s="87"/>
      <c r="Q147" s="87"/>
      <c r="R147" s="87"/>
      <c r="S147" s="87"/>
      <c r="T147" s="87"/>
      <c r="U147" s="87"/>
      <c r="V147" s="88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92"/>
      <c r="AR147" s="92"/>
      <c r="AS147" s="92"/>
      <c r="AT147" s="92"/>
      <c r="AU147" s="92"/>
      <c r="AV147" s="92"/>
      <c r="AW147" s="92"/>
      <c r="AX147" s="92"/>
      <c r="AY147" s="92"/>
      <c r="AZ147" s="58"/>
      <c r="BA147" s="58"/>
      <c r="BB147" s="58"/>
      <c r="BC147" s="58"/>
      <c r="BD147" s="58"/>
      <c r="BE147" s="58"/>
      <c r="BF147" s="58"/>
      <c r="BG147" s="58"/>
      <c r="BH147" s="58"/>
      <c r="BI147" s="58"/>
      <c r="BJ147" s="58"/>
      <c r="BK147" s="58"/>
      <c r="BL147" s="58"/>
      <c r="BM147" s="58"/>
      <c r="BN147" s="58"/>
      <c r="BO147" s="58"/>
      <c r="BP147" s="58"/>
      <c r="BQ147" s="58"/>
      <c r="BR147" s="58"/>
      <c r="BS147" s="58"/>
    </row>
    <row r="148" spans="1:71" ht="15.75" customHeight="1" x14ac:dyDescent="0.2">
      <c r="A148" s="87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7"/>
      <c r="P148" s="87"/>
      <c r="Q148" s="87"/>
      <c r="R148" s="87"/>
      <c r="S148" s="87"/>
      <c r="T148" s="87"/>
      <c r="U148" s="87"/>
      <c r="V148" s="88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92"/>
      <c r="AR148" s="92"/>
      <c r="AS148" s="92"/>
      <c r="AT148" s="92"/>
      <c r="AU148" s="92"/>
      <c r="AV148" s="92"/>
      <c r="AW148" s="92"/>
      <c r="AX148" s="92"/>
      <c r="AY148" s="92"/>
      <c r="AZ148" s="58"/>
      <c r="BA148" s="58"/>
      <c r="BB148" s="58"/>
      <c r="BC148" s="58"/>
      <c r="BD148" s="58"/>
      <c r="BE148" s="58"/>
      <c r="BF148" s="58"/>
      <c r="BG148" s="58"/>
      <c r="BH148" s="58"/>
      <c r="BI148" s="58"/>
      <c r="BJ148" s="58"/>
      <c r="BK148" s="58"/>
      <c r="BL148" s="58"/>
      <c r="BM148" s="58"/>
      <c r="BN148" s="58"/>
      <c r="BO148" s="58"/>
      <c r="BP148" s="58"/>
      <c r="BQ148" s="58"/>
      <c r="BR148" s="58"/>
      <c r="BS148" s="58"/>
    </row>
    <row r="149" spans="1:71" ht="15.75" customHeight="1" x14ac:dyDescent="0.2">
      <c r="A149" s="87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7"/>
      <c r="P149" s="87"/>
      <c r="Q149" s="87"/>
      <c r="R149" s="87"/>
      <c r="S149" s="87"/>
      <c r="T149" s="87"/>
      <c r="U149" s="87"/>
      <c r="V149" s="88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92"/>
      <c r="AR149" s="92"/>
      <c r="AS149" s="92"/>
      <c r="AT149" s="92"/>
      <c r="AU149" s="92"/>
      <c r="AV149" s="92"/>
      <c r="AW149" s="92"/>
      <c r="AX149" s="92"/>
      <c r="AY149" s="92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</row>
    <row r="150" spans="1:71" ht="15.75" customHeight="1" x14ac:dyDescent="0.2">
      <c r="A150" s="87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7"/>
      <c r="P150" s="87"/>
      <c r="Q150" s="87"/>
      <c r="R150" s="87"/>
      <c r="S150" s="87"/>
      <c r="T150" s="87"/>
      <c r="U150" s="87"/>
      <c r="V150" s="88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92"/>
      <c r="AR150" s="92"/>
      <c r="AS150" s="92"/>
      <c r="AT150" s="92"/>
      <c r="AU150" s="92"/>
      <c r="AV150" s="92"/>
      <c r="AW150" s="92"/>
      <c r="AX150" s="92"/>
      <c r="AY150" s="92"/>
      <c r="AZ150" s="58"/>
      <c r="BA150" s="58"/>
      <c r="BB150" s="58"/>
      <c r="BC150" s="58"/>
      <c r="BD150" s="58"/>
      <c r="BE150" s="58"/>
      <c r="BF150" s="58"/>
      <c r="BG150" s="58"/>
      <c r="BH150" s="58"/>
      <c r="BI150" s="58"/>
      <c r="BJ150" s="58"/>
      <c r="BK150" s="58"/>
      <c r="BL150" s="58"/>
      <c r="BM150" s="58"/>
      <c r="BN150" s="58"/>
      <c r="BO150" s="58"/>
      <c r="BP150" s="58"/>
      <c r="BQ150" s="58"/>
      <c r="BR150" s="58"/>
      <c r="BS150" s="58"/>
    </row>
    <row r="151" spans="1:71" ht="15.75" customHeight="1" x14ac:dyDescent="0.2">
      <c r="A151" s="87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7"/>
      <c r="P151" s="87"/>
      <c r="Q151" s="87"/>
      <c r="R151" s="87"/>
      <c r="S151" s="87"/>
      <c r="T151" s="87"/>
      <c r="U151" s="87"/>
      <c r="V151" s="88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92"/>
      <c r="AR151" s="92"/>
      <c r="AS151" s="92"/>
      <c r="AT151" s="92"/>
      <c r="AU151" s="92"/>
      <c r="AV151" s="92"/>
      <c r="AW151" s="92"/>
      <c r="AX151" s="92"/>
      <c r="AY151" s="92"/>
      <c r="AZ151" s="58"/>
      <c r="BA151" s="58"/>
      <c r="BB151" s="58"/>
      <c r="BC151" s="58"/>
      <c r="BD151" s="58"/>
      <c r="BE151" s="58"/>
      <c r="BF151" s="58"/>
      <c r="BG151" s="58"/>
      <c r="BH151" s="58"/>
      <c r="BI151" s="58"/>
      <c r="BJ151" s="58"/>
      <c r="BK151" s="58"/>
      <c r="BL151" s="58"/>
      <c r="BM151" s="58"/>
      <c r="BN151" s="58"/>
      <c r="BO151" s="58"/>
      <c r="BP151" s="58"/>
      <c r="BQ151" s="58"/>
      <c r="BR151" s="58"/>
      <c r="BS151" s="58"/>
    </row>
    <row r="152" spans="1:71" ht="15.75" customHeight="1" x14ac:dyDescent="0.2">
      <c r="A152" s="87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7"/>
      <c r="P152" s="87"/>
      <c r="Q152" s="87"/>
      <c r="R152" s="87"/>
      <c r="S152" s="87"/>
      <c r="T152" s="87"/>
      <c r="U152" s="87"/>
      <c r="V152" s="88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92"/>
      <c r="AR152" s="92"/>
      <c r="AS152" s="92"/>
      <c r="AT152" s="92"/>
      <c r="AU152" s="92"/>
      <c r="AV152" s="92"/>
      <c r="AW152" s="92"/>
      <c r="AX152" s="92"/>
      <c r="AY152" s="92"/>
      <c r="AZ152" s="58"/>
      <c r="BA152" s="58"/>
      <c r="BB152" s="58"/>
      <c r="BC152" s="58"/>
      <c r="BD152" s="58"/>
      <c r="BE152" s="58"/>
      <c r="BF152" s="58"/>
      <c r="BG152" s="58"/>
      <c r="BH152" s="58"/>
      <c r="BI152" s="58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</row>
    <row r="153" spans="1:71" ht="15.75" customHeight="1" x14ac:dyDescent="0.2">
      <c r="A153" s="87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7"/>
      <c r="P153" s="87"/>
      <c r="Q153" s="87"/>
      <c r="R153" s="87"/>
      <c r="S153" s="87"/>
      <c r="T153" s="87"/>
      <c r="U153" s="87"/>
      <c r="V153" s="88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92"/>
      <c r="AR153" s="92"/>
      <c r="AS153" s="92"/>
      <c r="AT153" s="92"/>
      <c r="AU153" s="92"/>
      <c r="AV153" s="92"/>
      <c r="AW153" s="92"/>
      <c r="AX153" s="92"/>
      <c r="AY153" s="92"/>
      <c r="AZ153" s="58"/>
      <c r="BA153" s="58"/>
      <c r="BB153" s="58"/>
      <c r="BC153" s="58"/>
      <c r="BD153" s="58"/>
      <c r="BE153" s="58"/>
      <c r="BF153" s="58"/>
      <c r="BG153" s="58"/>
      <c r="BH153" s="58"/>
      <c r="BI153" s="58"/>
      <c r="BJ153" s="58"/>
      <c r="BK153" s="58"/>
      <c r="BL153" s="58"/>
      <c r="BM153" s="58"/>
      <c r="BN153" s="58"/>
      <c r="BO153" s="58"/>
      <c r="BP153" s="58"/>
      <c r="BQ153" s="58"/>
      <c r="BR153" s="58"/>
      <c r="BS153" s="58"/>
    </row>
    <row r="154" spans="1:71" ht="15.75" customHeight="1" x14ac:dyDescent="0.2">
      <c r="A154" s="87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7"/>
      <c r="P154" s="87"/>
      <c r="Q154" s="87"/>
      <c r="R154" s="87"/>
      <c r="S154" s="87"/>
      <c r="T154" s="87"/>
      <c r="U154" s="87"/>
      <c r="V154" s="88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92"/>
      <c r="AR154" s="92"/>
      <c r="AS154" s="92"/>
      <c r="AT154" s="92"/>
      <c r="AU154" s="92"/>
      <c r="AV154" s="92"/>
      <c r="AW154" s="92"/>
      <c r="AX154" s="92"/>
      <c r="AY154" s="92"/>
      <c r="AZ154" s="58"/>
      <c r="BA154" s="58"/>
      <c r="BB154" s="58"/>
      <c r="BC154" s="58"/>
      <c r="BD154" s="58"/>
      <c r="BE154" s="58"/>
      <c r="BF154" s="58"/>
      <c r="BG154" s="58"/>
      <c r="BH154" s="58"/>
      <c r="BI154" s="58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</row>
    <row r="155" spans="1:71" ht="15.75" customHeight="1" x14ac:dyDescent="0.2">
      <c r="A155" s="87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7"/>
      <c r="P155" s="87"/>
      <c r="Q155" s="87"/>
      <c r="R155" s="87"/>
      <c r="S155" s="87"/>
      <c r="T155" s="87"/>
      <c r="U155" s="87"/>
      <c r="V155" s="88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92"/>
      <c r="AR155" s="92"/>
      <c r="AS155" s="92"/>
      <c r="AT155" s="92"/>
      <c r="AU155" s="92"/>
      <c r="AV155" s="92"/>
      <c r="AW155" s="92"/>
      <c r="AX155" s="92"/>
      <c r="AY155" s="92"/>
      <c r="AZ155" s="58"/>
      <c r="BA155" s="58"/>
      <c r="BB155" s="58"/>
      <c r="BC155" s="58"/>
      <c r="BD155" s="58"/>
      <c r="BE155" s="58"/>
      <c r="BF155" s="58"/>
      <c r="BG155" s="58"/>
      <c r="BH155" s="58"/>
      <c r="BI155" s="58"/>
      <c r="BJ155" s="58"/>
      <c r="BK155" s="58"/>
      <c r="BL155" s="58"/>
      <c r="BM155" s="58"/>
      <c r="BN155" s="58"/>
      <c r="BO155" s="58"/>
      <c r="BP155" s="58"/>
      <c r="BQ155" s="58"/>
      <c r="BR155" s="58"/>
      <c r="BS155" s="58"/>
    </row>
    <row r="156" spans="1:71" ht="15.75" customHeight="1" x14ac:dyDescent="0.2">
      <c r="A156" s="87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7"/>
      <c r="P156" s="87"/>
      <c r="Q156" s="87"/>
      <c r="R156" s="87"/>
      <c r="S156" s="87"/>
      <c r="T156" s="87"/>
      <c r="U156" s="87"/>
      <c r="V156" s="88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92"/>
      <c r="AR156" s="92"/>
      <c r="AS156" s="92"/>
      <c r="AT156" s="92"/>
      <c r="AU156" s="92"/>
      <c r="AV156" s="92"/>
      <c r="AW156" s="92"/>
      <c r="AX156" s="92"/>
      <c r="AY156" s="92"/>
      <c r="AZ156" s="58"/>
      <c r="BA156" s="58"/>
      <c r="BB156" s="58"/>
      <c r="BC156" s="58"/>
      <c r="BD156" s="58"/>
      <c r="BE156" s="58"/>
      <c r="BF156" s="58"/>
      <c r="BG156" s="58"/>
      <c r="BH156" s="58"/>
      <c r="BI156" s="58"/>
      <c r="BJ156" s="58"/>
      <c r="BK156" s="58"/>
      <c r="BL156" s="58"/>
      <c r="BM156" s="58"/>
      <c r="BN156" s="58"/>
      <c r="BO156" s="58"/>
      <c r="BP156" s="58"/>
      <c r="BQ156" s="58"/>
      <c r="BR156" s="58"/>
      <c r="BS156" s="58"/>
    </row>
    <row r="157" spans="1:71" ht="15.75" customHeight="1" x14ac:dyDescent="0.2">
      <c r="A157" s="87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7"/>
      <c r="P157" s="87"/>
      <c r="Q157" s="87"/>
      <c r="R157" s="87"/>
      <c r="S157" s="87"/>
      <c r="T157" s="87"/>
      <c r="U157" s="87"/>
      <c r="V157" s="88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92"/>
      <c r="AR157" s="92"/>
      <c r="AS157" s="92"/>
      <c r="AT157" s="92"/>
      <c r="AU157" s="92"/>
      <c r="AV157" s="92"/>
      <c r="AW157" s="92"/>
      <c r="AX157" s="92"/>
      <c r="AY157" s="92"/>
      <c r="AZ157" s="58"/>
      <c r="BA157" s="58"/>
      <c r="BB157" s="58"/>
      <c r="BC157" s="58"/>
      <c r="BD157" s="58"/>
      <c r="BE157" s="58"/>
      <c r="BF157" s="58"/>
      <c r="BG157" s="58"/>
      <c r="BH157" s="58"/>
      <c r="BI157" s="58"/>
      <c r="BJ157" s="58"/>
      <c r="BK157" s="58"/>
      <c r="BL157" s="58"/>
      <c r="BM157" s="58"/>
      <c r="BN157" s="58"/>
      <c r="BO157" s="58"/>
      <c r="BP157" s="58"/>
      <c r="BQ157" s="58"/>
      <c r="BR157" s="58"/>
      <c r="BS157" s="58"/>
    </row>
    <row r="158" spans="1:71" ht="15.75" customHeight="1" x14ac:dyDescent="0.2">
      <c r="A158" s="87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7"/>
      <c r="P158" s="87"/>
      <c r="Q158" s="87"/>
      <c r="R158" s="87"/>
      <c r="S158" s="87"/>
      <c r="T158" s="87"/>
      <c r="U158" s="87"/>
      <c r="V158" s="88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92"/>
      <c r="AR158" s="92"/>
      <c r="AS158" s="92"/>
      <c r="AT158" s="92"/>
      <c r="AU158" s="92"/>
      <c r="AV158" s="92"/>
      <c r="AW158" s="92"/>
      <c r="AX158" s="92"/>
      <c r="AY158" s="92"/>
      <c r="AZ158" s="58"/>
      <c r="BA158" s="58"/>
      <c r="BB158" s="58"/>
      <c r="BC158" s="58"/>
      <c r="BD158" s="58"/>
      <c r="BE158" s="58"/>
      <c r="BF158" s="58"/>
      <c r="BG158" s="58"/>
      <c r="BH158" s="58"/>
      <c r="BI158" s="58"/>
      <c r="BJ158" s="58"/>
      <c r="BK158" s="58"/>
      <c r="BL158" s="58"/>
      <c r="BM158" s="58"/>
      <c r="BN158" s="58"/>
      <c r="BO158" s="58"/>
      <c r="BP158" s="58"/>
      <c r="BQ158" s="58"/>
      <c r="BR158" s="58"/>
      <c r="BS158" s="58"/>
    </row>
    <row r="159" spans="1:71" ht="15.75" customHeight="1" x14ac:dyDescent="0.2">
      <c r="A159" s="87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7"/>
      <c r="P159" s="87"/>
      <c r="Q159" s="87"/>
      <c r="R159" s="87"/>
      <c r="S159" s="87"/>
      <c r="T159" s="87"/>
      <c r="U159" s="87"/>
      <c r="V159" s="88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92"/>
      <c r="AR159" s="92"/>
      <c r="AS159" s="92"/>
      <c r="AT159" s="92"/>
      <c r="AU159" s="92"/>
      <c r="AV159" s="92"/>
      <c r="AW159" s="92"/>
      <c r="AX159" s="92"/>
      <c r="AY159" s="92"/>
      <c r="AZ159" s="58"/>
      <c r="BA159" s="58"/>
      <c r="BB159" s="58"/>
      <c r="BC159" s="58"/>
      <c r="BD159" s="58"/>
      <c r="BE159" s="58"/>
      <c r="BF159" s="58"/>
      <c r="BG159" s="58"/>
      <c r="BH159" s="58"/>
      <c r="BI159" s="58"/>
      <c r="BJ159" s="58"/>
      <c r="BK159" s="58"/>
      <c r="BL159" s="58"/>
      <c r="BM159" s="58"/>
      <c r="BN159" s="58"/>
      <c r="BO159" s="58"/>
      <c r="BP159" s="58"/>
      <c r="BQ159" s="58"/>
      <c r="BR159" s="58"/>
      <c r="BS159" s="58"/>
    </row>
    <row r="160" spans="1:71" ht="15.75" customHeight="1" x14ac:dyDescent="0.2">
      <c r="A160" s="87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7"/>
      <c r="P160" s="87"/>
      <c r="Q160" s="87"/>
      <c r="R160" s="87"/>
      <c r="S160" s="87"/>
      <c r="T160" s="87"/>
      <c r="U160" s="87"/>
      <c r="V160" s="88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92"/>
      <c r="AR160" s="92"/>
      <c r="AS160" s="92"/>
      <c r="AT160" s="92"/>
      <c r="AU160" s="92"/>
      <c r="AV160" s="92"/>
      <c r="AW160" s="92"/>
      <c r="AX160" s="92"/>
      <c r="AY160" s="92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</row>
    <row r="161" spans="1:71" ht="15.75" customHeight="1" x14ac:dyDescent="0.2">
      <c r="A161" s="87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7"/>
      <c r="P161" s="87"/>
      <c r="Q161" s="87"/>
      <c r="R161" s="87"/>
      <c r="S161" s="87"/>
      <c r="T161" s="87"/>
      <c r="U161" s="87"/>
      <c r="V161" s="88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92"/>
      <c r="AR161" s="92"/>
      <c r="AS161" s="92"/>
      <c r="AT161" s="92"/>
      <c r="AU161" s="92"/>
      <c r="AV161" s="92"/>
      <c r="AW161" s="92"/>
      <c r="AX161" s="92"/>
      <c r="AY161" s="92"/>
      <c r="AZ161" s="58"/>
      <c r="BA161" s="58"/>
      <c r="BB161" s="58"/>
      <c r="BC161" s="58"/>
      <c r="BD161" s="58"/>
      <c r="BE161" s="58"/>
      <c r="BF161" s="58"/>
      <c r="BG161" s="58"/>
      <c r="BH161" s="58"/>
      <c r="BI161" s="58"/>
      <c r="BJ161" s="58"/>
      <c r="BK161" s="58"/>
      <c r="BL161" s="58"/>
      <c r="BM161" s="58"/>
      <c r="BN161" s="58"/>
      <c r="BO161" s="58"/>
      <c r="BP161" s="58"/>
      <c r="BQ161" s="58"/>
      <c r="BR161" s="58"/>
      <c r="BS161" s="58"/>
    </row>
    <row r="162" spans="1:71" ht="15.75" customHeight="1" x14ac:dyDescent="0.2">
      <c r="A162" s="87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7"/>
      <c r="P162" s="87"/>
      <c r="Q162" s="87"/>
      <c r="R162" s="87"/>
      <c r="S162" s="87"/>
      <c r="T162" s="87"/>
      <c r="U162" s="87"/>
      <c r="V162" s="88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  <c r="AQ162" s="92"/>
      <c r="AR162" s="92"/>
      <c r="AS162" s="92"/>
      <c r="AT162" s="92"/>
      <c r="AU162" s="92"/>
      <c r="AV162" s="92"/>
      <c r="AW162" s="92"/>
      <c r="AX162" s="92"/>
      <c r="AY162" s="92"/>
      <c r="AZ162" s="58"/>
      <c r="BA162" s="58"/>
      <c r="BB162" s="58"/>
      <c r="BC162" s="58"/>
      <c r="BD162" s="58"/>
      <c r="BE162" s="58"/>
      <c r="BF162" s="58"/>
      <c r="BG162" s="58"/>
      <c r="BH162" s="58"/>
      <c r="BI162" s="58"/>
      <c r="BJ162" s="58"/>
      <c r="BK162" s="58"/>
      <c r="BL162" s="58"/>
      <c r="BM162" s="58"/>
      <c r="BN162" s="58"/>
      <c r="BO162" s="58"/>
      <c r="BP162" s="58"/>
      <c r="BQ162" s="58"/>
      <c r="BR162" s="58"/>
      <c r="BS162" s="58"/>
    </row>
    <row r="163" spans="1:71" ht="15.75" customHeight="1" x14ac:dyDescent="0.2">
      <c r="A163" s="87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7"/>
      <c r="P163" s="87"/>
      <c r="Q163" s="87"/>
      <c r="R163" s="87"/>
      <c r="S163" s="87"/>
      <c r="T163" s="87"/>
      <c r="U163" s="87"/>
      <c r="V163" s="88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  <c r="AQ163" s="92"/>
      <c r="AR163" s="92"/>
      <c r="AS163" s="92"/>
      <c r="AT163" s="92"/>
      <c r="AU163" s="92"/>
      <c r="AV163" s="92"/>
      <c r="AW163" s="92"/>
      <c r="AX163" s="92"/>
      <c r="AY163" s="92"/>
      <c r="AZ163" s="58"/>
      <c r="BA163" s="58"/>
      <c r="BB163" s="58"/>
      <c r="BC163" s="58"/>
      <c r="BD163" s="58"/>
      <c r="BE163" s="58"/>
      <c r="BF163" s="58"/>
      <c r="BG163" s="58"/>
      <c r="BH163" s="58"/>
      <c r="BI163" s="58"/>
      <c r="BJ163" s="58"/>
      <c r="BK163" s="58"/>
      <c r="BL163" s="58"/>
      <c r="BM163" s="58"/>
      <c r="BN163" s="58"/>
      <c r="BO163" s="58"/>
      <c r="BP163" s="58"/>
      <c r="BQ163" s="58"/>
      <c r="BR163" s="58"/>
      <c r="BS163" s="58"/>
    </row>
    <row r="164" spans="1:71" ht="15.75" customHeight="1" x14ac:dyDescent="0.2">
      <c r="A164" s="87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7"/>
      <c r="P164" s="87"/>
      <c r="Q164" s="87"/>
      <c r="R164" s="87"/>
      <c r="S164" s="87"/>
      <c r="T164" s="87"/>
      <c r="U164" s="87"/>
      <c r="V164" s="88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  <c r="AQ164" s="92"/>
      <c r="AR164" s="92"/>
      <c r="AS164" s="92"/>
      <c r="AT164" s="92"/>
      <c r="AU164" s="92"/>
      <c r="AV164" s="92"/>
      <c r="AW164" s="92"/>
      <c r="AX164" s="92"/>
      <c r="AY164" s="92"/>
      <c r="AZ164" s="58"/>
      <c r="BA164" s="58"/>
      <c r="BB164" s="58"/>
      <c r="BC164" s="58"/>
      <c r="BD164" s="58"/>
      <c r="BE164" s="58"/>
      <c r="BF164" s="58"/>
      <c r="BG164" s="58"/>
      <c r="BH164" s="58"/>
      <c r="BI164" s="58"/>
      <c r="BJ164" s="58"/>
      <c r="BK164" s="58"/>
      <c r="BL164" s="58"/>
      <c r="BM164" s="58"/>
      <c r="BN164" s="58"/>
      <c r="BO164" s="58"/>
      <c r="BP164" s="58"/>
      <c r="BQ164" s="58"/>
      <c r="BR164" s="58"/>
      <c r="BS164" s="58"/>
    </row>
    <row r="165" spans="1:71" ht="15.75" customHeight="1" x14ac:dyDescent="0.2">
      <c r="A165" s="87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7"/>
      <c r="P165" s="87"/>
      <c r="Q165" s="87"/>
      <c r="R165" s="87"/>
      <c r="S165" s="87"/>
      <c r="T165" s="87"/>
      <c r="U165" s="87"/>
      <c r="V165" s="88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  <c r="AQ165" s="92"/>
      <c r="AR165" s="92"/>
      <c r="AS165" s="92"/>
      <c r="AT165" s="92"/>
      <c r="AU165" s="92"/>
      <c r="AV165" s="92"/>
      <c r="AW165" s="92"/>
      <c r="AX165" s="92"/>
      <c r="AY165" s="92"/>
      <c r="AZ165" s="58"/>
      <c r="BA165" s="58"/>
      <c r="BB165" s="58"/>
      <c r="BC165" s="58"/>
      <c r="BD165" s="58"/>
      <c r="BE165" s="58"/>
      <c r="BF165" s="58"/>
      <c r="BG165" s="58"/>
      <c r="BH165" s="58"/>
      <c r="BI165" s="58"/>
      <c r="BJ165" s="58"/>
      <c r="BK165" s="58"/>
      <c r="BL165" s="58"/>
      <c r="BM165" s="58"/>
      <c r="BN165" s="58"/>
      <c r="BO165" s="58"/>
      <c r="BP165" s="58"/>
      <c r="BQ165" s="58"/>
      <c r="BR165" s="58"/>
      <c r="BS165" s="58"/>
    </row>
    <row r="166" spans="1:71" ht="15.75" customHeight="1" x14ac:dyDescent="0.2">
      <c r="A166" s="87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7"/>
      <c r="P166" s="87"/>
      <c r="Q166" s="87"/>
      <c r="R166" s="87"/>
      <c r="S166" s="87"/>
      <c r="T166" s="87"/>
      <c r="U166" s="87"/>
      <c r="V166" s="88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  <c r="AQ166" s="92"/>
      <c r="AR166" s="92"/>
      <c r="AS166" s="92"/>
      <c r="AT166" s="92"/>
      <c r="AU166" s="92"/>
      <c r="AV166" s="92"/>
      <c r="AW166" s="92"/>
      <c r="AX166" s="92"/>
      <c r="AY166" s="92"/>
      <c r="AZ166" s="58"/>
      <c r="BA166" s="58"/>
      <c r="BB166" s="58"/>
      <c r="BC166" s="58"/>
      <c r="BD166" s="58"/>
      <c r="BE166" s="58"/>
      <c r="BF166" s="58"/>
      <c r="BG166" s="58"/>
      <c r="BH166" s="58"/>
      <c r="BI166" s="58"/>
      <c r="BJ166" s="58"/>
      <c r="BK166" s="58"/>
      <c r="BL166" s="58"/>
      <c r="BM166" s="58"/>
      <c r="BN166" s="58"/>
      <c r="BO166" s="58"/>
      <c r="BP166" s="58"/>
      <c r="BQ166" s="58"/>
      <c r="BR166" s="58"/>
      <c r="BS166" s="58"/>
    </row>
    <row r="167" spans="1:71" ht="15.75" customHeight="1" x14ac:dyDescent="0.2">
      <c r="A167" s="87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7"/>
      <c r="P167" s="87"/>
      <c r="Q167" s="87"/>
      <c r="R167" s="87"/>
      <c r="S167" s="87"/>
      <c r="T167" s="87"/>
      <c r="U167" s="87"/>
      <c r="V167" s="88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  <c r="AQ167" s="92"/>
      <c r="AR167" s="92"/>
      <c r="AS167" s="92"/>
      <c r="AT167" s="92"/>
      <c r="AU167" s="92"/>
      <c r="AV167" s="92"/>
      <c r="AW167" s="92"/>
      <c r="AX167" s="92"/>
      <c r="AY167" s="92"/>
      <c r="AZ167" s="58"/>
      <c r="BA167" s="58"/>
      <c r="BB167" s="58"/>
      <c r="BC167" s="58"/>
      <c r="BD167" s="58"/>
      <c r="BE167" s="58"/>
      <c r="BF167" s="58"/>
      <c r="BG167" s="58"/>
      <c r="BH167" s="58"/>
      <c r="BI167" s="58"/>
      <c r="BJ167" s="58"/>
      <c r="BK167" s="58"/>
      <c r="BL167" s="58"/>
      <c r="BM167" s="58"/>
      <c r="BN167" s="58"/>
      <c r="BO167" s="58"/>
      <c r="BP167" s="58"/>
      <c r="BQ167" s="58"/>
      <c r="BR167" s="58"/>
      <c r="BS167" s="58"/>
    </row>
    <row r="168" spans="1:71" ht="15.75" customHeight="1" x14ac:dyDescent="0.2">
      <c r="A168" s="87"/>
      <c r="B168" s="86"/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86"/>
      <c r="N168" s="86"/>
      <c r="O168" s="87"/>
      <c r="P168" s="87"/>
      <c r="Q168" s="87"/>
      <c r="R168" s="87"/>
      <c r="S168" s="87"/>
      <c r="T168" s="87"/>
      <c r="U168" s="87"/>
      <c r="V168" s="88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  <c r="AQ168" s="92"/>
      <c r="AR168" s="92"/>
      <c r="AS168" s="92"/>
      <c r="AT168" s="92"/>
      <c r="AU168" s="92"/>
      <c r="AV168" s="92"/>
      <c r="AW168" s="92"/>
      <c r="AX168" s="92"/>
      <c r="AY168" s="92"/>
      <c r="AZ168" s="58"/>
      <c r="BA168" s="58"/>
      <c r="BB168" s="58"/>
      <c r="BC168" s="58"/>
      <c r="BD168" s="58"/>
      <c r="BE168" s="58"/>
      <c r="BF168" s="58"/>
      <c r="BG168" s="58"/>
      <c r="BH168" s="58"/>
      <c r="BI168" s="58"/>
      <c r="BJ168" s="58"/>
      <c r="BK168" s="58"/>
      <c r="BL168" s="58"/>
      <c r="BM168" s="58"/>
      <c r="BN168" s="58"/>
      <c r="BO168" s="58"/>
      <c r="BP168" s="58"/>
      <c r="BQ168" s="58"/>
      <c r="BR168" s="58"/>
      <c r="BS168" s="58"/>
    </row>
    <row r="169" spans="1:71" ht="15.75" customHeight="1" x14ac:dyDescent="0.2">
      <c r="A169" s="87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  <c r="N169" s="86"/>
      <c r="O169" s="87"/>
      <c r="P169" s="87"/>
      <c r="Q169" s="87"/>
      <c r="R169" s="87"/>
      <c r="S169" s="87"/>
      <c r="T169" s="87"/>
      <c r="U169" s="87"/>
      <c r="V169" s="88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  <c r="AQ169" s="92"/>
      <c r="AR169" s="92"/>
      <c r="AS169" s="92"/>
      <c r="AT169" s="92"/>
      <c r="AU169" s="92"/>
      <c r="AV169" s="92"/>
      <c r="AW169" s="92"/>
      <c r="AX169" s="92"/>
      <c r="AY169" s="92"/>
      <c r="AZ169" s="58"/>
      <c r="BA169" s="58"/>
      <c r="BB169" s="58"/>
      <c r="BC169" s="58"/>
      <c r="BD169" s="58"/>
      <c r="BE169" s="58"/>
      <c r="BF169" s="58"/>
      <c r="BG169" s="58"/>
      <c r="BH169" s="58"/>
      <c r="BI169" s="58"/>
      <c r="BJ169" s="58"/>
      <c r="BK169" s="58"/>
      <c r="BL169" s="58"/>
      <c r="BM169" s="58"/>
      <c r="BN169" s="58"/>
      <c r="BO169" s="58"/>
      <c r="BP169" s="58"/>
      <c r="BQ169" s="58"/>
      <c r="BR169" s="58"/>
      <c r="BS169" s="58"/>
    </row>
    <row r="170" spans="1:71" ht="15.75" customHeight="1" x14ac:dyDescent="0.2">
      <c r="A170" s="87"/>
      <c r="B170" s="86"/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86"/>
      <c r="N170" s="86"/>
      <c r="O170" s="87"/>
      <c r="P170" s="87"/>
      <c r="Q170" s="87"/>
      <c r="R170" s="87"/>
      <c r="S170" s="87"/>
      <c r="T170" s="87"/>
      <c r="U170" s="87"/>
      <c r="V170" s="88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  <c r="AQ170" s="92"/>
      <c r="AR170" s="92"/>
      <c r="AS170" s="92"/>
      <c r="AT170" s="92"/>
      <c r="AU170" s="92"/>
      <c r="AV170" s="92"/>
      <c r="AW170" s="92"/>
      <c r="AX170" s="92"/>
      <c r="AY170" s="92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</row>
    <row r="171" spans="1:71" ht="15.75" customHeight="1" x14ac:dyDescent="0.2">
      <c r="A171" s="87"/>
      <c r="B171" s="86"/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86"/>
      <c r="N171" s="86"/>
      <c r="O171" s="87"/>
      <c r="P171" s="87"/>
      <c r="Q171" s="87"/>
      <c r="R171" s="87"/>
      <c r="S171" s="87"/>
      <c r="T171" s="87"/>
      <c r="U171" s="87"/>
      <c r="V171" s="88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  <c r="AQ171" s="92"/>
      <c r="AR171" s="92"/>
      <c r="AS171" s="92"/>
      <c r="AT171" s="92"/>
      <c r="AU171" s="92"/>
      <c r="AV171" s="92"/>
      <c r="AW171" s="92"/>
      <c r="AX171" s="92"/>
      <c r="AY171" s="92"/>
      <c r="AZ171" s="58"/>
      <c r="BA171" s="58"/>
      <c r="BB171" s="58"/>
      <c r="BC171" s="58"/>
      <c r="BD171" s="58"/>
      <c r="BE171" s="58"/>
      <c r="BF171" s="58"/>
      <c r="BG171" s="58"/>
      <c r="BH171" s="58"/>
      <c r="BI171" s="58"/>
      <c r="BJ171" s="58"/>
      <c r="BK171" s="58"/>
      <c r="BL171" s="58"/>
      <c r="BM171" s="58"/>
      <c r="BN171" s="58"/>
      <c r="BO171" s="58"/>
      <c r="BP171" s="58"/>
      <c r="BQ171" s="58"/>
      <c r="BR171" s="58"/>
      <c r="BS171" s="58"/>
    </row>
    <row r="172" spans="1:71" ht="15.75" customHeight="1" x14ac:dyDescent="0.2">
      <c r="A172" s="87"/>
      <c r="B172" s="86"/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86"/>
      <c r="N172" s="86"/>
      <c r="O172" s="87"/>
      <c r="P172" s="87"/>
      <c r="Q172" s="87"/>
      <c r="R172" s="87"/>
      <c r="S172" s="87"/>
      <c r="T172" s="87"/>
      <c r="U172" s="87"/>
      <c r="V172" s="88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  <c r="AQ172" s="92"/>
      <c r="AR172" s="92"/>
      <c r="AS172" s="92"/>
      <c r="AT172" s="92"/>
      <c r="AU172" s="92"/>
      <c r="AV172" s="92"/>
      <c r="AW172" s="92"/>
      <c r="AX172" s="92"/>
      <c r="AY172" s="92"/>
      <c r="AZ172" s="58"/>
      <c r="BA172" s="58"/>
      <c r="BB172" s="58"/>
      <c r="BC172" s="58"/>
      <c r="BD172" s="58"/>
      <c r="BE172" s="58"/>
      <c r="BF172" s="58"/>
      <c r="BG172" s="58"/>
      <c r="BH172" s="58"/>
      <c r="BI172" s="58"/>
      <c r="BJ172" s="58"/>
      <c r="BK172" s="58"/>
      <c r="BL172" s="58"/>
      <c r="BM172" s="58"/>
      <c r="BN172" s="58"/>
      <c r="BO172" s="58"/>
      <c r="BP172" s="58"/>
      <c r="BQ172" s="58"/>
      <c r="BR172" s="58"/>
      <c r="BS172" s="58"/>
    </row>
    <row r="173" spans="1:71" ht="15.75" customHeight="1" x14ac:dyDescent="0.2">
      <c r="A173" s="87"/>
      <c r="B173" s="86"/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86"/>
      <c r="N173" s="86"/>
      <c r="O173" s="87"/>
      <c r="P173" s="87"/>
      <c r="Q173" s="87"/>
      <c r="R173" s="87"/>
      <c r="S173" s="87"/>
      <c r="T173" s="87"/>
      <c r="U173" s="87"/>
      <c r="V173" s="88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  <c r="AQ173" s="92"/>
      <c r="AR173" s="92"/>
      <c r="AS173" s="92"/>
      <c r="AT173" s="92"/>
      <c r="AU173" s="92"/>
      <c r="AV173" s="92"/>
      <c r="AW173" s="92"/>
      <c r="AX173" s="92"/>
      <c r="AY173" s="92"/>
      <c r="AZ173" s="58"/>
      <c r="BA173" s="58"/>
      <c r="BB173" s="58"/>
      <c r="BC173" s="58"/>
      <c r="BD173" s="58"/>
      <c r="BE173" s="58"/>
      <c r="BF173" s="58"/>
      <c r="BG173" s="58"/>
      <c r="BH173" s="58"/>
      <c r="BI173" s="58"/>
      <c r="BJ173" s="58"/>
      <c r="BK173" s="58"/>
      <c r="BL173" s="58"/>
      <c r="BM173" s="58"/>
      <c r="BN173" s="58"/>
      <c r="BO173" s="58"/>
      <c r="BP173" s="58"/>
      <c r="BQ173" s="58"/>
      <c r="BR173" s="58"/>
      <c r="BS173" s="58"/>
    </row>
    <row r="174" spans="1:71" ht="15.75" customHeight="1" x14ac:dyDescent="0.2">
      <c r="A174" s="87"/>
      <c r="B174" s="86"/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86"/>
      <c r="N174" s="86"/>
      <c r="O174" s="87"/>
      <c r="P174" s="87"/>
      <c r="Q174" s="87"/>
      <c r="R174" s="87"/>
      <c r="S174" s="87"/>
      <c r="T174" s="87"/>
      <c r="U174" s="87"/>
      <c r="V174" s="88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  <c r="AQ174" s="92"/>
      <c r="AR174" s="92"/>
      <c r="AS174" s="92"/>
      <c r="AT174" s="92"/>
      <c r="AU174" s="92"/>
      <c r="AV174" s="92"/>
      <c r="AW174" s="92"/>
      <c r="AX174" s="92"/>
      <c r="AY174" s="92"/>
      <c r="AZ174" s="58"/>
      <c r="BA174" s="58"/>
      <c r="BB174" s="58"/>
      <c r="BC174" s="58"/>
      <c r="BD174" s="58"/>
      <c r="BE174" s="58"/>
      <c r="BF174" s="58"/>
      <c r="BG174" s="58"/>
      <c r="BH174" s="58"/>
      <c r="BI174" s="58"/>
      <c r="BJ174" s="58"/>
      <c r="BK174" s="58"/>
      <c r="BL174" s="58"/>
      <c r="BM174" s="58"/>
      <c r="BN174" s="58"/>
      <c r="BO174" s="58"/>
      <c r="BP174" s="58"/>
      <c r="BQ174" s="58"/>
      <c r="BR174" s="58"/>
      <c r="BS174" s="58"/>
    </row>
    <row r="175" spans="1:71" ht="15.75" customHeight="1" x14ac:dyDescent="0.2">
      <c r="A175" s="87"/>
      <c r="B175" s="86"/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7"/>
      <c r="P175" s="87"/>
      <c r="Q175" s="87"/>
      <c r="R175" s="87"/>
      <c r="S175" s="87"/>
      <c r="T175" s="87"/>
      <c r="U175" s="87"/>
      <c r="V175" s="88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92"/>
      <c r="AR175" s="92"/>
      <c r="AS175" s="92"/>
      <c r="AT175" s="92"/>
      <c r="AU175" s="92"/>
      <c r="AV175" s="92"/>
      <c r="AW175" s="92"/>
      <c r="AX175" s="92"/>
      <c r="AY175" s="92"/>
      <c r="AZ175" s="58"/>
      <c r="BA175" s="58"/>
      <c r="BB175" s="58"/>
      <c r="BC175" s="58"/>
      <c r="BD175" s="58"/>
      <c r="BE175" s="58"/>
      <c r="BF175" s="58"/>
      <c r="BG175" s="58"/>
      <c r="BH175" s="58"/>
      <c r="BI175" s="58"/>
      <c r="BJ175" s="58"/>
      <c r="BK175" s="58"/>
      <c r="BL175" s="58"/>
      <c r="BM175" s="58"/>
      <c r="BN175" s="58"/>
      <c r="BO175" s="58"/>
      <c r="BP175" s="58"/>
      <c r="BQ175" s="58"/>
      <c r="BR175" s="58"/>
      <c r="BS175" s="58"/>
    </row>
    <row r="176" spans="1:71" ht="15.75" customHeight="1" x14ac:dyDescent="0.2">
      <c r="A176" s="87"/>
      <c r="B176" s="86"/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86"/>
      <c r="N176" s="86"/>
      <c r="O176" s="87"/>
      <c r="P176" s="87"/>
      <c r="Q176" s="87"/>
      <c r="R176" s="87"/>
      <c r="S176" s="87"/>
      <c r="T176" s="87"/>
      <c r="U176" s="87"/>
      <c r="V176" s="88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  <c r="AQ176" s="92"/>
      <c r="AR176" s="92"/>
      <c r="AS176" s="92"/>
      <c r="AT176" s="92"/>
      <c r="AU176" s="92"/>
      <c r="AV176" s="92"/>
      <c r="AW176" s="92"/>
      <c r="AX176" s="92"/>
      <c r="AY176" s="92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</row>
    <row r="177" spans="1:71" ht="15.75" customHeight="1" x14ac:dyDescent="0.2">
      <c r="A177" s="87"/>
      <c r="B177" s="86"/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86"/>
      <c r="N177" s="86"/>
      <c r="O177" s="87"/>
      <c r="P177" s="87"/>
      <c r="Q177" s="87"/>
      <c r="R177" s="87"/>
      <c r="S177" s="87"/>
      <c r="T177" s="87"/>
      <c r="U177" s="87"/>
      <c r="V177" s="88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  <c r="AQ177" s="92"/>
      <c r="AR177" s="92"/>
      <c r="AS177" s="92"/>
      <c r="AT177" s="92"/>
      <c r="AU177" s="92"/>
      <c r="AV177" s="92"/>
      <c r="AW177" s="92"/>
      <c r="AX177" s="92"/>
      <c r="AY177" s="92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</row>
    <row r="178" spans="1:71" ht="15.75" customHeight="1" x14ac:dyDescent="0.2">
      <c r="A178" s="87"/>
      <c r="B178" s="86"/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86"/>
      <c r="N178" s="86"/>
      <c r="O178" s="87"/>
      <c r="P178" s="87"/>
      <c r="Q178" s="87"/>
      <c r="R178" s="87"/>
      <c r="S178" s="87"/>
      <c r="T178" s="87"/>
      <c r="U178" s="87"/>
      <c r="V178" s="88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  <c r="AQ178" s="92"/>
      <c r="AR178" s="92"/>
      <c r="AS178" s="92"/>
      <c r="AT178" s="92"/>
      <c r="AU178" s="92"/>
      <c r="AV178" s="92"/>
      <c r="AW178" s="92"/>
      <c r="AX178" s="92"/>
      <c r="AY178" s="92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</row>
    <row r="179" spans="1:71" ht="15.75" customHeight="1" x14ac:dyDescent="0.2">
      <c r="A179" s="87"/>
      <c r="B179" s="86"/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86"/>
      <c r="N179" s="86"/>
      <c r="O179" s="87"/>
      <c r="P179" s="87"/>
      <c r="Q179" s="87"/>
      <c r="R179" s="87"/>
      <c r="S179" s="87"/>
      <c r="T179" s="87"/>
      <c r="U179" s="87"/>
      <c r="V179" s="88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  <c r="AQ179" s="92"/>
      <c r="AR179" s="92"/>
      <c r="AS179" s="92"/>
      <c r="AT179" s="92"/>
      <c r="AU179" s="92"/>
      <c r="AV179" s="92"/>
      <c r="AW179" s="92"/>
      <c r="AX179" s="92"/>
      <c r="AY179" s="92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</row>
    <row r="180" spans="1:71" ht="15.75" customHeight="1" x14ac:dyDescent="0.2">
      <c r="A180" s="87"/>
      <c r="B180" s="86"/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86"/>
      <c r="N180" s="86"/>
      <c r="O180" s="87"/>
      <c r="P180" s="87"/>
      <c r="Q180" s="87"/>
      <c r="R180" s="87"/>
      <c r="S180" s="87"/>
      <c r="T180" s="87"/>
      <c r="U180" s="87"/>
      <c r="V180" s="88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  <c r="AQ180" s="92"/>
      <c r="AR180" s="92"/>
      <c r="AS180" s="92"/>
      <c r="AT180" s="92"/>
      <c r="AU180" s="92"/>
      <c r="AV180" s="92"/>
      <c r="AW180" s="92"/>
      <c r="AX180" s="92"/>
      <c r="AY180" s="92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</row>
    <row r="181" spans="1:71" ht="15.75" customHeight="1" x14ac:dyDescent="0.2">
      <c r="A181" s="87"/>
      <c r="B181" s="86"/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86"/>
      <c r="N181" s="86"/>
      <c r="O181" s="87"/>
      <c r="P181" s="87"/>
      <c r="Q181" s="87"/>
      <c r="R181" s="87"/>
      <c r="S181" s="87"/>
      <c r="T181" s="87"/>
      <c r="U181" s="87"/>
      <c r="V181" s="88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  <c r="AQ181" s="92"/>
      <c r="AR181" s="92"/>
      <c r="AS181" s="92"/>
      <c r="AT181" s="92"/>
      <c r="AU181" s="92"/>
      <c r="AV181" s="92"/>
      <c r="AW181" s="92"/>
      <c r="AX181" s="92"/>
      <c r="AY181" s="92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</row>
    <row r="182" spans="1:71" ht="15.75" customHeight="1" x14ac:dyDescent="0.2">
      <c r="A182" s="87"/>
      <c r="B182" s="86"/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86"/>
      <c r="N182" s="86"/>
      <c r="O182" s="87"/>
      <c r="P182" s="87"/>
      <c r="Q182" s="87"/>
      <c r="R182" s="87"/>
      <c r="S182" s="87"/>
      <c r="T182" s="87"/>
      <c r="U182" s="87"/>
      <c r="V182" s="88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  <c r="AQ182" s="92"/>
      <c r="AR182" s="92"/>
      <c r="AS182" s="92"/>
      <c r="AT182" s="92"/>
      <c r="AU182" s="92"/>
      <c r="AV182" s="92"/>
      <c r="AW182" s="92"/>
      <c r="AX182" s="92"/>
      <c r="AY182" s="92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</row>
    <row r="183" spans="1:71" ht="15.75" customHeight="1" x14ac:dyDescent="0.2">
      <c r="A183" s="87"/>
      <c r="B183" s="86"/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86"/>
      <c r="N183" s="86"/>
      <c r="O183" s="87"/>
      <c r="P183" s="87"/>
      <c r="Q183" s="87"/>
      <c r="R183" s="87"/>
      <c r="S183" s="87"/>
      <c r="T183" s="87"/>
      <c r="U183" s="87"/>
      <c r="V183" s="88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  <c r="AQ183" s="92"/>
      <c r="AR183" s="92"/>
      <c r="AS183" s="92"/>
      <c r="AT183" s="92"/>
      <c r="AU183" s="92"/>
      <c r="AV183" s="92"/>
      <c r="AW183" s="92"/>
      <c r="AX183" s="92"/>
      <c r="AY183" s="92"/>
      <c r="AZ183" s="58"/>
      <c r="BA183" s="58"/>
      <c r="BB183" s="58"/>
      <c r="BC183" s="58"/>
      <c r="BD183" s="58"/>
      <c r="BE183" s="58"/>
      <c r="BF183" s="58"/>
      <c r="BG183" s="58"/>
      <c r="BH183" s="58"/>
      <c r="BI183" s="58"/>
      <c r="BJ183" s="58"/>
      <c r="BK183" s="58"/>
      <c r="BL183" s="58"/>
      <c r="BM183" s="58"/>
      <c r="BN183" s="58"/>
      <c r="BO183" s="58"/>
      <c r="BP183" s="58"/>
      <c r="BQ183" s="58"/>
      <c r="BR183" s="58"/>
      <c r="BS183" s="58"/>
    </row>
    <row r="184" spans="1:71" ht="15.75" customHeight="1" x14ac:dyDescent="0.2">
      <c r="A184" s="87"/>
      <c r="B184" s="86"/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86"/>
      <c r="N184" s="86"/>
      <c r="O184" s="87"/>
      <c r="P184" s="87"/>
      <c r="Q184" s="87"/>
      <c r="R184" s="87"/>
      <c r="S184" s="87"/>
      <c r="T184" s="87"/>
      <c r="U184" s="87"/>
      <c r="V184" s="88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  <c r="AQ184" s="92"/>
      <c r="AR184" s="92"/>
      <c r="AS184" s="92"/>
      <c r="AT184" s="92"/>
      <c r="AU184" s="92"/>
      <c r="AV184" s="92"/>
      <c r="AW184" s="92"/>
      <c r="AX184" s="92"/>
      <c r="AY184" s="92"/>
      <c r="AZ184" s="58"/>
      <c r="BA184" s="58"/>
      <c r="BB184" s="58"/>
      <c r="BC184" s="58"/>
      <c r="BD184" s="58"/>
      <c r="BE184" s="58"/>
      <c r="BF184" s="58"/>
      <c r="BG184" s="58"/>
      <c r="BH184" s="58"/>
      <c r="BI184" s="58"/>
      <c r="BJ184" s="58"/>
      <c r="BK184" s="58"/>
      <c r="BL184" s="58"/>
      <c r="BM184" s="58"/>
      <c r="BN184" s="58"/>
      <c r="BO184" s="58"/>
      <c r="BP184" s="58"/>
      <c r="BQ184" s="58"/>
      <c r="BR184" s="58"/>
      <c r="BS184" s="58"/>
    </row>
    <row r="185" spans="1:71" ht="15.75" customHeight="1" x14ac:dyDescent="0.2">
      <c r="A185" s="87"/>
      <c r="B185" s="86"/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86"/>
      <c r="N185" s="86"/>
      <c r="O185" s="87"/>
      <c r="P185" s="87"/>
      <c r="Q185" s="87"/>
      <c r="R185" s="87"/>
      <c r="S185" s="87"/>
      <c r="T185" s="87"/>
      <c r="U185" s="87"/>
      <c r="V185" s="88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  <c r="AQ185" s="92"/>
      <c r="AR185" s="92"/>
      <c r="AS185" s="92"/>
      <c r="AT185" s="92"/>
      <c r="AU185" s="92"/>
      <c r="AV185" s="92"/>
      <c r="AW185" s="92"/>
      <c r="AX185" s="92"/>
      <c r="AY185" s="92"/>
      <c r="AZ185" s="58"/>
      <c r="BA185" s="58"/>
      <c r="BB185" s="58"/>
      <c r="BC185" s="58"/>
      <c r="BD185" s="58"/>
      <c r="BE185" s="58"/>
      <c r="BF185" s="58"/>
      <c r="BG185" s="58"/>
      <c r="BH185" s="58"/>
      <c r="BI185" s="58"/>
      <c r="BJ185" s="58"/>
      <c r="BK185" s="58"/>
      <c r="BL185" s="58"/>
      <c r="BM185" s="58"/>
      <c r="BN185" s="58"/>
      <c r="BO185" s="58"/>
      <c r="BP185" s="58"/>
      <c r="BQ185" s="58"/>
      <c r="BR185" s="58"/>
      <c r="BS185" s="58"/>
    </row>
    <row r="186" spans="1:71" ht="15.75" customHeight="1" x14ac:dyDescent="0.2">
      <c r="A186" s="87"/>
      <c r="B186" s="86"/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86"/>
      <c r="N186" s="86"/>
      <c r="O186" s="87"/>
      <c r="P186" s="87"/>
      <c r="Q186" s="87"/>
      <c r="R186" s="87"/>
      <c r="S186" s="87"/>
      <c r="T186" s="87"/>
      <c r="U186" s="87"/>
      <c r="V186" s="88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  <c r="AQ186" s="92"/>
      <c r="AR186" s="92"/>
      <c r="AS186" s="92"/>
      <c r="AT186" s="92"/>
      <c r="AU186" s="92"/>
      <c r="AV186" s="92"/>
      <c r="AW186" s="92"/>
      <c r="AX186" s="92"/>
      <c r="AY186" s="92"/>
      <c r="AZ186" s="58"/>
      <c r="BA186" s="58"/>
      <c r="BB186" s="58"/>
      <c r="BC186" s="58"/>
      <c r="BD186" s="58"/>
      <c r="BE186" s="58"/>
      <c r="BF186" s="58"/>
      <c r="BG186" s="58"/>
      <c r="BH186" s="58"/>
      <c r="BI186" s="58"/>
      <c r="BJ186" s="58"/>
      <c r="BK186" s="58"/>
      <c r="BL186" s="58"/>
      <c r="BM186" s="58"/>
      <c r="BN186" s="58"/>
      <c r="BO186" s="58"/>
      <c r="BP186" s="58"/>
      <c r="BQ186" s="58"/>
      <c r="BR186" s="58"/>
      <c r="BS186" s="58"/>
    </row>
    <row r="187" spans="1:71" ht="15.75" customHeight="1" x14ac:dyDescent="0.2">
      <c r="A187" s="87"/>
      <c r="B187" s="86"/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86"/>
      <c r="N187" s="86"/>
      <c r="O187" s="87"/>
      <c r="P187" s="87"/>
      <c r="Q187" s="87"/>
      <c r="R187" s="87"/>
      <c r="S187" s="87"/>
      <c r="T187" s="87"/>
      <c r="U187" s="87"/>
      <c r="V187" s="88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  <c r="AQ187" s="92"/>
      <c r="AR187" s="92"/>
      <c r="AS187" s="92"/>
      <c r="AT187" s="92"/>
      <c r="AU187" s="92"/>
      <c r="AV187" s="92"/>
      <c r="AW187" s="92"/>
      <c r="AX187" s="92"/>
      <c r="AY187" s="92"/>
      <c r="AZ187" s="58"/>
      <c r="BA187" s="58"/>
      <c r="BB187" s="58"/>
      <c r="BC187" s="58"/>
      <c r="BD187" s="58"/>
      <c r="BE187" s="58"/>
      <c r="BF187" s="58"/>
      <c r="BG187" s="58"/>
      <c r="BH187" s="58"/>
      <c r="BI187" s="58"/>
      <c r="BJ187" s="58"/>
      <c r="BK187" s="58"/>
      <c r="BL187" s="58"/>
      <c r="BM187" s="58"/>
      <c r="BN187" s="58"/>
      <c r="BO187" s="58"/>
      <c r="BP187" s="58"/>
      <c r="BQ187" s="58"/>
      <c r="BR187" s="58"/>
      <c r="BS187" s="58"/>
    </row>
    <row r="188" spans="1:71" ht="15.75" customHeight="1" x14ac:dyDescent="0.2">
      <c r="A188" s="87"/>
      <c r="B188" s="86"/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86"/>
      <c r="N188" s="86"/>
      <c r="O188" s="87"/>
      <c r="P188" s="87"/>
      <c r="Q188" s="87"/>
      <c r="R188" s="87"/>
      <c r="S188" s="87"/>
      <c r="T188" s="87"/>
      <c r="U188" s="87"/>
      <c r="V188" s="88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  <c r="AQ188" s="92"/>
      <c r="AR188" s="92"/>
      <c r="AS188" s="92"/>
      <c r="AT188" s="92"/>
      <c r="AU188" s="92"/>
      <c r="AV188" s="92"/>
      <c r="AW188" s="92"/>
      <c r="AX188" s="92"/>
      <c r="AY188" s="92"/>
      <c r="AZ188" s="58"/>
      <c r="BA188" s="58"/>
      <c r="BB188" s="58"/>
      <c r="BC188" s="58"/>
      <c r="BD188" s="58"/>
      <c r="BE188" s="58"/>
      <c r="BF188" s="58"/>
      <c r="BG188" s="58"/>
      <c r="BH188" s="58"/>
      <c r="BI188" s="58"/>
      <c r="BJ188" s="58"/>
      <c r="BK188" s="58"/>
      <c r="BL188" s="58"/>
      <c r="BM188" s="58"/>
      <c r="BN188" s="58"/>
      <c r="BO188" s="58"/>
      <c r="BP188" s="58"/>
      <c r="BQ188" s="58"/>
      <c r="BR188" s="58"/>
      <c r="BS188" s="58"/>
    </row>
    <row r="189" spans="1:71" ht="15.75" customHeight="1" x14ac:dyDescent="0.2">
      <c r="A189" s="87"/>
      <c r="B189" s="86"/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86"/>
      <c r="N189" s="86"/>
      <c r="O189" s="87"/>
      <c r="P189" s="87"/>
      <c r="Q189" s="87"/>
      <c r="R189" s="87"/>
      <c r="S189" s="87"/>
      <c r="T189" s="87"/>
      <c r="U189" s="87"/>
      <c r="V189" s="88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  <c r="AQ189" s="92"/>
      <c r="AR189" s="92"/>
      <c r="AS189" s="92"/>
      <c r="AT189" s="92"/>
      <c r="AU189" s="92"/>
      <c r="AV189" s="92"/>
      <c r="AW189" s="92"/>
      <c r="AX189" s="92"/>
      <c r="AY189" s="92"/>
      <c r="AZ189" s="58"/>
      <c r="BA189" s="58"/>
      <c r="BB189" s="58"/>
      <c r="BC189" s="58"/>
      <c r="BD189" s="58"/>
      <c r="BE189" s="58"/>
      <c r="BF189" s="58"/>
      <c r="BG189" s="58"/>
      <c r="BH189" s="58"/>
      <c r="BI189" s="58"/>
      <c r="BJ189" s="58"/>
      <c r="BK189" s="58"/>
      <c r="BL189" s="58"/>
      <c r="BM189" s="58"/>
      <c r="BN189" s="58"/>
      <c r="BO189" s="58"/>
      <c r="BP189" s="58"/>
      <c r="BQ189" s="58"/>
      <c r="BR189" s="58"/>
      <c r="BS189" s="58"/>
    </row>
    <row r="190" spans="1:71" ht="15.75" customHeight="1" x14ac:dyDescent="0.2">
      <c r="A190" s="87"/>
      <c r="B190" s="86"/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86"/>
      <c r="N190" s="86"/>
      <c r="O190" s="87"/>
      <c r="P190" s="87"/>
      <c r="Q190" s="87"/>
      <c r="R190" s="87"/>
      <c r="S190" s="87"/>
      <c r="T190" s="87"/>
      <c r="U190" s="87"/>
      <c r="V190" s="88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  <c r="AQ190" s="92"/>
      <c r="AR190" s="92"/>
      <c r="AS190" s="92"/>
      <c r="AT190" s="92"/>
      <c r="AU190" s="92"/>
      <c r="AV190" s="92"/>
      <c r="AW190" s="92"/>
      <c r="AX190" s="92"/>
      <c r="AY190" s="92"/>
      <c r="AZ190" s="58"/>
      <c r="BA190" s="58"/>
      <c r="BB190" s="58"/>
      <c r="BC190" s="58"/>
      <c r="BD190" s="58"/>
      <c r="BE190" s="58"/>
      <c r="BF190" s="58"/>
      <c r="BG190" s="58"/>
      <c r="BH190" s="58"/>
      <c r="BI190" s="58"/>
      <c r="BJ190" s="58"/>
      <c r="BK190" s="58"/>
      <c r="BL190" s="58"/>
      <c r="BM190" s="58"/>
      <c r="BN190" s="58"/>
      <c r="BO190" s="58"/>
      <c r="BP190" s="58"/>
      <c r="BQ190" s="58"/>
      <c r="BR190" s="58"/>
      <c r="BS190" s="58"/>
    </row>
    <row r="191" spans="1:71" ht="15.75" customHeight="1" x14ac:dyDescent="0.2">
      <c r="A191" s="87"/>
      <c r="B191" s="86"/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86"/>
      <c r="N191" s="86"/>
      <c r="O191" s="87"/>
      <c r="P191" s="87"/>
      <c r="Q191" s="87"/>
      <c r="R191" s="87"/>
      <c r="S191" s="87"/>
      <c r="T191" s="87"/>
      <c r="U191" s="87"/>
      <c r="V191" s="88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  <c r="AQ191" s="92"/>
      <c r="AR191" s="92"/>
      <c r="AS191" s="92"/>
      <c r="AT191" s="92"/>
      <c r="AU191" s="92"/>
      <c r="AV191" s="92"/>
      <c r="AW191" s="92"/>
      <c r="AX191" s="92"/>
      <c r="AY191" s="92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</row>
    <row r="192" spans="1:71" ht="15.75" customHeight="1" x14ac:dyDescent="0.2">
      <c r="A192" s="87"/>
      <c r="B192" s="86"/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86"/>
      <c r="N192" s="86"/>
      <c r="O192" s="87"/>
      <c r="P192" s="87"/>
      <c r="Q192" s="87"/>
      <c r="R192" s="87"/>
      <c r="S192" s="87"/>
      <c r="T192" s="87"/>
      <c r="U192" s="87"/>
      <c r="V192" s="88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  <c r="AQ192" s="92"/>
      <c r="AR192" s="92"/>
      <c r="AS192" s="92"/>
      <c r="AT192" s="92"/>
      <c r="AU192" s="92"/>
      <c r="AV192" s="92"/>
      <c r="AW192" s="92"/>
      <c r="AX192" s="92"/>
      <c r="AY192" s="92"/>
      <c r="AZ192" s="58"/>
      <c r="BA192" s="58"/>
      <c r="BB192" s="58"/>
      <c r="BC192" s="58"/>
      <c r="BD192" s="58"/>
      <c r="BE192" s="58"/>
      <c r="BF192" s="58"/>
      <c r="BG192" s="58"/>
      <c r="BH192" s="58"/>
      <c r="BI192" s="58"/>
      <c r="BJ192" s="58"/>
      <c r="BK192" s="58"/>
      <c r="BL192" s="58"/>
      <c r="BM192" s="58"/>
      <c r="BN192" s="58"/>
      <c r="BO192" s="58"/>
      <c r="BP192" s="58"/>
      <c r="BQ192" s="58"/>
      <c r="BR192" s="58"/>
      <c r="BS192" s="58"/>
    </row>
    <row r="193" spans="1:71" ht="15.75" customHeight="1" x14ac:dyDescent="0.2">
      <c r="A193" s="87"/>
      <c r="B193" s="86"/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86"/>
      <c r="N193" s="86"/>
      <c r="O193" s="87"/>
      <c r="P193" s="87"/>
      <c r="Q193" s="87"/>
      <c r="R193" s="87"/>
      <c r="S193" s="87"/>
      <c r="T193" s="87"/>
      <c r="U193" s="87"/>
      <c r="V193" s="88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92"/>
      <c r="AR193" s="92"/>
      <c r="AS193" s="92"/>
      <c r="AT193" s="92"/>
      <c r="AU193" s="92"/>
      <c r="AV193" s="92"/>
      <c r="AW193" s="92"/>
      <c r="AX193" s="92"/>
      <c r="AY193" s="92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</row>
    <row r="194" spans="1:71" ht="15.75" customHeight="1" x14ac:dyDescent="0.2">
      <c r="A194" s="87"/>
      <c r="B194" s="86"/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86"/>
      <c r="N194" s="86"/>
      <c r="O194" s="87"/>
      <c r="P194" s="87"/>
      <c r="Q194" s="87"/>
      <c r="R194" s="87"/>
      <c r="S194" s="87"/>
      <c r="T194" s="87"/>
      <c r="U194" s="87"/>
      <c r="V194" s="88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  <c r="AQ194" s="92"/>
      <c r="AR194" s="92"/>
      <c r="AS194" s="92"/>
      <c r="AT194" s="92"/>
      <c r="AU194" s="92"/>
      <c r="AV194" s="92"/>
      <c r="AW194" s="92"/>
      <c r="AX194" s="92"/>
      <c r="AY194" s="92"/>
      <c r="AZ194" s="58"/>
      <c r="BA194" s="58"/>
      <c r="BB194" s="58"/>
      <c r="BC194" s="58"/>
      <c r="BD194" s="58"/>
      <c r="BE194" s="58"/>
      <c r="BF194" s="58"/>
      <c r="BG194" s="58"/>
      <c r="BH194" s="58"/>
      <c r="BI194" s="58"/>
      <c r="BJ194" s="58"/>
      <c r="BK194" s="58"/>
      <c r="BL194" s="58"/>
      <c r="BM194" s="58"/>
      <c r="BN194" s="58"/>
      <c r="BO194" s="58"/>
      <c r="BP194" s="58"/>
      <c r="BQ194" s="58"/>
      <c r="BR194" s="58"/>
      <c r="BS194" s="58"/>
    </row>
    <row r="195" spans="1:71" ht="15.75" customHeight="1" x14ac:dyDescent="0.2">
      <c r="A195" s="87"/>
      <c r="B195" s="86"/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86"/>
      <c r="N195" s="86"/>
      <c r="O195" s="87"/>
      <c r="P195" s="87"/>
      <c r="Q195" s="87"/>
      <c r="R195" s="87"/>
      <c r="S195" s="87"/>
      <c r="T195" s="87"/>
      <c r="U195" s="87"/>
      <c r="V195" s="88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  <c r="AQ195" s="92"/>
      <c r="AR195" s="92"/>
      <c r="AS195" s="92"/>
      <c r="AT195" s="92"/>
      <c r="AU195" s="92"/>
      <c r="AV195" s="92"/>
      <c r="AW195" s="92"/>
      <c r="AX195" s="92"/>
      <c r="AY195" s="92"/>
      <c r="AZ195" s="58"/>
      <c r="BA195" s="58"/>
      <c r="BB195" s="58"/>
      <c r="BC195" s="58"/>
      <c r="BD195" s="58"/>
      <c r="BE195" s="58"/>
      <c r="BF195" s="58"/>
      <c r="BG195" s="58"/>
      <c r="BH195" s="58"/>
      <c r="BI195" s="58"/>
      <c r="BJ195" s="58"/>
      <c r="BK195" s="58"/>
      <c r="BL195" s="58"/>
      <c r="BM195" s="58"/>
      <c r="BN195" s="58"/>
      <c r="BO195" s="58"/>
      <c r="BP195" s="58"/>
      <c r="BQ195" s="58"/>
      <c r="BR195" s="58"/>
      <c r="BS195" s="58"/>
    </row>
    <row r="196" spans="1:71" ht="15.75" customHeight="1" x14ac:dyDescent="0.2">
      <c r="A196" s="87"/>
      <c r="B196" s="86"/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86"/>
      <c r="N196" s="86"/>
      <c r="O196" s="87"/>
      <c r="P196" s="87"/>
      <c r="Q196" s="87"/>
      <c r="R196" s="87"/>
      <c r="S196" s="87"/>
      <c r="T196" s="87"/>
      <c r="U196" s="87"/>
      <c r="V196" s="88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  <c r="AQ196" s="92"/>
      <c r="AR196" s="92"/>
      <c r="AS196" s="92"/>
      <c r="AT196" s="92"/>
      <c r="AU196" s="92"/>
      <c r="AV196" s="92"/>
      <c r="AW196" s="92"/>
      <c r="AX196" s="92"/>
      <c r="AY196" s="92"/>
      <c r="AZ196" s="58"/>
      <c r="BA196" s="58"/>
      <c r="BB196" s="58"/>
      <c r="BC196" s="58"/>
      <c r="BD196" s="58"/>
      <c r="BE196" s="58"/>
      <c r="BF196" s="58"/>
      <c r="BG196" s="58"/>
      <c r="BH196" s="58"/>
      <c r="BI196" s="58"/>
      <c r="BJ196" s="58"/>
      <c r="BK196" s="58"/>
      <c r="BL196" s="58"/>
      <c r="BM196" s="58"/>
      <c r="BN196" s="58"/>
      <c r="BO196" s="58"/>
      <c r="BP196" s="58"/>
      <c r="BQ196" s="58"/>
      <c r="BR196" s="58"/>
      <c r="BS196" s="58"/>
    </row>
    <row r="197" spans="1:71" ht="15.75" customHeight="1" x14ac:dyDescent="0.2">
      <c r="A197" s="87"/>
      <c r="B197" s="86"/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86"/>
      <c r="N197" s="86"/>
      <c r="O197" s="87"/>
      <c r="P197" s="87"/>
      <c r="Q197" s="87"/>
      <c r="R197" s="87"/>
      <c r="S197" s="87"/>
      <c r="T197" s="87"/>
      <c r="U197" s="87"/>
      <c r="V197" s="88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  <c r="AQ197" s="92"/>
      <c r="AR197" s="92"/>
      <c r="AS197" s="92"/>
      <c r="AT197" s="92"/>
      <c r="AU197" s="92"/>
      <c r="AV197" s="92"/>
      <c r="AW197" s="92"/>
      <c r="AX197" s="92"/>
      <c r="AY197" s="92"/>
      <c r="AZ197" s="58"/>
      <c r="BA197" s="58"/>
      <c r="BB197" s="58"/>
      <c r="BC197" s="58"/>
      <c r="BD197" s="58"/>
      <c r="BE197" s="58"/>
      <c r="BF197" s="58"/>
      <c r="BG197" s="58"/>
      <c r="BH197" s="58"/>
      <c r="BI197" s="58"/>
      <c r="BJ197" s="58"/>
      <c r="BK197" s="58"/>
      <c r="BL197" s="58"/>
      <c r="BM197" s="58"/>
      <c r="BN197" s="58"/>
      <c r="BO197" s="58"/>
      <c r="BP197" s="58"/>
      <c r="BQ197" s="58"/>
      <c r="BR197" s="58"/>
      <c r="BS197" s="58"/>
    </row>
    <row r="198" spans="1:71" ht="15.75" customHeight="1" x14ac:dyDescent="0.2">
      <c r="A198" s="87"/>
      <c r="B198" s="86"/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7"/>
      <c r="P198" s="87"/>
      <c r="Q198" s="87"/>
      <c r="R198" s="87"/>
      <c r="S198" s="87"/>
      <c r="T198" s="87"/>
      <c r="U198" s="87"/>
      <c r="V198" s="88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92"/>
      <c r="AR198" s="92"/>
      <c r="AS198" s="92"/>
      <c r="AT198" s="92"/>
      <c r="AU198" s="92"/>
      <c r="AV198" s="92"/>
      <c r="AW198" s="92"/>
      <c r="AX198" s="92"/>
      <c r="AY198" s="92"/>
      <c r="AZ198" s="58"/>
      <c r="BA198" s="58"/>
      <c r="BB198" s="58"/>
      <c r="BC198" s="58"/>
      <c r="BD198" s="58"/>
      <c r="BE198" s="58"/>
      <c r="BF198" s="58"/>
      <c r="BG198" s="58"/>
      <c r="BH198" s="58"/>
      <c r="BI198" s="58"/>
      <c r="BJ198" s="58"/>
      <c r="BK198" s="58"/>
      <c r="BL198" s="58"/>
      <c r="BM198" s="58"/>
      <c r="BN198" s="58"/>
      <c r="BO198" s="58"/>
      <c r="BP198" s="58"/>
      <c r="BQ198" s="58"/>
      <c r="BR198" s="58"/>
      <c r="BS198" s="58"/>
    </row>
    <row r="199" spans="1:71" ht="15.75" customHeight="1" x14ac:dyDescent="0.2">
      <c r="A199" s="87"/>
      <c r="B199" s="86"/>
      <c r="C199" s="86"/>
      <c r="D199" s="86"/>
      <c r="E199" s="86"/>
      <c r="F199" s="86"/>
      <c r="G199" s="86"/>
      <c r="H199" s="86"/>
      <c r="I199" s="86"/>
      <c r="J199" s="86"/>
      <c r="K199" s="86"/>
      <c r="L199" s="86"/>
      <c r="M199" s="86"/>
      <c r="N199" s="86"/>
      <c r="O199" s="87"/>
      <c r="P199" s="87"/>
      <c r="Q199" s="87"/>
      <c r="R199" s="87"/>
      <c r="S199" s="87"/>
      <c r="T199" s="87"/>
      <c r="U199" s="87"/>
      <c r="V199" s="88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  <c r="AQ199" s="92"/>
      <c r="AR199" s="92"/>
      <c r="AS199" s="92"/>
      <c r="AT199" s="92"/>
      <c r="AU199" s="92"/>
      <c r="AV199" s="92"/>
      <c r="AW199" s="92"/>
      <c r="AX199" s="92"/>
      <c r="AY199" s="92"/>
      <c r="AZ199" s="58"/>
      <c r="BA199" s="58"/>
      <c r="BB199" s="58"/>
      <c r="BC199" s="58"/>
      <c r="BD199" s="58"/>
      <c r="BE199" s="58"/>
      <c r="BF199" s="58"/>
      <c r="BG199" s="58"/>
      <c r="BH199" s="58"/>
      <c r="BI199" s="58"/>
      <c r="BJ199" s="58"/>
      <c r="BK199" s="58"/>
      <c r="BL199" s="58"/>
      <c r="BM199" s="58"/>
      <c r="BN199" s="58"/>
      <c r="BO199" s="58"/>
      <c r="BP199" s="58"/>
      <c r="BQ199" s="58"/>
      <c r="BR199" s="58"/>
      <c r="BS199" s="58"/>
    </row>
    <row r="200" spans="1:71" ht="15.75" customHeight="1" x14ac:dyDescent="0.2">
      <c r="A200" s="87"/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86"/>
      <c r="N200" s="86"/>
      <c r="O200" s="87"/>
      <c r="P200" s="87"/>
      <c r="Q200" s="87"/>
      <c r="R200" s="87"/>
      <c r="S200" s="87"/>
      <c r="T200" s="87"/>
      <c r="U200" s="87"/>
      <c r="V200" s="88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  <c r="AQ200" s="92"/>
      <c r="AR200" s="92"/>
      <c r="AS200" s="92"/>
      <c r="AT200" s="92"/>
      <c r="AU200" s="92"/>
      <c r="AV200" s="92"/>
      <c r="AW200" s="92"/>
      <c r="AX200" s="92"/>
      <c r="AY200" s="92"/>
      <c r="AZ200" s="58"/>
      <c r="BA200" s="58"/>
      <c r="BB200" s="58"/>
      <c r="BC200" s="58"/>
      <c r="BD200" s="58"/>
      <c r="BE200" s="58"/>
      <c r="BF200" s="58"/>
      <c r="BG200" s="58"/>
      <c r="BH200" s="58"/>
      <c r="BI200" s="58"/>
      <c r="BJ200" s="58"/>
      <c r="BK200" s="58"/>
      <c r="BL200" s="58"/>
      <c r="BM200" s="58"/>
      <c r="BN200" s="58"/>
      <c r="BO200" s="58"/>
      <c r="BP200" s="58"/>
      <c r="BQ200" s="58"/>
      <c r="BR200" s="58"/>
      <c r="BS200" s="58"/>
    </row>
    <row r="201" spans="1:71" ht="15.75" customHeight="1" x14ac:dyDescent="0.2">
      <c r="A201" s="87"/>
      <c r="B201" s="86"/>
      <c r="C201" s="86"/>
      <c r="D201" s="86"/>
      <c r="E201" s="86"/>
      <c r="F201" s="86"/>
      <c r="G201" s="86"/>
      <c r="H201" s="86"/>
      <c r="I201" s="86"/>
      <c r="J201" s="86"/>
      <c r="K201" s="86"/>
      <c r="L201" s="86"/>
      <c r="M201" s="86"/>
      <c r="N201" s="86"/>
      <c r="O201" s="87"/>
      <c r="P201" s="87"/>
      <c r="Q201" s="87"/>
      <c r="R201" s="87"/>
      <c r="S201" s="87"/>
      <c r="T201" s="87"/>
      <c r="U201" s="87"/>
      <c r="V201" s="88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  <c r="AQ201" s="92"/>
      <c r="AR201" s="92"/>
      <c r="AS201" s="92"/>
      <c r="AT201" s="92"/>
      <c r="AU201" s="92"/>
      <c r="AV201" s="92"/>
      <c r="AW201" s="92"/>
      <c r="AX201" s="92"/>
      <c r="AY201" s="92"/>
      <c r="AZ201" s="58"/>
      <c r="BA201" s="58"/>
      <c r="BB201" s="58"/>
      <c r="BC201" s="58"/>
      <c r="BD201" s="58"/>
      <c r="BE201" s="58"/>
      <c r="BF201" s="58"/>
      <c r="BG201" s="58"/>
      <c r="BH201" s="58"/>
      <c r="BI201" s="58"/>
      <c r="BJ201" s="58"/>
      <c r="BK201" s="58"/>
      <c r="BL201" s="58"/>
      <c r="BM201" s="58"/>
      <c r="BN201" s="58"/>
      <c r="BO201" s="58"/>
      <c r="BP201" s="58"/>
      <c r="BQ201" s="58"/>
      <c r="BR201" s="58"/>
      <c r="BS201" s="58"/>
    </row>
    <row r="202" spans="1:71" ht="15.75" customHeight="1" x14ac:dyDescent="0.2">
      <c r="A202" s="87"/>
      <c r="B202" s="86"/>
      <c r="C202" s="86"/>
      <c r="D202" s="86"/>
      <c r="E202" s="86"/>
      <c r="F202" s="86"/>
      <c r="G202" s="86"/>
      <c r="H202" s="86"/>
      <c r="I202" s="86"/>
      <c r="J202" s="86"/>
      <c r="K202" s="86"/>
      <c r="L202" s="86"/>
      <c r="M202" s="86"/>
      <c r="N202" s="86"/>
      <c r="O202" s="87"/>
      <c r="P202" s="87"/>
      <c r="Q202" s="87"/>
      <c r="R202" s="87"/>
      <c r="S202" s="87"/>
      <c r="T202" s="87"/>
      <c r="U202" s="87"/>
      <c r="V202" s="88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  <c r="AQ202" s="92"/>
      <c r="AR202" s="92"/>
      <c r="AS202" s="92"/>
      <c r="AT202" s="92"/>
      <c r="AU202" s="92"/>
      <c r="AV202" s="92"/>
      <c r="AW202" s="92"/>
      <c r="AX202" s="92"/>
      <c r="AY202" s="92"/>
      <c r="AZ202" s="58"/>
      <c r="BA202" s="58"/>
      <c r="BB202" s="58"/>
      <c r="BC202" s="58"/>
      <c r="BD202" s="58"/>
      <c r="BE202" s="58"/>
      <c r="BF202" s="58"/>
      <c r="BG202" s="58"/>
      <c r="BH202" s="58"/>
      <c r="BI202" s="58"/>
      <c r="BJ202" s="58"/>
      <c r="BK202" s="58"/>
      <c r="BL202" s="58"/>
      <c r="BM202" s="58"/>
      <c r="BN202" s="58"/>
      <c r="BO202" s="58"/>
      <c r="BP202" s="58"/>
      <c r="BQ202" s="58"/>
      <c r="BR202" s="58"/>
      <c r="BS202" s="58"/>
    </row>
    <row r="203" spans="1:71" ht="15.75" customHeight="1" x14ac:dyDescent="0.2">
      <c r="A203" s="87"/>
      <c r="B203" s="86"/>
      <c r="C203" s="86"/>
      <c r="D203" s="86"/>
      <c r="E203" s="86"/>
      <c r="F203" s="86"/>
      <c r="G203" s="86"/>
      <c r="H203" s="86"/>
      <c r="I203" s="86"/>
      <c r="J203" s="86"/>
      <c r="K203" s="86"/>
      <c r="L203" s="86"/>
      <c r="M203" s="86"/>
      <c r="N203" s="86"/>
      <c r="O203" s="87"/>
      <c r="P203" s="87"/>
      <c r="Q203" s="87"/>
      <c r="R203" s="87"/>
      <c r="S203" s="87"/>
      <c r="T203" s="87"/>
      <c r="U203" s="87"/>
      <c r="V203" s="88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  <c r="AQ203" s="92"/>
      <c r="AR203" s="92"/>
      <c r="AS203" s="92"/>
      <c r="AT203" s="92"/>
      <c r="AU203" s="92"/>
      <c r="AV203" s="92"/>
      <c r="AW203" s="92"/>
      <c r="AX203" s="92"/>
      <c r="AY203" s="92"/>
      <c r="AZ203" s="58"/>
      <c r="BA203" s="58"/>
      <c r="BB203" s="58"/>
      <c r="BC203" s="58"/>
      <c r="BD203" s="58"/>
      <c r="BE203" s="58"/>
      <c r="BF203" s="58"/>
      <c r="BG203" s="58"/>
      <c r="BH203" s="58"/>
      <c r="BI203" s="58"/>
      <c r="BJ203" s="58"/>
      <c r="BK203" s="58"/>
      <c r="BL203" s="58"/>
      <c r="BM203" s="58"/>
      <c r="BN203" s="58"/>
      <c r="BO203" s="58"/>
      <c r="BP203" s="58"/>
      <c r="BQ203" s="58"/>
      <c r="BR203" s="58"/>
      <c r="BS203" s="58"/>
    </row>
    <row r="204" spans="1:71" ht="15.75" customHeight="1" x14ac:dyDescent="0.2">
      <c r="A204" s="87"/>
      <c r="B204" s="86"/>
      <c r="C204" s="86"/>
      <c r="D204" s="86"/>
      <c r="E204" s="86"/>
      <c r="F204" s="86"/>
      <c r="G204" s="86"/>
      <c r="H204" s="86"/>
      <c r="I204" s="86"/>
      <c r="J204" s="86"/>
      <c r="K204" s="86"/>
      <c r="L204" s="86"/>
      <c r="M204" s="86"/>
      <c r="N204" s="86"/>
      <c r="O204" s="87"/>
      <c r="P204" s="87"/>
      <c r="Q204" s="87"/>
      <c r="R204" s="87"/>
      <c r="S204" s="87"/>
      <c r="T204" s="87"/>
      <c r="U204" s="87"/>
      <c r="V204" s="88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  <c r="AQ204" s="92"/>
      <c r="AR204" s="92"/>
      <c r="AS204" s="92"/>
      <c r="AT204" s="92"/>
      <c r="AU204" s="92"/>
      <c r="AV204" s="92"/>
      <c r="AW204" s="92"/>
      <c r="AX204" s="92"/>
      <c r="AY204" s="92"/>
      <c r="AZ204" s="58"/>
      <c r="BA204" s="58"/>
      <c r="BB204" s="58"/>
      <c r="BC204" s="58"/>
      <c r="BD204" s="58"/>
      <c r="BE204" s="58"/>
      <c r="BF204" s="58"/>
      <c r="BG204" s="58"/>
      <c r="BH204" s="58"/>
      <c r="BI204" s="58"/>
      <c r="BJ204" s="58"/>
      <c r="BK204" s="58"/>
      <c r="BL204" s="58"/>
      <c r="BM204" s="58"/>
      <c r="BN204" s="58"/>
      <c r="BO204" s="58"/>
      <c r="BP204" s="58"/>
      <c r="BQ204" s="58"/>
      <c r="BR204" s="58"/>
      <c r="BS204" s="58"/>
    </row>
    <row r="205" spans="1:71" ht="15.75" customHeight="1" x14ac:dyDescent="0.2">
      <c r="A205" s="87"/>
      <c r="B205" s="86"/>
      <c r="C205" s="86"/>
      <c r="D205" s="86"/>
      <c r="E205" s="86"/>
      <c r="F205" s="86"/>
      <c r="G205" s="86"/>
      <c r="H205" s="86"/>
      <c r="I205" s="86"/>
      <c r="J205" s="86"/>
      <c r="K205" s="86"/>
      <c r="L205" s="86"/>
      <c r="M205" s="86"/>
      <c r="N205" s="86"/>
      <c r="O205" s="87"/>
      <c r="P205" s="87"/>
      <c r="Q205" s="87"/>
      <c r="R205" s="87"/>
      <c r="S205" s="87"/>
      <c r="T205" s="87"/>
      <c r="U205" s="87"/>
      <c r="V205" s="88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  <c r="AQ205" s="92"/>
      <c r="AR205" s="92"/>
      <c r="AS205" s="92"/>
      <c r="AT205" s="92"/>
      <c r="AU205" s="92"/>
      <c r="AV205" s="92"/>
      <c r="AW205" s="92"/>
      <c r="AX205" s="92"/>
      <c r="AY205" s="92"/>
      <c r="AZ205" s="58"/>
      <c r="BA205" s="58"/>
      <c r="BB205" s="58"/>
      <c r="BC205" s="58"/>
      <c r="BD205" s="58"/>
      <c r="BE205" s="58"/>
      <c r="BF205" s="58"/>
      <c r="BG205" s="58"/>
      <c r="BH205" s="58"/>
      <c r="BI205" s="58"/>
      <c r="BJ205" s="58"/>
      <c r="BK205" s="58"/>
      <c r="BL205" s="58"/>
      <c r="BM205" s="58"/>
      <c r="BN205" s="58"/>
      <c r="BO205" s="58"/>
      <c r="BP205" s="58"/>
      <c r="BQ205" s="58"/>
      <c r="BR205" s="58"/>
      <c r="BS205" s="58"/>
    </row>
    <row r="206" spans="1:71" ht="15.75" customHeight="1" x14ac:dyDescent="0.2">
      <c r="A206" s="87"/>
      <c r="B206" s="86"/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7"/>
      <c r="P206" s="87"/>
      <c r="Q206" s="87"/>
      <c r="R206" s="87"/>
      <c r="S206" s="87"/>
      <c r="T206" s="87"/>
      <c r="U206" s="87"/>
      <c r="V206" s="88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  <c r="AQ206" s="92"/>
      <c r="AR206" s="92"/>
      <c r="AS206" s="92"/>
      <c r="AT206" s="92"/>
      <c r="AU206" s="92"/>
      <c r="AV206" s="92"/>
      <c r="AW206" s="92"/>
      <c r="AX206" s="92"/>
      <c r="AY206" s="92"/>
      <c r="AZ206" s="58"/>
      <c r="BA206" s="58"/>
      <c r="BB206" s="58"/>
      <c r="BC206" s="58"/>
      <c r="BD206" s="58"/>
      <c r="BE206" s="58"/>
      <c r="BF206" s="58"/>
      <c r="BG206" s="58"/>
      <c r="BH206" s="58"/>
      <c r="BI206" s="58"/>
      <c r="BJ206" s="58"/>
      <c r="BK206" s="58"/>
      <c r="BL206" s="58"/>
      <c r="BM206" s="58"/>
      <c r="BN206" s="58"/>
      <c r="BO206" s="58"/>
      <c r="BP206" s="58"/>
      <c r="BQ206" s="58"/>
      <c r="BR206" s="58"/>
      <c r="BS206" s="58"/>
    </row>
    <row r="207" spans="1:71" ht="15.75" customHeight="1" x14ac:dyDescent="0.2">
      <c r="A207" s="87"/>
      <c r="B207" s="86"/>
      <c r="C207" s="86"/>
      <c r="D207" s="86"/>
      <c r="E207" s="86"/>
      <c r="F207" s="86"/>
      <c r="G207" s="86"/>
      <c r="H207" s="86"/>
      <c r="I207" s="86"/>
      <c r="J207" s="86"/>
      <c r="K207" s="86"/>
      <c r="L207" s="86"/>
      <c r="M207" s="86"/>
      <c r="N207" s="86"/>
      <c r="O207" s="87"/>
      <c r="P207" s="87"/>
      <c r="Q207" s="87"/>
      <c r="R207" s="87"/>
      <c r="S207" s="87"/>
      <c r="T207" s="87"/>
      <c r="U207" s="87"/>
      <c r="V207" s="88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  <c r="AQ207" s="92"/>
      <c r="AR207" s="92"/>
      <c r="AS207" s="92"/>
      <c r="AT207" s="92"/>
      <c r="AU207" s="92"/>
      <c r="AV207" s="92"/>
      <c r="AW207" s="92"/>
      <c r="AX207" s="92"/>
      <c r="AY207" s="92"/>
      <c r="AZ207" s="58"/>
      <c r="BA207" s="58"/>
      <c r="BB207" s="58"/>
      <c r="BC207" s="58"/>
      <c r="BD207" s="58"/>
      <c r="BE207" s="58"/>
      <c r="BF207" s="58"/>
      <c r="BG207" s="58"/>
      <c r="BH207" s="58"/>
      <c r="BI207" s="58"/>
      <c r="BJ207" s="58"/>
      <c r="BK207" s="58"/>
      <c r="BL207" s="58"/>
      <c r="BM207" s="58"/>
      <c r="BN207" s="58"/>
      <c r="BO207" s="58"/>
      <c r="BP207" s="58"/>
      <c r="BQ207" s="58"/>
      <c r="BR207" s="58"/>
      <c r="BS207" s="58"/>
    </row>
    <row r="208" spans="1:71" ht="15.75" customHeight="1" x14ac:dyDescent="0.2">
      <c r="A208" s="87"/>
      <c r="B208" s="86"/>
      <c r="C208" s="86"/>
      <c r="D208" s="86"/>
      <c r="E208" s="86"/>
      <c r="F208" s="86"/>
      <c r="G208" s="86"/>
      <c r="H208" s="86"/>
      <c r="I208" s="86"/>
      <c r="J208" s="86"/>
      <c r="K208" s="86"/>
      <c r="L208" s="86"/>
      <c r="M208" s="86"/>
      <c r="N208" s="86"/>
      <c r="O208" s="87"/>
      <c r="P208" s="87"/>
      <c r="Q208" s="87"/>
      <c r="R208" s="87"/>
      <c r="S208" s="87"/>
      <c r="T208" s="87"/>
      <c r="U208" s="87"/>
      <c r="V208" s="88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  <c r="AQ208" s="92"/>
      <c r="AR208" s="92"/>
      <c r="AS208" s="92"/>
      <c r="AT208" s="92"/>
      <c r="AU208" s="92"/>
      <c r="AV208" s="92"/>
      <c r="AW208" s="92"/>
      <c r="AX208" s="92"/>
      <c r="AY208" s="92"/>
      <c r="AZ208" s="58"/>
      <c r="BA208" s="58"/>
      <c r="BB208" s="58"/>
      <c r="BC208" s="58"/>
      <c r="BD208" s="58"/>
      <c r="BE208" s="58"/>
      <c r="BF208" s="58"/>
      <c r="BG208" s="58"/>
      <c r="BH208" s="58"/>
      <c r="BI208" s="58"/>
      <c r="BJ208" s="58"/>
      <c r="BK208" s="58"/>
      <c r="BL208" s="58"/>
      <c r="BM208" s="58"/>
      <c r="BN208" s="58"/>
      <c r="BO208" s="58"/>
      <c r="BP208" s="58"/>
      <c r="BQ208" s="58"/>
      <c r="BR208" s="58"/>
      <c r="BS208" s="58"/>
    </row>
    <row r="209" spans="1:71" ht="15.75" customHeight="1" x14ac:dyDescent="0.2">
      <c r="A209" s="87"/>
      <c r="B209" s="86"/>
      <c r="C209" s="86"/>
      <c r="D209" s="86"/>
      <c r="E209" s="86"/>
      <c r="F209" s="86"/>
      <c r="G209" s="86"/>
      <c r="H209" s="86"/>
      <c r="I209" s="86"/>
      <c r="J209" s="86"/>
      <c r="K209" s="86"/>
      <c r="L209" s="86"/>
      <c r="M209" s="86"/>
      <c r="N209" s="86"/>
      <c r="O209" s="87"/>
      <c r="P209" s="87"/>
      <c r="Q209" s="87"/>
      <c r="R209" s="87"/>
      <c r="S209" s="87"/>
      <c r="T209" s="87"/>
      <c r="U209" s="87"/>
      <c r="V209" s="88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  <c r="AQ209" s="92"/>
      <c r="AR209" s="92"/>
      <c r="AS209" s="92"/>
      <c r="AT209" s="92"/>
      <c r="AU209" s="92"/>
      <c r="AV209" s="92"/>
      <c r="AW209" s="92"/>
      <c r="AX209" s="92"/>
      <c r="AY209" s="92"/>
      <c r="AZ209" s="58"/>
      <c r="BA209" s="58"/>
      <c r="BB209" s="58"/>
      <c r="BC209" s="58"/>
      <c r="BD209" s="58"/>
      <c r="BE209" s="58"/>
      <c r="BF209" s="58"/>
      <c r="BG209" s="58"/>
      <c r="BH209" s="58"/>
      <c r="BI209" s="58"/>
      <c r="BJ209" s="58"/>
      <c r="BK209" s="58"/>
      <c r="BL209" s="58"/>
      <c r="BM209" s="58"/>
      <c r="BN209" s="58"/>
      <c r="BO209" s="58"/>
      <c r="BP209" s="58"/>
      <c r="BQ209" s="58"/>
      <c r="BR209" s="58"/>
      <c r="BS209" s="58"/>
    </row>
    <row r="210" spans="1:71" ht="15.75" customHeight="1" x14ac:dyDescent="0.2">
      <c r="A210" s="87"/>
      <c r="B210" s="86"/>
      <c r="C210" s="86"/>
      <c r="D210" s="86"/>
      <c r="E210" s="86"/>
      <c r="F210" s="86"/>
      <c r="G210" s="86"/>
      <c r="H210" s="86"/>
      <c r="I210" s="86"/>
      <c r="J210" s="86"/>
      <c r="K210" s="86"/>
      <c r="L210" s="86"/>
      <c r="M210" s="86"/>
      <c r="N210" s="86"/>
      <c r="O210" s="87"/>
      <c r="P210" s="87"/>
      <c r="Q210" s="87"/>
      <c r="R210" s="87"/>
      <c r="S210" s="87"/>
      <c r="T210" s="87"/>
      <c r="U210" s="87"/>
      <c r="V210" s="88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  <c r="AQ210" s="92"/>
      <c r="AR210" s="92"/>
      <c r="AS210" s="92"/>
      <c r="AT210" s="92"/>
      <c r="AU210" s="92"/>
      <c r="AV210" s="92"/>
      <c r="AW210" s="92"/>
      <c r="AX210" s="92"/>
      <c r="AY210" s="92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</row>
    <row r="211" spans="1:71" ht="15.75" customHeight="1" x14ac:dyDescent="0.2">
      <c r="A211" s="87"/>
      <c r="B211" s="86"/>
      <c r="C211" s="86"/>
      <c r="D211" s="86"/>
      <c r="E211" s="86"/>
      <c r="F211" s="86"/>
      <c r="G211" s="86"/>
      <c r="H211" s="86"/>
      <c r="I211" s="86"/>
      <c r="J211" s="86"/>
      <c r="K211" s="86"/>
      <c r="L211" s="86"/>
      <c r="M211" s="86"/>
      <c r="N211" s="86"/>
      <c r="O211" s="87"/>
      <c r="P211" s="87"/>
      <c r="Q211" s="87"/>
      <c r="R211" s="87"/>
      <c r="S211" s="87"/>
      <c r="T211" s="87"/>
      <c r="U211" s="87"/>
      <c r="V211" s="88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  <c r="AQ211" s="92"/>
      <c r="AR211" s="92"/>
      <c r="AS211" s="92"/>
      <c r="AT211" s="92"/>
      <c r="AU211" s="92"/>
      <c r="AV211" s="92"/>
      <c r="AW211" s="92"/>
      <c r="AX211" s="92"/>
      <c r="AY211" s="92"/>
      <c r="AZ211" s="58"/>
      <c r="BA211" s="58"/>
      <c r="BB211" s="58"/>
      <c r="BC211" s="58"/>
      <c r="BD211" s="58"/>
      <c r="BE211" s="58"/>
      <c r="BF211" s="58"/>
      <c r="BG211" s="58"/>
      <c r="BH211" s="58"/>
      <c r="BI211" s="58"/>
      <c r="BJ211" s="58"/>
      <c r="BK211" s="58"/>
      <c r="BL211" s="58"/>
      <c r="BM211" s="58"/>
      <c r="BN211" s="58"/>
      <c r="BO211" s="58"/>
      <c r="BP211" s="58"/>
      <c r="BQ211" s="58"/>
      <c r="BR211" s="58"/>
      <c r="BS211" s="58"/>
    </row>
    <row r="212" spans="1:71" ht="15.75" customHeight="1" x14ac:dyDescent="0.2">
      <c r="A212" s="87"/>
      <c r="B212" s="86"/>
      <c r="C212" s="86"/>
      <c r="D212" s="86"/>
      <c r="E212" s="86"/>
      <c r="F212" s="86"/>
      <c r="G212" s="86"/>
      <c r="H212" s="86"/>
      <c r="I212" s="86"/>
      <c r="J212" s="86"/>
      <c r="K212" s="86"/>
      <c r="L212" s="86"/>
      <c r="M212" s="86"/>
      <c r="N212" s="86"/>
      <c r="O212" s="87"/>
      <c r="P212" s="87"/>
      <c r="Q212" s="87"/>
      <c r="R212" s="87"/>
      <c r="S212" s="87"/>
      <c r="T212" s="87"/>
      <c r="U212" s="87"/>
      <c r="V212" s="88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  <c r="AQ212" s="92"/>
      <c r="AR212" s="92"/>
      <c r="AS212" s="92"/>
      <c r="AT212" s="92"/>
      <c r="AU212" s="92"/>
      <c r="AV212" s="92"/>
      <c r="AW212" s="92"/>
      <c r="AX212" s="92"/>
      <c r="AY212" s="92"/>
      <c r="AZ212" s="58"/>
      <c r="BA212" s="58"/>
      <c r="BB212" s="58"/>
      <c r="BC212" s="58"/>
      <c r="BD212" s="58"/>
      <c r="BE212" s="58"/>
      <c r="BF212" s="58"/>
      <c r="BG212" s="58"/>
      <c r="BH212" s="58"/>
      <c r="BI212" s="58"/>
      <c r="BJ212" s="58"/>
      <c r="BK212" s="58"/>
      <c r="BL212" s="58"/>
      <c r="BM212" s="58"/>
      <c r="BN212" s="58"/>
      <c r="BO212" s="58"/>
      <c r="BP212" s="58"/>
      <c r="BQ212" s="58"/>
      <c r="BR212" s="58"/>
      <c r="BS212" s="58"/>
    </row>
    <row r="213" spans="1:71" ht="15.75" customHeight="1" x14ac:dyDescent="0.2">
      <c r="A213" s="87"/>
      <c r="B213" s="86"/>
      <c r="C213" s="86"/>
      <c r="D213" s="86"/>
      <c r="E213" s="86"/>
      <c r="F213" s="86"/>
      <c r="G213" s="86"/>
      <c r="H213" s="86"/>
      <c r="I213" s="86"/>
      <c r="J213" s="86"/>
      <c r="K213" s="86"/>
      <c r="L213" s="86"/>
      <c r="M213" s="86"/>
      <c r="N213" s="86"/>
      <c r="O213" s="87"/>
      <c r="P213" s="87"/>
      <c r="Q213" s="87"/>
      <c r="R213" s="87"/>
      <c r="S213" s="87"/>
      <c r="T213" s="87"/>
      <c r="U213" s="87"/>
      <c r="V213" s="88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  <c r="AQ213" s="92"/>
      <c r="AR213" s="92"/>
      <c r="AS213" s="92"/>
      <c r="AT213" s="92"/>
      <c r="AU213" s="92"/>
      <c r="AV213" s="92"/>
      <c r="AW213" s="92"/>
      <c r="AX213" s="92"/>
      <c r="AY213" s="92"/>
      <c r="AZ213" s="58"/>
      <c r="BA213" s="58"/>
      <c r="BB213" s="58"/>
      <c r="BC213" s="58"/>
      <c r="BD213" s="58"/>
      <c r="BE213" s="58"/>
      <c r="BF213" s="58"/>
      <c r="BG213" s="58"/>
      <c r="BH213" s="58"/>
      <c r="BI213" s="58"/>
      <c r="BJ213" s="58"/>
      <c r="BK213" s="58"/>
      <c r="BL213" s="58"/>
      <c r="BM213" s="58"/>
      <c r="BN213" s="58"/>
      <c r="BO213" s="58"/>
      <c r="BP213" s="58"/>
      <c r="BQ213" s="58"/>
      <c r="BR213" s="58"/>
      <c r="BS213" s="58"/>
    </row>
    <row r="214" spans="1:71" ht="15.75" customHeight="1" x14ac:dyDescent="0.2">
      <c r="A214" s="87"/>
      <c r="B214" s="86"/>
      <c r="C214" s="86"/>
      <c r="D214" s="86"/>
      <c r="E214" s="86"/>
      <c r="F214" s="86"/>
      <c r="G214" s="86"/>
      <c r="H214" s="86"/>
      <c r="I214" s="86"/>
      <c r="J214" s="86"/>
      <c r="K214" s="86"/>
      <c r="L214" s="86"/>
      <c r="M214" s="86"/>
      <c r="N214" s="86"/>
      <c r="O214" s="87"/>
      <c r="P214" s="87"/>
      <c r="Q214" s="87"/>
      <c r="R214" s="87"/>
      <c r="S214" s="87"/>
      <c r="T214" s="87"/>
      <c r="U214" s="87"/>
      <c r="V214" s="88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  <c r="AQ214" s="92"/>
      <c r="AR214" s="92"/>
      <c r="AS214" s="92"/>
      <c r="AT214" s="92"/>
      <c r="AU214" s="92"/>
      <c r="AV214" s="92"/>
      <c r="AW214" s="92"/>
      <c r="AX214" s="92"/>
      <c r="AY214" s="92"/>
      <c r="AZ214" s="58"/>
      <c r="BA214" s="58"/>
      <c r="BB214" s="58"/>
      <c r="BC214" s="58"/>
      <c r="BD214" s="58"/>
      <c r="BE214" s="58"/>
      <c r="BF214" s="58"/>
      <c r="BG214" s="58"/>
      <c r="BH214" s="58"/>
      <c r="BI214" s="58"/>
      <c r="BJ214" s="58"/>
      <c r="BK214" s="58"/>
      <c r="BL214" s="58"/>
      <c r="BM214" s="58"/>
      <c r="BN214" s="58"/>
      <c r="BO214" s="58"/>
      <c r="BP214" s="58"/>
      <c r="BQ214" s="58"/>
      <c r="BR214" s="58"/>
      <c r="BS214" s="58"/>
    </row>
    <row r="215" spans="1:71" ht="15.75" customHeight="1" x14ac:dyDescent="0.2">
      <c r="A215" s="87"/>
      <c r="B215" s="86"/>
      <c r="C215" s="86"/>
      <c r="D215" s="86"/>
      <c r="E215" s="86"/>
      <c r="F215" s="86"/>
      <c r="G215" s="86"/>
      <c r="H215" s="86"/>
      <c r="I215" s="86"/>
      <c r="J215" s="86"/>
      <c r="K215" s="86"/>
      <c r="L215" s="86"/>
      <c r="M215" s="86"/>
      <c r="N215" s="86"/>
      <c r="O215" s="87"/>
      <c r="P215" s="87"/>
      <c r="Q215" s="87"/>
      <c r="R215" s="87"/>
      <c r="S215" s="87"/>
      <c r="T215" s="87"/>
      <c r="U215" s="87"/>
      <c r="V215" s="88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  <c r="AQ215" s="92"/>
      <c r="AR215" s="92"/>
      <c r="AS215" s="92"/>
      <c r="AT215" s="92"/>
      <c r="AU215" s="92"/>
      <c r="AV215" s="92"/>
      <c r="AW215" s="92"/>
      <c r="AX215" s="92"/>
      <c r="AY215" s="92"/>
      <c r="AZ215" s="58"/>
      <c r="BA215" s="58"/>
      <c r="BB215" s="58"/>
      <c r="BC215" s="58"/>
      <c r="BD215" s="58"/>
      <c r="BE215" s="58"/>
      <c r="BF215" s="58"/>
      <c r="BG215" s="58"/>
      <c r="BH215" s="58"/>
      <c r="BI215" s="58"/>
      <c r="BJ215" s="58"/>
      <c r="BK215" s="58"/>
      <c r="BL215" s="58"/>
      <c r="BM215" s="58"/>
      <c r="BN215" s="58"/>
      <c r="BO215" s="58"/>
      <c r="BP215" s="58"/>
      <c r="BQ215" s="58"/>
      <c r="BR215" s="58"/>
      <c r="BS215" s="58"/>
    </row>
    <row r="216" spans="1:71" ht="15.75" customHeight="1" x14ac:dyDescent="0.2">
      <c r="A216" s="87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7"/>
      <c r="P216" s="87"/>
      <c r="Q216" s="87"/>
      <c r="R216" s="87"/>
      <c r="S216" s="87"/>
      <c r="T216" s="87"/>
      <c r="U216" s="87"/>
      <c r="V216" s="88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  <c r="AQ216" s="92"/>
      <c r="AR216" s="92"/>
      <c r="AS216" s="92"/>
      <c r="AT216" s="92"/>
      <c r="AU216" s="92"/>
      <c r="AV216" s="92"/>
      <c r="AW216" s="92"/>
      <c r="AX216" s="92"/>
      <c r="AY216" s="92"/>
      <c r="AZ216" s="58"/>
      <c r="BA216" s="58"/>
      <c r="BB216" s="58"/>
      <c r="BC216" s="58"/>
      <c r="BD216" s="58"/>
      <c r="BE216" s="58"/>
      <c r="BF216" s="58"/>
      <c r="BG216" s="58"/>
      <c r="BH216" s="58"/>
      <c r="BI216" s="58"/>
      <c r="BJ216" s="58"/>
      <c r="BK216" s="58"/>
      <c r="BL216" s="58"/>
      <c r="BM216" s="58"/>
      <c r="BN216" s="58"/>
      <c r="BO216" s="58"/>
      <c r="BP216" s="58"/>
      <c r="BQ216" s="58"/>
      <c r="BR216" s="58"/>
      <c r="BS216" s="58"/>
    </row>
    <row r="217" spans="1:71" ht="15.75" customHeight="1" x14ac:dyDescent="0.2">
      <c r="A217" s="87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7"/>
      <c r="P217" s="87"/>
      <c r="Q217" s="87"/>
      <c r="R217" s="87"/>
      <c r="S217" s="87"/>
      <c r="T217" s="87"/>
      <c r="U217" s="87"/>
      <c r="V217" s="88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  <c r="AQ217" s="92"/>
      <c r="AR217" s="92"/>
      <c r="AS217" s="92"/>
      <c r="AT217" s="92"/>
      <c r="AU217" s="92"/>
      <c r="AV217" s="92"/>
      <c r="AW217" s="92"/>
      <c r="AX217" s="92"/>
      <c r="AY217" s="92"/>
      <c r="AZ217" s="58"/>
      <c r="BA217" s="58"/>
      <c r="BB217" s="58"/>
      <c r="BC217" s="58"/>
      <c r="BD217" s="58"/>
      <c r="BE217" s="58"/>
      <c r="BF217" s="58"/>
      <c r="BG217" s="58"/>
      <c r="BH217" s="58"/>
      <c r="BI217" s="58"/>
      <c r="BJ217" s="58"/>
      <c r="BK217" s="58"/>
      <c r="BL217" s="58"/>
      <c r="BM217" s="58"/>
      <c r="BN217" s="58"/>
      <c r="BO217" s="58"/>
      <c r="BP217" s="58"/>
      <c r="BQ217" s="58"/>
      <c r="BR217" s="58"/>
      <c r="BS217" s="58"/>
    </row>
    <row r="218" spans="1:71" ht="15.75" customHeight="1" x14ac:dyDescent="0.2">
      <c r="A218" s="87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7"/>
      <c r="P218" s="87"/>
      <c r="Q218" s="87"/>
      <c r="R218" s="87"/>
      <c r="S218" s="87"/>
      <c r="T218" s="87"/>
      <c r="U218" s="87"/>
      <c r="V218" s="88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  <c r="AQ218" s="92"/>
      <c r="AR218" s="92"/>
      <c r="AS218" s="92"/>
      <c r="AT218" s="92"/>
      <c r="AU218" s="92"/>
      <c r="AV218" s="92"/>
      <c r="AW218" s="92"/>
      <c r="AX218" s="92"/>
      <c r="AY218" s="92"/>
      <c r="AZ218" s="58"/>
      <c r="BA218" s="58"/>
      <c r="BB218" s="58"/>
      <c r="BC218" s="58"/>
      <c r="BD218" s="58"/>
      <c r="BE218" s="58"/>
      <c r="BF218" s="58"/>
      <c r="BG218" s="58"/>
      <c r="BH218" s="58"/>
      <c r="BI218" s="58"/>
      <c r="BJ218" s="58"/>
      <c r="BK218" s="58"/>
      <c r="BL218" s="58"/>
      <c r="BM218" s="58"/>
      <c r="BN218" s="58"/>
      <c r="BO218" s="58"/>
      <c r="BP218" s="58"/>
      <c r="BQ218" s="58"/>
      <c r="BR218" s="58"/>
      <c r="BS218" s="58"/>
    </row>
    <row r="219" spans="1:71" ht="15.75" customHeight="1" x14ac:dyDescent="0.2">
      <c r="A219" s="87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7"/>
      <c r="P219" s="87"/>
      <c r="Q219" s="87"/>
      <c r="R219" s="87"/>
      <c r="S219" s="87"/>
      <c r="T219" s="87"/>
      <c r="U219" s="87"/>
      <c r="V219" s="88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  <c r="AQ219" s="92"/>
      <c r="AR219" s="92"/>
      <c r="AS219" s="92"/>
      <c r="AT219" s="92"/>
      <c r="AU219" s="92"/>
      <c r="AV219" s="92"/>
      <c r="AW219" s="92"/>
      <c r="AX219" s="92"/>
      <c r="AY219" s="92"/>
      <c r="AZ219" s="58"/>
      <c r="BA219" s="58"/>
      <c r="BB219" s="58"/>
      <c r="BC219" s="58"/>
      <c r="BD219" s="58"/>
      <c r="BE219" s="58"/>
      <c r="BF219" s="58"/>
      <c r="BG219" s="58"/>
      <c r="BH219" s="58"/>
      <c r="BI219" s="58"/>
      <c r="BJ219" s="58"/>
      <c r="BK219" s="58"/>
      <c r="BL219" s="58"/>
      <c r="BM219" s="58"/>
      <c r="BN219" s="58"/>
      <c r="BO219" s="58"/>
      <c r="BP219" s="58"/>
      <c r="BQ219" s="58"/>
      <c r="BR219" s="58"/>
      <c r="BS219" s="58"/>
    </row>
    <row r="220" spans="1:71" ht="15.75" customHeight="1" x14ac:dyDescent="0.2">
      <c r="A220" s="87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7"/>
      <c r="P220" s="87"/>
      <c r="Q220" s="87"/>
      <c r="R220" s="87"/>
      <c r="S220" s="87"/>
      <c r="T220" s="87"/>
      <c r="U220" s="87"/>
      <c r="V220" s="88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  <c r="AQ220" s="92"/>
      <c r="AR220" s="92"/>
      <c r="AS220" s="92"/>
      <c r="AT220" s="92"/>
      <c r="AU220" s="92"/>
      <c r="AV220" s="92"/>
      <c r="AW220" s="92"/>
      <c r="AX220" s="92"/>
      <c r="AY220" s="92"/>
      <c r="AZ220" s="58"/>
      <c r="BA220" s="58"/>
      <c r="BB220" s="58"/>
      <c r="BC220" s="58"/>
      <c r="BD220" s="58"/>
      <c r="BE220" s="58"/>
      <c r="BF220" s="58"/>
      <c r="BG220" s="58"/>
      <c r="BH220" s="58"/>
      <c r="BI220" s="58"/>
      <c r="BJ220" s="58"/>
      <c r="BK220" s="58"/>
      <c r="BL220" s="58"/>
      <c r="BM220" s="58"/>
      <c r="BN220" s="58"/>
      <c r="BO220" s="58"/>
      <c r="BP220" s="58"/>
      <c r="BQ220" s="58"/>
      <c r="BR220" s="58"/>
      <c r="BS220" s="58"/>
    </row>
    <row r="221" spans="1:71" ht="15.75" customHeight="1" x14ac:dyDescent="0.2">
      <c r="A221" s="87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7"/>
      <c r="P221" s="87"/>
      <c r="Q221" s="87"/>
      <c r="R221" s="87"/>
      <c r="S221" s="87"/>
      <c r="T221" s="87"/>
      <c r="U221" s="87"/>
      <c r="V221" s="88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  <c r="AQ221" s="92"/>
      <c r="AR221" s="92"/>
      <c r="AS221" s="92"/>
      <c r="AT221" s="92"/>
      <c r="AU221" s="92"/>
      <c r="AV221" s="92"/>
      <c r="AW221" s="92"/>
      <c r="AX221" s="92"/>
      <c r="AY221" s="92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</row>
    <row r="222" spans="1:71" ht="15.75" customHeight="1" x14ac:dyDescent="0.2">
      <c r="A222" s="87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7"/>
      <c r="P222" s="87"/>
      <c r="Q222" s="87"/>
      <c r="R222" s="87"/>
      <c r="S222" s="87"/>
      <c r="T222" s="87"/>
      <c r="U222" s="87"/>
      <c r="V222" s="88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  <c r="AQ222" s="92"/>
      <c r="AR222" s="92"/>
      <c r="AS222" s="92"/>
      <c r="AT222" s="92"/>
      <c r="AU222" s="92"/>
      <c r="AV222" s="92"/>
      <c r="AW222" s="92"/>
      <c r="AX222" s="92"/>
      <c r="AY222" s="92"/>
      <c r="AZ222" s="58"/>
      <c r="BA222" s="58"/>
      <c r="BB222" s="58"/>
      <c r="BC222" s="58"/>
      <c r="BD222" s="58"/>
      <c r="BE222" s="58"/>
      <c r="BF222" s="58"/>
      <c r="BG222" s="58"/>
      <c r="BH222" s="58"/>
      <c r="BI222" s="58"/>
      <c r="BJ222" s="58"/>
      <c r="BK222" s="58"/>
      <c r="BL222" s="58"/>
      <c r="BM222" s="58"/>
      <c r="BN222" s="58"/>
      <c r="BO222" s="58"/>
      <c r="BP222" s="58"/>
      <c r="BQ222" s="58"/>
      <c r="BR222" s="58"/>
      <c r="BS222" s="58"/>
    </row>
    <row r="223" spans="1:71" ht="15.75" customHeight="1" x14ac:dyDescent="0.2">
      <c r="A223" s="87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7"/>
      <c r="P223" s="87"/>
      <c r="Q223" s="87"/>
      <c r="R223" s="87"/>
      <c r="S223" s="87"/>
      <c r="T223" s="87"/>
      <c r="U223" s="87"/>
      <c r="V223" s="88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  <c r="AQ223" s="92"/>
      <c r="AR223" s="92"/>
      <c r="AS223" s="92"/>
      <c r="AT223" s="92"/>
      <c r="AU223" s="92"/>
      <c r="AV223" s="92"/>
      <c r="AW223" s="92"/>
      <c r="AX223" s="92"/>
      <c r="AY223" s="92"/>
      <c r="AZ223" s="58"/>
      <c r="BA223" s="58"/>
      <c r="BB223" s="58"/>
      <c r="BC223" s="58"/>
      <c r="BD223" s="58"/>
      <c r="BE223" s="58"/>
      <c r="BF223" s="58"/>
      <c r="BG223" s="58"/>
      <c r="BH223" s="58"/>
      <c r="BI223" s="58"/>
      <c r="BJ223" s="58"/>
      <c r="BK223" s="58"/>
      <c r="BL223" s="58"/>
      <c r="BM223" s="58"/>
      <c r="BN223" s="58"/>
      <c r="BO223" s="58"/>
      <c r="BP223" s="58"/>
      <c r="BQ223" s="58"/>
      <c r="BR223" s="58"/>
      <c r="BS223" s="58"/>
    </row>
    <row r="224" spans="1:71" ht="15.75" customHeight="1" x14ac:dyDescent="0.2">
      <c r="A224" s="87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7"/>
      <c r="P224" s="87"/>
      <c r="Q224" s="87"/>
      <c r="R224" s="87"/>
      <c r="S224" s="87"/>
      <c r="T224" s="87"/>
      <c r="U224" s="87"/>
      <c r="V224" s="88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  <c r="AQ224" s="92"/>
      <c r="AR224" s="92"/>
      <c r="AS224" s="92"/>
      <c r="AT224" s="92"/>
      <c r="AU224" s="92"/>
      <c r="AV224" s="92"/>
      <c r="AW224" s="92"/>
      <c r="AX224" s="92"/>
      <c r="AY224" s="92"/>
      <c r="AZ224" s="58"/>
      <c r="BA224" s="58"/>
      <c r="BB224" s="58"/>
      <c r="BC224" s="58"/>
      <c r="BD224" s="58"/>
      <c r="BE224" s="58"/>
      <c r="BF224" s="58"/>
      <c r="BG224" s="58"/>
      <c r="BH224" s="58"/>
      <c r="BI224" s="58"/>
      <c r="BJ224" s="58"/>
      <c r="BK224" s="58"/>
      <c r="BL224" s="58"/>
      <c r="BM224" s="58"/>
      <c r="BN224" s="58"/>
      <c r="BO224" s="58"/>
      <c r="BP224" s="58"/>
      <c r="BQ224" s="58"/>
      <c r="BR224" s="58"/>
      <c r="BS224" s="58"/>
    </row>
    <row r="225" spans="1:71" ht="15.75" customHeight="1" x14ac:dyDescent="0.2">
      <c r="A225" s="87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7"/>
      <c r="P225" s="87"/>
      <c r="Q225" s="87"/>
      <c r="R225" s="87"/>
      <c r="S225" s="87"/>
      <c r="T225" s="87"/>
      <c r="U225" s="87"/>
      <c r="V225" s="88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  <c r="AQ225" s="92"/>
      <c r="AR225" s="92"/>
      <c r="AS225" s="92"/>
      <c r="AT225" s="92"/>
      <c r="AU225" s="92"/>
      <c r="AV225" s="92"/>
      <c r="AW225" s="92"/>
      <c r="AX225" s="92"/>
      <c r="AY225" s="92"/>
      <c r="AZ225" s="58"/>
      <c r="BA225" s="58"/>
      <c r="BB225" s="58"/>
      <c r="BC225" s="58"/>
      <c r="BD225" s="58"/>
      <c r="BE225" s="58"/>
      <c r="BF225" s="58"/>
      <c r="BG225" s="58"/>
      <c r="BH225" s="58"/>
      <c r="BI225" s="58"/>
      <c r="BJ225" s="58"/>
      <c r="BK225" s="58"/>
      <c r="BL225" s="58"/>
      <c r="BM225" s="58"/>
      <c r="BN225" s="58"/>
      <c r="BO225" s="58"/>
      <c r="BP225" s="58"/>
      <c r="BQ225" s="58"/>
      <c r="BR225" s="58"/>
      <c r="BS225" s="58"/>
    </row>
    <row r="226" spans="1:71" ht="15.75" customHeight="1" x14ac:dyDescent="0.2">
      <c r="A226" s="87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7"/>
      <c r="P226" s="87"/>
      <c r="Q226" s="87"/>
      <c r="R226" s="87"/>
      <c r="S226" s="87"/>
      <c r="T226" s="87"/>
      <c r="U226" s="87"/>
      <c r="V226" s="88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  <c r="AQ226" s="92"/>
      <c r="AR226" s="92"/>
      <c r="AS226" s="92"/>
      <c r="AT226" s="92"/>
      <c r="AU226" s="92"/>
      <c r="AV226" s="92"/>
      <c r="AW226" s="92"/>
      <c r="AX226" s="92"/>
      <c r="AY226" s="92"/>
      <c r="AZ226" s="58"/>
      <c r="BA226" s="58"/>
      <c r="BB226" s="58"/>
      <c r="BC226" s="58"/>
      <c r="BD226" s="58"/>
      <c r="BE226" s="58"/>
      <c r="BF226" s="58"/>
      <c r="BG226" s="58"/>
      <c r="BH226" s="58"/>
      <c r="BI226" s="58"/>
      <c r="BJ226" s="58"/>
      <c r="BK226" s="58"/>
      <c r="BL226" s="58"/>
      <c r="BM226" s="58"/>
      <c r="BN226" s="58"/>
      <c r="BO226" s="58"/>
      <c r="BP226" s="58"/>
      <c r="BQ226" s="58"/>
      <c r="BR226" s="58"/>
      <c r="BS226" s="58"/>
    </row>
    <row r="227" spans="1:71" ht="15.75" customHeight="1" x14ac:dyDescent="0.2">
      <c r="A227" s="87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7"/>
      <c r="P227" s="87"/>
      <c r="Q227" s="87"/>
      <c r="R227" s="87"/>
      <c r="S227" s="87"/>
      <c r="T227" s="87"/>
      <c r="U227" s="87"/>
      <c r="V227" s="88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  <c r="AQ227" s="92"/>
      <c r="AR227" s="92"/>
      <c r="AS227" s="92"/>
      <c r="AT227" s="92"/>
      <c r="AU227" s="92"/>
      <c r="AV227" s="92"/>
      <c r="AW227" s="92"/>
      <c r="AX227" s="92"/>
      <c r="AY227" s="92"/>
      <c r="AZ227" s="58"/>
      <c r="BA227" s="58"/>
      <c r="BB227" s="58"/>
      <c r="BC227" s="58"/>
      <c r="BD227" s="58"/>
      <c r="BE227" s="58"/>
      <c r="BF227" s="58"/>
      <c r="BG227" s="58"/>
      <c r="BH227" s="58"/>
      <c r="BI227" s="58"/>
      <c r="BJ227" s="58"/>
      <c r="BK227" s="58"/>
      <c r="BL227" s="58"/>
      <c r="BM227" s="58"/>
      <c r="BN227" s="58"/>
      <c r="BO227" s="58"/>
      <c r="BP227" s="58"/>
      <c r="BQ227" s="58"/>
      <c r="BR227" s="58"/>
      <c r="BS227" s="58"/>
    </row>
    <row r="228" spans="1:71" ht="15.75" customHeight="1" x14ac:dyDescent="0.2">
      <c r="A228" s="87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7"/>
      <c r="P228" s="87"/>
      <c r="Q228" s="87"/>
      <c r="R228" s="87"/>
      <c r="S228" s="87"/>
      <c r="T228" s="87"/>
      <c r="U228" s="87"/>
      <c r="V228" s="88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  <c r="AQ228" s="92"/>
      <c r="AR228" s="92"/>
      <c r="AS228" s="92"/>
      <c r="AT228" s="92"/>
      <c r="AU228" s="92"/>
      <c r="AV228" s="92"/>
      <c r="AW228" s="92"/>
      <c r="AX228" s="92"/>
      <c r="AY228" s="92"/>
      <c r="AZ228" s="58"/>
      <c r="BA228" s="58"/>
      <c r="BB228" s="58"/>
      <c r="BC228" s="58"/>
      <c r="BD228" s="58"/>
      <c r="BE228" s="58"/>
      <c r="BF228" s="58"/>
      <c r="BG228" s="58"/>
      <c r="BH228" s="58"/>
      <c r="BI228" s="58"/>
      <c r="BJ228" s="58"/>
      <c r="BK228" s="58"/>
      <c r="BL228" s="58"/>
      <c r="BM228" s="58"/>
      <c r="BN228" s="58"/>
      <c r="BO228" s="58"/>
      <c r="BP228" s="58"/>
      <c r="BQ228" s="58"/>
      <c r="BR228" s="58"/>
      <c r="BS228" s="58"/>
    </row>
    <row r="229" spans="1:71" ht="15.75" customHeight="1" x14ac:dyDescent="0.2">
      <c r="A229" s="87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7"/>
      <c r="P229" s="87"/>
      <c r="Q229" s="87"/>
      <c r="R229" s="87"/>
      <c r="S229" s="87"/>
      <c r="T229" s="87"/>
      <c r="U229" s="87"/>
      <c r="V229" s="88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  <c r="AQ229" s="92"/>
      <c r="AR229" s="92"/>
      <c r="AS229" s="92"/>
      <c r="AT229" s="92"/>
      <c r="AU229" s="92"/>
      <c r="AV229" s="92"/>
      <c r="AW229" s="92"/>
      <c r="AX229" s="92"/>
      <c r="AY229" s="92"/>
      <c r="AZ229" s="58"/>
      <c r="BA229" s="58"/>
      <c r="BB229" s="58"/>
      <c r="BC229" s="58"/>
      <c r="BD229" s="58"/>
      <c r="BE229" s="58"/>
      <c r="BF229" s="58"/>
      <c r="BG229" s="58"/>
      <c r="BH229" s="58"/>
      <c r="BI229" s="58"/>
      <c r="BJ229" s="58"/>
      <c r="BK229" s="58"/>
      <c r="BL229" s="58"/>
      <c r="BM229" s="58"/>
      <c r="BN229" s="58"/>
      <c r="BO229" s="58"/>
      <c r="BP229" s="58"/>
      <c r="BQ229" s="58"/>
      <c r="BR229" s="58"/>
      <c r="BS229" s="58"/>
    </row>
    <row r="230" spans="1:71" ht="15.75" customHeight="1" x14ac:dyDescent="0.2">
      <c r="A230" s="87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7"/>
      <c r="P230" s="87"/>
      <c r="Q230" s="87"/>
      <c r="R230" s="87"/>
      <c r="S230" s="87"/>
      <c r="T230" s="87"/>
      <c r="U230" s="87"/>
      <c r="V230" s="88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  <c r="AQ230" s="92"/>
      <c r="AR230" s="92"/>
      <c r="AS230" s="92"/>
      <c r="AT230" s="92"/>
      <c r="AU230" s="92"/>
      <c r="AV230" s="92"/>
      <c r="AW230" s="92"/>
      <c r="AX230" s="92"/>
      <c r="AY230" s="92"/>
      <c r="AZ230" s="58"/>
      <c r="BA230" s="58"/>
      <c r="BB230" s="58"/>
      <c r="BC230" s="58"/>
      <c r="BD230" s="58"/>
      <c r="BE230" s="58"/>
      <c r="BF230" s="58"/>
      <c r="BG230" s="58"/>
      <c r="BH230" s="58"/>
      <c r="BI230" s="58"/>
      <c r="BJ230" s="58"/>
      <c r="BK230" s="58"/>
      <c r="BL230" s="58"/>
      <c r="BM230" s="58"/>
      <c r="BN230" s="58"/>
      <c r="BO230" s="58"/>
      <c r="BP230" s="58"/>
      <c r="BQ230" s="58"/>
      <c r="BR230" s="58"/>
      <c r="BS230" s="58"/>
    </row>
    <row r="231" spans="1:71" ht="15.75" customHeight="1" x14ac:dyDescent="0.2">
      <c r="A231" s="87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7"/>
      <c r="P231" s="87"/>
      <c r="Q231" s="87"/>
      <c r="R231" s="87"/>
      <c r="S231" s="87"/>
      <c r="T231" s="87"/>
      <c r="U231" s="87"/>
      <c r="V231" s="88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92"/>
      <c r="AR231" s="92"/>
      <c r="AS231" s="92"/>
      <c r="AT231" s="92"/>
      <c r="AU231" s="92"/>
      <c r="AV231" s="92"/>
      <c r="AW231" s="92"/>
      <c r="AX231" s="92"/>
      <c r="AY231" s="92"/>
      <c r="AZ231" s="58"/>
      <c r="BA231" s="58"/>
      <c r="BB231" s="58"/>
      <c r="BC231" s="58"/>
      <c r="BD231" s="58"/>
      <c r="BE231" s="58"/>
      <c r="BF231" s="58"/>
      <c r="BG231" s="58"/>
      <c r="BH231" s="58"/>
      <c r="BI231" s="58"/>
      <c r="BJ231" s="58"/>
      <c r="BK231" s="58"/>
      <c r="BL231" s="58"/>
      <c r="BM231" s="58"/>
      <c r="BN231" s="58"/>
      <c r="BO231" s="58"/>
      <c r="BP231" s="58"/>
      <c r="BQ231" s="58"/>
      <c r="BR231" s="58"/>
      <c r="BS231" s="58"/>
    </row>
    <row r="232" spans="1:71" ht="15.75" customHeight="1" x14ac:dyDescent="0.2">
      <c r="A232" s="90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7"/>
      <c r="P232" s="87"/>
      <c r="Q232" s="87"/>
      <c r="R232" s="87"/>
      <c r="S232" s="87"/>
      <c r="T232" s="87"/>
      <c r="U232" s="87"/>
      <c r="V232" s="88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G232" s="89"/>
      <c r="AH232" s="89"/>
      <c r="AI232" s="89"/>
      <c r="AJ232" s="89"/>
      <c r="AK232" s="89"/>
      <c r="AL232" s="89"/>
      <c r="AM232" s="89"/>
      <c r="AN232" s="89"/>
      <c r="AO232" s="89"/>
      <c r="AP232" s="89"/>
      <c r="AQ232" s="92"/>
      <c r="AR232" s="92"/>
      <c r="AS232" s="92"/>
      <c r="AT232" s="92"/>
      <c r="AU232" s="92"/>
      <c r="AV232" s="92"/>
      <c r="AW232" s="92"/>
      <c r="AX232" s="92"/>
      <c r="AY232" s="92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</row>
    <row r="233" spans="1:71" ht="15.75" customHeight="1" x14ac:dyDescent="0.2">
      <c r="A233" s="90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7"/>
      <c r="P233" s="87"/>
      <c r="Q233" s="87"/>
      <c r="R233" s="87"/>
      <c r="S233" s="87"/>
      <c r="T233" s="87"/>
      <c r="U233" s="87"/>
      <c r="V233" s="88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G233" s="89"/>
      <c r="AH233" s="89"/>
      <c r="AI233" s="89"/>
      <c r="AJ233" s="89"/>
      <c r="AK233" s="89"/>
      <c r="AL233" s="89"/>
      <c r="AM233" s="89"/>
      <c r="AN233" s="89"/>
      <c r="AO233" s="89"/>
      <c r="AP233" s="89"/>
      <c r="AQ233" s="92"/>
      <c r="AR233" s="92"/>
      <c r="AS233" s="92"/>
      <c r="AT233" s="92"/>
      <c r="AU233" s="92"/>
      <c r="AV233" s="92"/>
      <c r="AW233" s="92"/>
      <c r="AX233" s="92"/>
      <c r="AY233" s="92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</row>
    <row r="234" spans="1:71" ht="15.75" customHeight="1" x14ac:dyDescent="0.2">
      <c r="A234" s="90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7"/>
      <c r="P234" s="87"/>
      <c r="Q234" s="87"/>
      <c r="R234" s="87"/>
      <c r="S234" s="87"/>
      <c r="T234" s="87"/>
      <c r="U234" s="87"/>
      <c r="V234" s="88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G234" s="89"/>
      <c r="AH234" s="89"/>
      <c r="AI234" s="89"/>
      <c r="AJ234" s="89"/>
      <c r="AK234" s="89"/>
      <c r="AL234" s="89"/>
      <c r="AM234" s="89"/>
      <c r="AN234" s="89"/>
      <c r="AO234" s="89"/>
      <c r="AP234" s="89"/>
      <c r="AQ234" s="92"/>
      <c r="AR234" s="92"/>
      <c r="AS234" s="92"/>
      <c r="AT234" s="92"/>
      <c r="AU234" s="92"/>
      <c r="AV234" s="92"/>
      <c r="AW234" s="92"/>
      <c r="AX234" s="92"/>
      <c r="AY234" s="92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</row>
    <row r="235" spans="1:71" ht="15.75" customHeight="1" x14ac:dyDescent="0.2">
      <c r="A235" s="90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7"/>
      <c r="P235" s="87"/>
      <c r="Q235" s="87"/>
      <c r="R235" s="87"/>
      <c r="S235" s="87"/>
      <c r="T235" s="87"/>
      <c r="U235" s="87"/>
      <c r="V235" s="88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G235" s="89"/>
      <c r="AH235" s="89"/>
      <c r="AI235" s="89"/>
      <c r="AJ235" s="89"/>
      <c r="AK235" s="89"/>
      <c r="AL235" s="89"/>
      <c r="AM235" s="89"/>
      <c r="AN235" s="89"/>
      <c r="AO235" s="89"/>
      <c r="AP235" s="89"/>
      <c r="AQ235" s="92"/>
      <c r="AR235" s="92"/>
      <c r="AS235" s="92"/>
      <c r="AT235" s="92"/>
      <c r="AU235" s="92"/>
      <c r="AV235" s="92"/>
      <c r="AW235" s="92"/>
      <c r="AX235" s="92"/>
      <c r="AY235" s="92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</row>
    <row r="236" spans="1:71" ht="15.75" customHeight="1" x14ac:dyDescent="0.2">
      <c r="A236" s="90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7"/>
      <c r="P236" s="87"/>
      <c r="Q236" s="87"/>
      <c r="R236" s="87"/>
      <c r="S236" s="87"/>
      <c r="T236" s="87"/>
      <c r="U236" s="87"/>
      <c r="V236" s="88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G236" s="89"/>
      <c r="AH236" s="89"/>
      <c r="AI236" s="89"/>
      <c r="AJ236" s="89"/>
      <c r="AK236" s="89"/>
      <c r="AL236" s="89"/>
      <c r="AM236" s="89"/>
      <c r="AN236" s="89"/>
      <c r="AO236" s="89"/>
      <c r="AP236" s="89"/>
      <c r="AQ236" s="92"/>
      <c r="AR236" s="92"/>
      <c r="AS236" s="92"/>
      <c r="AT236" s="92"/>
      <c r="AU236" s="92"/>
      <c r="AV236" s="92"/>
      <c r="AW236" s="92"/>
      <c r="AX236" s="92"/>
      <c r="AY236" s="92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</row>
    <row r="237" spans="1:71" ht="15.75" customHeight="1" x14ac:dyDescent="0.2">
      <c r="A237" s="90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7"/>
      <c r="P237" s="87"/>
      <c r="Q237" s="87"/>
      <c r="R237" s="87"/>
      <c r="S237" s="87"/>
      <c r="T237" s="87"/>
      <c r="U237" s="87"/>
      <c r="V237" s="88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G237" s="89"/>
      <c r="AH237" s="89"/>
      <c r="AI237" s="89"/>
      <c r="AJ237" s="89"/>
      <c r="AK237" s="89"/>
      <c r="AL237" s="89"/>
      <c r="AM237" s="89"/>
      <c r="AN237" s="89"/>
      <c r="AO237" s="89"/>
      <c r="AP237" s="89"/>
      <c r="AQ237" s="92"/>
      <c r="AR237" s="92"/>
      <c r="AS237" s="92"/>
      <c r="AT237" s="92"/>
      <c r="AU237" s="92"/>
      <c r="AV237" s="92"/>
      <c r="AW237" s="92"/>
      <c r="AX237" s="92"/>
      <c r="AY237" s="92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</row>
    <row r="238" spans="1:71" ht="15.75" customHeight="1" x14ac:dyDescent="0.2">
      <c r="A238" s="90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7"/>
      <c r="P238" s="87"/>
      <c r="Q238" s="87"/>
      <c r="R238" s="87"/>
      <c r="S238" s="87"/>
      <c r="T238" s="87"/>
      <c r="U238" s="87"/>
      <c r="V238" s="88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G238" s="89"/>
      <c r="AH238" s="89"/>
      <c r="AI238" s="89"/>
      <c r="AJ238" s="89"/>
      <c r="AK238" s="89"/>
      <c r="AL238" s="89"/>
      <c r="AM238" s="89"/>
      <c r="AN238" s="89"/>
      <c r="AO238" s="89"/>
      <c r="AP238" s="89"/>
      <c r="AQ238" s="92"/>
      <c r="AR238" s="92"/>
      <c r="AS238" s="92"/>
      <c r="AT238" s="92"/>
      <c r="AU238" s="92"/>
      <c r="AV238" s="92"/>
      <c r="AW238" s="92"/>
      <c r="AX238" s="92"/>
      <c r="AY238" s="92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</row>
    <row r="239" spans="1:71" ht="15.75" customHeight="1" x14ac:dyDescent="0.2">
      <c r="A239" s="90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7"/>
      <c r="P239" s="87"/>
      <c r="Q239" s="87"/>
      <c r="R239" s="87"/>
      <c r="S239" s="87"/>
      <c r="T239" s="87"/>
      <c r="U239" s="87"/>
      <c r="V239" s="88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G239" s="89"/>
      <c r="AH239" s="89"/>
      <c r="AI239" s="89"/>
      <c r="AJ239" s="89"/>
      <c r="AK239" s="89"/>
      <c r="AL239" s="89"/>
      <c r="AM239" s="89"/>
      <c r="AN239" s="89"/>
      <c r="AO239" s="89"/>
      <c r="AP239" s="89"/>
      <c r="AQ239" s="92"/>
      <c r="AR239" s="92"/>
      <c r="AS239" s="92"/>
      <c r="AT239" s="92"/>
      <c r="AU239" s="92"/>
      <c r="AV239" s="92"/>
      <c r="AW239" s="92"/>
      <c r="AX239" s="92"/>
      <c r="AY239" s="92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</row>
    <row r="240" spans="1:71" ht="15.75" customHeight="1" x14ac:dyDescent="0.2">
      <c r="A240" s="90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90"/>
      <c r="P240" s="90"/>
      <c r="Q240" s="90"/>
      <c r="R240" s="90"/>
      <c r="S240" s="90"/>
      <c r="T240" s="90"/>
      <c r="U240" s="90"/>
      <c r="V240" s="91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G240" s="89"/>
      <c r="AH240" s="89"/>
      <c r="AI240" s="89"/>
      <c r="AJ240" s="89"/>
      <c r="AK240" s="89"/>
      <c r="AL240" s="89"/>
      <c r="AM240" s="89"/>
      <c r="AN240" s="89"/>
      <c r="AO240" s="89"/>
      <c r="AP240" s="89"/>
      <c r="AQ240" s="92"/>
      <c r="AR240" s="92"/>
      <c r="AS240" s="92"/>
      <c r="AT240" s="92"/>
      <c r="AU240" s="92"/>
      <c r="AV240" s="92"/>
      <c r="AW240" s="92"/>
      <c r="AX240" s="92"/>
      <c r="AY240" s="92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</row>
    <row r="241" spans="1:71" ht="15.75" customHeight="1" x14ac:dyDescent="0.2">
      <c r="A241" s="90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90"/>
      <c r="P241" s="90"/>
      <c r="Q241" s="90"/>
      <c r="R241" s="90"/>
      <c r="S241" s="90"/>
      <c r="T241" s="90"/>
      <c r="U241" s="90"/>
      <c r="V241" s="91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G241" s="89"/>
      <c r="AH241" s="89"/>
      <c r="AI241" s="89"/>
      <c r="AJ241" s="89"/>
      <c r="AK241" s="89"/>
      <c r="AL241" s="89"/>
      <c r="AM241" s="89"/>
      <c r="AN241" s="89"/>
      <c r="AO241" s="89"/>
      <c r="AP241" s="89"/>
      <c r="AQ241" s="92"/>
      <c r="AR241" s="92"/>
      <c r="AS241" s="92"/>
      <c r="AT241" s="92"/>
      <c r="AU241" s="92"/>
      <c r="AV241" s="92"/>
      <c r="AW241" s="92"/>
      <c r="AX241" s="92"/>
      <c r="AY241" s="92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</row>
    <row r="242" spans="1:71" ht="15.75" customHeight="1" x14ac:dyDescent="0.2">
      <c r="A242" s="90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90"/>
      <c r="P242" s="90"/>
      <c r="Q242" s="90"/>
      <c r="R242" s="90"/>
      <c r="S242" s="90"/>
      <c r="T242" s="90"/>
      <c r="U242" s="90"/>
      <c r="V242" s="91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G242" s="89"/>
      <c r="AH242" s="89"/>
      <c r="AI242" s="89"/>
      <c r="AJ242" s="89"/>
      <c r="AK242" s="89"/>
      <c r="AL242" s="89"/>
      <c r="AM242" s="89"/>
      <c r="AN242" s="89"/>
      <c r="AO242" s="89"/>
      <c r="AP242" s="89"/>
      <c r="AQ242" s="92"/>
      <c r="AR242" s="92"/>
      <c r="AS242" s="92"/>
      <c r="AT242" s="92"/>
      <c r="AU242" s="92"/>
      <c r="AV242" s="92"/>
      <c r="AW242" s="92"/>
      <c r="AX242" s="92"/>
      <c r="AY242" s="92"/>
      <c r="AZ242" s="58"/>
      <c r="BA242" s="58"/>
      <c r="BB242" s="58"/>
      <c r="BC242" s="58"/>
      <c r="BD242" s="58"/>
      <c r="BE242" s="58"/>
      <c r="BF242" s="58"/>
      <c r="BG242" s="58"/>
      <c r="BH242" s="58"/>
      <c r="BI242" s="58"/>
      <c r="BJ242" s="58"/>
      <c r="BK242" s="58"/>
      <c r="BL242" s="58"/>
      <c r="BM242" s="58"/>
      <c r="BN242" s="58"/>
      <c r="BO242" s="58"/>
      <c r="BP242" s="58"/>
      <c r="BQ242" s="58"/>
      <c r="BR242" s="58"/>
      <c r="BS242" s="58"/>
    </row>
    <row r="243" spans="1:71" ht="15.75" customHeight="1" x14ac:dyDescent="0.2">
      <c r="A243" s="90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90"/>
      <c r="P243" s="90"/>
      <c r="Q243" s="90"/>
      <c r="R243" s="90"/>
      <c r="S243" s="90"/>
      <c r="T243" s="90"/>
      <c r="U243" s="90"/>
      <c r="V243" s="91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G243" s="89"/>
      <c r="AH243" s="89"/>
      <c r="AI243" s="89"/>
      <c r="AJ243" s="89"/>
      <c r="AK243" s="89"/>
      <c r="AL243" s="89"/>
      <c r="AM243" s="89"/>
      <c r="AN243" s="89"/>
      <c r="AO243" s="89"/>
      <c r="AP243" s="89"/>
      <c r="AQ243" s="92"/>
      <c r="AR243" s="92"/>
      <c r="AS243" s="92"/>
      <c r="AT243" s="92"/>
      <c r="AU243" s="92"/>
      <c r="AV243" s="92"/>
      <c r="AW243" s="92"/>
      <c r="AX243" s="92"/>
      <c r="AY243" s="92"/>
      <c r="AZ243" s="58"/>
      <c r="BA243" s="58"/>
      <c r="BB243" s="58"/>
      <c r="BC243" s="58"/>
      <c r="BD243" s="58"/>
      <c r="BE243" s="58"/>
      <c r="BF243" s="58"/>
      <c r="BG243" s="58"/>
      <c r="BH243" s="58"/>
      <c r="BI243" s="58"/>
      <c r="BJ243" s="58"/>
      <c r="BK243" s="58"/>
      <c r="BL243" s="58"/>
      <c r="BM243" s="58"/>
      <c r="BN243" s="58"/>
      <c r="BO243" s="58"/>
      <c r="BP243" s="58"/>
      <c r="BQ243" s="58"/>
      <c r="BR243" s="58"/>
      <c r="BS243" s="58"/>
    </row>
    <row r="244" spans="1:71" ht="15.75" customHeight="1" x14ac:dyDescent="0.2">
      <c r="A244" s="90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90"/>
      <c r="P244" s="90"/>
      <c r="Q244" s="90"/>
      <c r="R244" s="90"/>
      <c r="S244" s="90"/>
      <c r="T244" s="90"/>
      <c r="U244" s="90"/>
      <c r="V244" s="91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G244" s="89"/>
      <c r="AH244" s="89"/>
      <c r="AI244" s="89"/>
      <c r="AJ244" s="89"/>
      <c r="AK244" s="89"/>
      <c r="AL244" s="89"/>
      <c r="AM244" s="89"/>
      <c r="AN244" s="89"/>
      <c r="AO244" s="89"/>
      <c r="AP244" s="89"/>
      <c r="AQ244" s="92"/>
      <c r="AR244" s="92"/>
      <c r="AS244" s="92"/>
      <c r="AT244" s="92"/>
      <c r="AU244" s="92"/>
      <c r="AV244" s="92"/>
      <c r="AW244" s="92"/>
      <c r="AX244" s="92"/>
      <c r="AY244" s="92"/>
      <c r="AZ244" s="58"/>
      <c r="BA244" s="58"/>
      <c r="BB244" s="58"/>
      <c r="BC244" s="58"/>
      <c r="BD244" s="58"/>
      <c r="BE244" s="58"/>
      <c r="BF244" s="58"/>
      <c r="BG244" s="58"/>
      <c r="BH244" s="58"/>
      <c r="BI244" s="58"/>
      <c r="BJ244" s="58"/>
      <c r="BK244" s="58"/>
      <c r="BL244" s="58"/>
      <c r="BM244" s="58"/>
      <c r="BN244" s="58"/>
      <c r="BO244" s="58"/>
      <c r="BP244" s="58"/>
      <c r="BQ244" s="58"/>
      <c r="BR244" s="58"/>
      <c r="BS244" s="58"/>
    </row>
    <row r="245" spans="1:71" ht="15.75" customHeight="1" x14ac:dyDescent="0.2">
      <c r="A245" s="90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90"/>
      <c r="P245" s="90"/>
      <c r="Q245" s="90"/>
      <c r="R245" s="90"/>
      <c r="S245" s="90"/>
      <c r="T245" s="90"/>
      <c r="U245" s="90"/>
      <c r="V245" s="91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G245" s="89"/>
      <c r="AH245" s="89"/>
      <c r="AI245" s="89"/>
      <c r="AJ245" s="89"/>
      <c r="AK245" s="89"/>
      <c r="AL245" s="89"/>
      <c r="AM245" s="89"/>
      <c r="AN245" s="89"/>
      <c r="AO245" s="89"/>
      <c r="AP245" s="89"/>
      <c r="AQ245" s="92"/>
      <c r="AR245" s="92"/>
      <c r="AS245" s="92"/>
      <c r="AT245" s="92"/>
      <c r="AU245" s="92"/>
      <c r="AV245" s="92"/>
      <c r="AW245" s="92"/>
      <c r="AX245" s="92"/>
      <c r="AY245" s="92"/>
      <c r="AZ245" s="58"/>
      <c r="BA245" s="58"/>
      <c r="BB245" s="58"/>
      <c r="BC245" s="58"/>
      <c r="BD245" s="58"/>
      <c r="BE245" s="58"/>
      <c r="BF245" s="58"/>
      <c r="BG245" s="58"/>
      <c r="BH245" s="58"/>
      <c r="BI245" s="58"/>
      <c r="BJ245" s="58"/>
      <c r="BK245" s="58"/>
      <c r="BL245" s="58"/>
      <c r="BM245" s="58"/>
      <c r="BN245" s="58"/>
      <c r="BO245" s="58"/>
      <c r="BP245" s="58"/>
      <c r="BQ245" s="58"/>
      <c r="BR245" s="58"/>
      <c r="BS245" s="58"/>
    </row>
    <row r="246" spans="1:71" ht="15.75" customHeight="1" x14ac:dyDescent="0.2">
      <c r="A246" s="90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90"/>
      <c r="P246" s="90"/>
      <c r="Q246" s="90"/>
      <c r="R246" s="90"/>
      <c r="S246" s="90"/>
      <c r="T246" s="90"/>
      <c r="U246" s="90"/>
      <c r="V246" s="91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G246" s="89"/>
      <c r="AH246" s="89"/>
      <c r="AI246" s="89"/>
      <c r="AJ246" s="89"/>
      <c r="AK246" s="89"/>
      <c r="AL246" s="89"/>
      <c r="AM246" s="89"/>
      <c r="AN246" s="89"/>
      <c r="AO246" s="89"/>
      <c r="AP246" s="89"/>
      <c r="AQ246" s="92"/>
      <c r="AR246" s="92"/>
      <c r="AS246" s="92"/>
      <c r="AT246" s="92"/>
      <c r="AU246" s="92"/>
      <c r="AV246" s="92"/>
      <c r="AW246" s="92"/>
      <c r="AX246" s="92"/>
      <c r="AY246" s="92"/>
      <c r="AZ246" s="58"/>
      <c r="BA246" s="58"/>
      <c r="BB246" s="58"/>
      <c r="BC246" s="58"/>
      <c r="BD246" s="58"/>
      <c r="BE246" s="58"/>
      <c r="BF246" s="58"/>
      <c r="BG246" s="58"/>
      <c r="BH246" s="58"/>
      <c r="BI246" s="58"/>
      <c r="BJ246" s="58"/>
      <c r="BK246" s="58"/>
      <c r="BL246" s="58"/>
      <c r="BM246" s="58"/>
      <c r="BN246" s="58"/>
      <c r="BO246" s="58"/>
      <c r="BP246" s="58"/>
      <c r="BQ246" s="58"/>
      <c r="BR246" s="58"/>
      <c r="BS246" s="58"/>
    </row>
    <row r="247" spans="1:71" ht="15.75" customHeight="1" x14ac:dyDescent="0.2">
      <c r="A247" s="90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90"/>
      <c r="P247" s="90"/>
      <c r="Q247" s="90"/>
      <c r="R247" s="90"/>
      <c r="S247" s="90"/>
      <c r="T247" s="90"/>
      <c r="U247" s="90"/>
      <c r="V247" s="91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G247" s="89"/>
      <c r="AH247" s="89"/>
      <c r="AI247" s="89"/>
      <c r="AJ247" s="89"/>
      <c r="AK247" s="89"/>
      <c r="AL247" s="89"/>
      <c r="AM247" s="89"/>
      <c r="AN247" s="89"/>
      <c r="AO247" s="89"/>
      <c r="AP247" s="89"/>
      <c r="AQ247" s="92"/>
      <c r="AR247" s="92"/>
      <c r="AS247" s="92"/>
      <c r="AT247" s="92"/>
      <c r="AU247" s="92"/>
      <c r="AV247" s="92"/>
      <c r="AW247" s="92"/>
      <c r="AX247" s="92"/>
      <c r="AY247" s="92"/>
      <c r="AZ247" s="58"/>
      <c r="BA247" s="58"/>
      <c r="BB247" s="58"/>
      <c r="BC247" s="58"/>
      <c r="BD247" s="58"/>
      <c r="BE247" s="58"/>
      <c r="BF247" s="58"/>
      <c r="BG247" s="58"/>
      <c r="BH247" s="58"/>
      <c r="BI247" s="58"/>
      <c r="BJ247" s="58"/>
      <c r="BK247" s="58"/>
      <c r="BL247" s="58"/>
      <c r="BM247" s="58"/>
      <c r="BN247" s="58"/>
      <c r="BO247" s="58"/>
      <c r="BP247" s="58"/>
      <c r="BQ247" s="58"/>
      <c r="BR247" s="58"/>
      <c r="BS247" s="58"/>
    </row>
    <row r="248" spans="1:71" ht="15.75" customHeight="1" x14ac:dyDescent="0.2">
      <c r="A248" s="90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90"/>
      <c r="P248" s="90"/>
      <c r="Q248" s="90"/>
      <c r="R248" s="90"/>
      <c r="S248" s="90"/>
      <c r="T248" s="90"/>
      <c r="U248" s="90"/>
      <c r="V248" s="91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G248" s="89"/>
      <c r="AH248" s="89"/>
      <c r="AI248" s="89"/>
      <c r="AJ248" s="89"/>
      <c r="AK248" s="89"/>
      <c r="AL248" s="89"/>
      <c r="AM248" s="89"/>
      <c r="AN248" s="89"/>
      <c r="AO248" s="89"/>
      <c r="AP248" s="89"/>
      <c r="AQ248" s="92"/>
      <c r="AR248" s="92"/>
      <c r="AS248" s="92"/>
      <c r="AT248" s="92"/>
      <c r="AU248" s="92"/>
      <c r="AV248" s="92"/>
      <c r="AW248" s="92"/>
      <c r="AX248" s="92"/>
      <c r="AY248" s="92"/>
      <c r="AZ248" s="58"/>
      <c r="BA248" s="58"/>
      <c r="BB248" s="58"/>
      <c r="BC248" s="58"/>
      <c r="BD248" s="58"/>
      <c r="BE248" s="58"/>
      <c r="BF248" s="58"/>
      <c r="BG248" s="58"/>
      <c r="BH248" s="58"/>
      <c r="BI248" s="58"/>
      <c r="BJ248" s="58"/>
      <c r="BK248" s="58"/>
      <c r="BL248" s="58"/>
      <c r="BM248" s="58"/>
      <c r="BN248" s="58"/>
      <c r="BO248" s="58"/>
      <c r="BP248" s="58"/>
      <c r="BQ248" s="58"/>
      <c r="BR248" s="58"/>
      <c r="BS248" s="58"/>
    </row>
    <row r="249" spans="1:71" ht="15.75" customHeight="1" x14ac:dyDescent="0.2">
      <c r="A249" s="90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90"/>
      <c r="P249" s="90"/>
      <c r="Q249" s="90"/>
      <c r="R249" s="90"/>
      <c r="S249" s="90"/>
      <c r="T249" s="90"/>
      <c r="U249" s="90"/>
      <c r="V249" s="91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G249" s="89"/>
      <c r="AH249" s="89"/>
      <c r="AI249" s="89"/>
      <c r="AJ249" s="89"/>
      <c r="AK249" s="89"/>
      <c r="AL249" s="89"/>
      <c r="AM249" s="89"/>
      <c r="AN249" s="89"/>
      <c r="AO249" s="89"/>
      <c r="AP249" s="89"/>
      <c r="AQ249" s="92"/>
      <c r="AR249" s="92"/>
      <c r="AS249" s="92"/>
      <c r="AT249" s="92"/>
      <c r="AU249" s="92"/>
      <c r="AV249" s="92"/>
      <c r="AW249" s="92"/>
      <c r="AX249" s="92"/>
      <c r="AY249" s="92"/>
      <c r="AZ249" s="58"/>
      <c r="BA249" s="58"/>
      <c r="BB249" s="58"/>
      <c r="BC249" s="58"/>
      <c r="BD249" s="58"/>
      <c r="BE249" s="58"/>
      <c r="BF249" s="58"/>
      <c r="BG249" s="58"/>
      <c r="BH249" s="58"/>
      <c r="BI249" s="58"/>
      <c r="BJ249" s="58"/>
      <c r="BK249" s="58"/>
      <c r="BL249" s="58"/>
      <c r="BM249" s="58"/>
      <c r="BN249" s="58"/>
      <c r="BO249" s="58"/>
      <c r="BP249" s="58"/>
      <c r="BQ249" s="58"/>
      <c r="BR249" s="58"/>
      <c r="BS249" s="58"/>
    </row>
    <row r="250" spans="1:71" ht="15.75" customHeight="1" x14ac:dyDescent="0.2">
      <c r="A250" s="90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90"/>
      <c r="P250" s="90"/>
      <c r="Q250" s="90"/>
      <c r="R250" s="90"/>
      <c r="S250" s="90"/>
      <c r="T250" s="90"/>
      <c r="U250" s="90"/>
      <c r="V250" s="91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G250" s="89"/>
      <c r="AH250" s="89"/>
      <c r="AI250" s="89"/>
      <c r="AJ250" s="89"/>
      <c r="AK250" s="89"/>
      <c r="AL250" s="89"/>
      <c r="AM250" s="89"/>
      <c r="AN250" s="89"/>
      <c r="AO250" s="89"/>
      <c r="AP250" s="89"/>
      <c r="AQ250" s="92"/>
      <c r="AR250" s="92"/>
      <c r="AS250" s="92"/>
      <c r="AT250" s="92"/>
      <c r="AU250" s="92"/>
      <c r="AV250" s="92"/>
      <c r="AW250" s="92"/>
      <c r="AX250" s="92"/>
      <c r="AY250" s="92"/>
      <c r="AZ250" s="58"/>
      <c r="BA250" s="58"/>
      <c r="BB250" s="58"/>
      <c r="BC250" s="58"/>
      <c r="BD250" s="58"/>
      <c r="BE250" s="58"/>
      <c r="BF250" s="58"/>
      <c r="BG250" s="58"/>
      <c r="BH250" s="58"/>
      <c r="BI250" s="58"/>
      <c r="BJ250" s="58"/>
      <c r="BK250" s="58"/>
      <c r="BL250" s="58"/>
      <c r="BM250" s="58"/>
      <c r="BN250" s="58"/>
      <c r="BO250" s="58"/>
      <c r="BP250" s="58"/>
      <c r="BQ250" s="58"/>
      <c r="BR250" s="58"/>
      <c r="BS250" s="58"/>
    </row>
    <row r="251" spans="1:71" ht="15.75" customHeight="1" x14ac:dyDescent="0.2">
      <c r="A251" s="90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90"/>
      <c r="P251" s="90"/>
      <c r="Q251" s="90"/>
      <c r="R251" s="90"/>
      <c r="S251" s="90"/>
      <c r="T251" s="90"/>
      <c r="U251" s="90"/>
      <c r="V251" s="91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G251" s="89"/>
      <c r="AH251" s="89"/>
      <c r="AI251" s="89"/>
      <c r="AJ251" s="89"/>
      <c r="AK251" s="89"/>
      <c r="AL251" s="89"/>
      <c r="AM251" s="89"/>
      <c r="AN251" s="89"/>
      <c r="AO251" s="89"/>
      <c r="AP251" s="89"/>
      <c r="AQ251" s="92"/>
      <c r="AR251" s="92"/>
      <c r="AS251" s="92"/>
      <c r="AT251" s="92"/>
      <c r="AU251" s="92"/>
      <c r="AV251" s="92"/>
      <c r="AW251" s="92"/>
      <c r="AX251" s="92"/>
      <c r="AY251" s="92"/>
      <c r="AZ251" s="58"/>
      <c r="BA251" s="58"/>
      <c r="BB251" s="58"/>
      <c r="BC251" s="58"/>
      <c r="BD251" s="58"/>
      <c r="BE251" s="58"/>
      <c r="BF251" s="58"/>
      <c r="BG251" s="58"/>
      <c r="BH251" s="58"/>
      <c r="BI251" s="58"/>
      <c r="BJ251" s="58"/>
      <c r="BK251" s="58"/>
      <c r="BL251" s="58"/>
      <c r="BM251" s="58"/>
      <c r="BN251" s="58"/>
      <c r="BO251" s="58"/>
      <c r="BP251" s="58"/>
      <c r="BQ251" s="58"/>
      <c r="BR251" s="58"/>
      <c r="BS251" s="58"/>
    </row>
    <row r="252" spans="1:71" ht="15.75" customHeight="1" x14ac:dyDescent="0.2">
      <c r="A252" s="90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90"/>
      <c r="P252" s="90"/>
      <c r="Q252" s="90"/>
      <c r="R252" s="90"/>
      <c r="S252" s="90"/>
      <c r="T252" s="90"/>
      <c r="U252" s="90"/>
      <c r="V252" s="91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G252" s="89"/>
      <c r="AH252" s="89"/>
      <c r="AI252" s="89"/>
      <c r="AJ252" s="89"/>
      <c r="AK252" s="89"/>
      <c r="AL252" s="89"/>
      <c r="AM252" s="89"/>
      <c r="AN252" s="89"/>
      <c r="AO252" s="89"/>
      <c r="AP252" s="89"/>
      <c r="AQ252" s="92"/>
      <c r="AR252" s="92"/>
      <c r="AS252" s="92"/>
      <c r="AT252" s="92"/>
      <c r="AU252" s="92"/>
      <c r="AV252" s="92"/>
      <c r="AW252" s="92"/>
      <c r="AX252" s="92"/>
      <c r="AY252" s="92"/>
      <c r="AZ252" s="58"/>
      <c r="BA252" s="58"/>
      <c r="BB252" s="58"/>
      <c r="BC252" s="58"/>
      <c r="BD252" s="58"/>
      <c r="BE252" s="58"/>
      <c r="BF252" s="58"/>
      <c r="BG252" s="58"/>
      <c r="BH252" s="58"/>
      <c r="BI252" s="58"/>
      <c r="BJ252" s="58"/>
      <c r="BK252" s="58"/>
      <c r="BL252" s="58"/>
      <c r="BM252" s="58"/>
      <c r="BN252" s="58"/>
      <c r="BO252" s="58"/>
      <c r="BP252" s="58"/>
      <c r="BQ252" s="58"/>
      <c r="BR252" s="58"/>
      <c r="BS252" s="58"/>
    </row>
    <row r="253" spans="1:71" ht="15.75" customHeight="1" x14ac:dyDescent="0.2">
      <c r="A253" s="90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90"/>
      <c r="P253" s="90"/>
      <c r="Q253" s="90"/>
      <c r="R253" s="90"/>
      <c r="S253" s="90"/>
      <c r="T253" s="90"/>
      <c r="U253" s="90"/>
      <c r="V253" s="91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G253" s="89"/>
      <c r="AH253" s="89"/>
      <c r="AI253" s="89"/>
      <c r="AJ253" s="89"/>
      <c r="AK253" s="89"/>
      <c r="AL253" s="89"/>
      <c r="AM253" s="89"/>
      <c r="AN253" s="89"/>
      <c r="AO253" s="89"/>
      <c r="AP253" s="89"/>
      <c r="AQ253" s="92"/>
      <c r="AR253" s="92"/>
      <c r="AS253" s="92"/>
      <c r="AT253" s="92"/>
      <c r="AU253" s="92"/>
      <c r="AV253" s="92"/>
      <c r="AW253" s="92"/>
      <c r="AX253" s="92"/>
      <c r="AY253" s="92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</row>
    <row r="254" spans="1:71" ht="15.75" customHeight="1" x14ac:dyDescent="0.2">
      <c r="A254" s="90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90"/>
      <c r="P254" s="90"/>
      <c r="Q254" s="90"/>
      <c r="R254" s="90"/>
      <c r="S254" s="90"/>
      <c r="T254" s="90"/>
      <c r="U254" s="90"/>
      <c r="V254" s="91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G254" s="89"/>
      <c r="AH254" s="89"/>
      <c r="AI254" s="89"/>
      <c r="AJ254" s="89"/>
      <c r="AK254" s="89"/>
      <c r="AL254" s="89"/>
      <c r="AM254" s="89"/>
      <c r="AN254" s="89"/>
      <c r="AO254" s="89"/>
      <c r="AP254" s="89"/>
      <c r="AQ254" s="92"/>
      <c r="AR254" s="92"/>
      <c r="AS254" s="92"/>
      <c r="AT254" s="92"/>
      <c r="AU254" s="92"/>
      <c r="AV254" s="92"/>
      <c r="AW254" s="92"/>
      <c r="AX254" s="92"/>
      <c r="AY254" s="92"/>
      <c r="AZ254" s="58"/>
      <c r="BA254" s="58"/>
      <c r="BB254" s="58"/>
      <c r="BC254" s="58"/>
      <c r="BD254" s="58"/>
      <c r="BE254" s="58"/>
      <c r="BF254" s="58"/>
      <c r="BG254" s="58"/>
      <c r="BH254" s="58"/>
      <c r="BI254" s="58"/>
      <c r="BJ254" s="58"/>
      <c r="BK254" s="58"/>
      <c r="BL254" s="58"/>
      <c r="BM254" s="58"/>
      <c r="BN254" s="58"/>
      <c r="BO254" s="58"/>
      <c r="BP254" s="58"/>
      <c r="BQ254" s="58"/>
      <c r="BR254" s="58"/>
      <c r="BS254" s="58"/>
    </row>
    <row r="255" spans="1:71" ht="15.75" customHeight="1" x14ac:dyDescent="0.2">
      <c r="A255" s="90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90"/>
      <c r="P255" s="90"/>
      <c r="Q255" s="90"/>
      <c r="R255" s="90"/>
      <c r="S255" s="90"/>
      <c r="T255" s="90"/>
      <c r="U255" s="90"/>
      <c r="V255" s="91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G255" s="89"/>
      <c r="AH255" s="89"/>
      <c r="AI255" s="89"/>
      <c r="AJ255" s="89"/>
      <c r="AK255" s="89"/>
      <c r="AL255" s="89"/>
      <c r="AM255" s="89"/>
      <c r="AN255" s="89"/>
      <c r="AO255" s="89"/>
      <c r="AP255" s="89"/>
      <c r="AQ255" s="92"/>
      <c r="AR255" s="92"/>
      <c r="AS255" s="92"/>
      <c r="AT255" s="92"/>
      <c r="AU255" s="92"/>
      <c r="AV255" s="92"/>
      <c r="AW255" s="92"/>
      <c r="AX255" s="92"/>
      <c r="AY255" s="92"/>
      <c r="AZ255" s="58"/>
      <c r="BA255" s="58"/>
      <c r="BB255" s="58"/>
      <c r="BC255" s="58"/>
      <c r="BD255" s="58"/>
      <c r="BE255" s="58"/>
      <c r="BF255" s="58"/>
      <c r="BG255" s="58"/>
      <c r="BH255" s="58"/>
      <c r="BI255" s="58"/>
      <c r="BJ255" s="58"/>
      <c r="BK255" s="58"/>
      <c r="BL255" s="58"/>
      <c r="BM255" s="58"/>
      <c r="BN255" s="58"/>
      <c r="BO255" s="58"/>
      <c r="BP255" s="58"/>
      <c r="BQ255" s="58"/>
      <c r="BR255" s="58"/>
      <c r="BS255" s="58"/>
    </row>
    <row r="256" spans="1:71" ht="15.75" customHeight="1" x14ac:dyDescent="0.2">
      <c r="A256" s="90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90"/>
      <c r="P256" s="90"/>
      <c r="Q256" s="90"/>
      <c r="R256" s="90"/>
      <c r="S256" s="90"/>
      <c r="T256" s="90"/>
      <c r="U256" s="90"/>
      <c r="V256" s="91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G256" s="89"/>
      <c r="AH256" s="89"/>
      <c r="AI256" s="89"/>
      <c r="AJ256" s="89"/>
      <c r="AK256" s="89"/>
      <c r="AL256" s="89"/>
      <c r="AM256" s="89"/>
      <c r="AN256" s="89"/>
      <c r="AO256" s="89"/>
      <c r="AP256" s="89"/>
      <c r="AQ256" s="92"/>
      <c r="AR256" s="92"/>
      <c r="AS256" s="92"/>
      <c r="AT256" s="92"/>
      <c r="AU256" s="92"/>
      <c r="AV256" s="92"/>
      <c r="AW256" s="92"/>
      <c r="AX256" s="92"/>
      <c r="AY256" s="92"/>
      <c r="AZ256" s="58"/>
      <c r="BA256" s="58"/>
      <c r="BB256" s="58"/>
      <c r="BC256" s="58"/>
      <c r="BD256" s="58"/>
      <c r="BE256" s="58"/>
      <c r="BF256" s="58"/>
      <c r="BG256" s="58"/>
      <c r="BH256" s="58"/>
      <c r="BI256" s="58"/>
      <c r="BJ256" s="58"/>
      <c r="BK256" s="58"/>
      <c r="BL256" s="58"/>
      <c r="BM256" s="58"/>
      <c r="BN256" s="58"/>
      <c r="BO256" s="58"/>
      <c r="BP256" s="58"/>
      <c r="BQ256" s="58"/>
      <c r="BR256" s="58"/>
      <c r="BS256" s="58"/>
    </row>
    <row r="257" spans="1:71" ht="15.75" customHeight="1" x14ac:dyDescent="0.2">
      <c r="A257" s="90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90"/>
      <c r="P257" s="90"/>
      <c r="Q257" s="90"/>
      <c r="R257" s="90"/>
      <c r="S257" s="90"/>
      <c r="T257" s="90"/>
      <c r="U257" s="90"/>
      <c r="V257" s="91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G257" s="89"/>
      <c r="AH257" s="89"/>
      <c r="AI257" s="89"/>
      <c r="AJ257" s="89"/>
      <c r="AK257" s="89"/>
      <c r="AL257" s="89"/>
      <c r="AM257" s="89"/>
      <c r="AN257" s="89"/>
      <c r="AO257" s="89"/>
      <c r="AP257" s="89"/>
      <c r="AQ257" s="92"/>
      <c r="AR257" s="92"/>
      <c r="AS257" s="92"/>
      <c r="AT257" s="92"/>
      <c r="AU257" s="92"/>
      <c r="AV257" s="92"/>
      <c r="AW257" s="92"/>
      <c r="AX257" s="92"/>
      <c r="AY257" s="92"/>
      <c r="AZ257" s="58"/>
      <c r="BA257" s="58"/>
      <c r="BB257" s="58"/>
      <c r="BC257" s="58"/>
      <c r="BD257" s="58"/>
      <c r="BE257" s="58"/>
      <c r="BF257" s="58"/>
      <c r="BG257" s="58"/>
      <c r="BH257" s="58"/>
      <c r="BI257" s="58"/>
      <c r="BJ257" s="58"/>
      <c r="BK257" s="58"/>
      <c r="BL257" s="58"/>
      <c r="BM257" s="58"/>
      <c r="BN257" s="58"/>
      <c r="BO257" s="58"/>
      <c r="BP257" s="58"/>
      <c r="BQ257" s="58"/>
      <c r="BR257" s="58"/>
      <c r="BS257" s="58"/>
    </row>
    <row r="258" spans="1:71" ht="15.75" customHeight="1" x14ac:dyDescent="0.2">
      <c r="A258" s="90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90"/>
      <c r="P258" s="90"/>
      <c r="Q258" s="90"/>
      <c r="R258" s="90"/>
      <c r="S258" s="90"/>
      <c r="T258" s="90"/>
      <c r="U258" s="90"/>
      <c r="V258" s="91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G258" s="89"/>
      <c r="AH258" s="89"/>
      <c r="AI258" s="89"/>
      <c r="AJ258" s="89"/>
      <c r="AK258" s="89"/>
      <c r="AL258" s="89"/>
      <c r="AM258" s="89"/>
      <c r="AN258" s="89"/>
      <c r="AO258" s="89"/>
      <c r="AP258" s="89"/>
      <c r="AQ258" s="92"/>
      <c r="AR258" s="92"/>
      <c r="AS258" s="92"/>
      <c r="AT258" s="92"/>
      <c r="AU258" s="92"/>
      <c r="AV258" s="92"/>
      <c r="AW258" s="92"/>
      <c r="AX258" s="92"/>
      <c r="AY258" s="92"/>
      <c r="AZ258" s="58"/>
      <c r="BA258" s="58"/>
      <c r="BB258" s="58"/>
      <c r="BC258" s="58"/>
      <c r="BD258" s="58"/>
      <c r="BE258" s="58"/>
      <c r="BF258" s="58"/>
      <c r="BG258" s="58"/>
      <c r="BH258" s="58"/>
      <c r="BI258" s="58"/>
      <c r="BJ258" s="58"/>
      <c r="BK258" s="58"/>
      <c r="BL258" s="58"/>
      <c r="BM258" s="58"/>
      <c r="BN258" s="58"/>
      <c r="BO258" s="58"/>
      <c r="BP258" s="58"/>
      <c r="BQ258" s="58"/>
      <c r="BR258" s="58"/>
      <c r="BS258" s="58"/>
    </row>
    <row r="259" spans="1:71" ht="15.75" customHeight="1" x14ac:dyDescent="0.2">
      <c r="A259" s="90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90"/>
      <c r="P259" s="90"/>
      <c r="Q259" s="90"/>
      <c r="R259" s="90"/>
      <c r="S259" s="90"/>
      <c r="T259" s="90"/>
      <c r="U259" s="90"/>
      <c r="V259" s="91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G259" s="89"/>
      <c r="AH259" s="89"/>
      <c r="AI259" s="89"/>
      <c r="AJ259" s="89"/>
      <c r="AK259" s="89"/>
      <c r="AL259" s="89"/>
      <c r="AM259" s="89"/>
      <c r="AN259" s="89"/>
      <c r="AO259" s="89"/>
      <c r="AP259" s="89"/>
      <c r="AQ259" s="92"/>
      <c r="AR259" s="92"/>
      <c r="AS259" s="92"/>
      <c r="AT259" s="92"/>
      <c r="AU259" s="92"/>
      <c r="AV259" s="92"/>
      <c r="AW259" s="92"/>
      <c r="AX259" s="92"/>
      <c r="AY259" s="92"/>
      <c r="AZ259" s="58"/>
      <c r="BA259" s="58"/>
      <c r="BB259" s="58"/>
      <c r="BC259" s="58"/>
      <c r="BD259" s="58"/>
      <c r="BE259" s="58"/>
      <c r="BF259" s="58"/>
      <c r="BG259" s="58"/>
      <c r="BH259" s="58"/>
      <c r="BI259" s="58"/>
      <c r="BJ259" s="58"/>
      <c r="BK259" s="58"/>
      <c r="BL259" s="58"/>
      <c r="BM259" s="58"/>
      <c r="BN259" s="58"/>
      <c r="BO259" s="58"/>
      <c r="BP259" s="58"/>
      <c r="BQ259" s="58"/>
      <c r="BR259" s="58"/>
      <c r="BS259" s="58"/>
    </row>
    <row r="260" spans="1:71" ht="15.75" customHeight="1" x14ac:dyDescent="0.2">
      <c r="A260" s="90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90"/>
      <c r="P260" s="90"/>
      <c r="Q260" s="90"/>
      <c r="R260" s="90"/>
      <c r="S260" s="90"/>
      <c r="T260" s="90"/>
      <c r="U260" s="90"/>
      <c r="V260" s="91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G260" s="89"/>
      <c r="AH260" s="89"/>
      <c r="AI260" s="89"/>
      <c r="AJ260" s="89"/>
      <c r="AK260" s="89"/>
      <c r="AL260" s="89"/>
      <c r="AM260" s="89"/>
      <c r="AN260" s="89"/>
      <c r="AO260" s="89"/>
      <c r="AP260" s="89"/>
      <c r="AQ260" s="92"/>
      <c r="AR260" s="92"/>
      <c r="AS260" s="92"/>
      <c r="AT260" s="92"/>
      <c r="AU260" s="92"/>
      <c r="AV260" s="92"/>
      <c r="AW260" s="92"/>
      <c r="AX260" s="92"/>
      <c r="AY260" s="92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</row>
    <row r="261" spans="1:71" ht="15.75" customHeight="1" x14ac:dyDescent="0.2">
      <c r="A261" s="90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90"/>
      <c r="P261" s="90"/>
      <c r="Q261" s="90"/>
      <c r="R261" s="90"/>
      <c r="S261" s="90"/>
      <c r="T261" s="90"/>
      <c r="U261" s="90"/>
      <c r="V261" s="91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G261" s="89"/>
      <c r="AH261" s="89"/>
      <c r="AI261" s="89"/>
      <c r="AJ261" s="89"/>
      <c r="AK261" s="89"/>
      <c r="AL261" s="89"/>
      <c r="AM261" s="89"/>
      <c r="AN261" s="89"/>
      <c r="AO261" s="89"/>
      <c r="AP261" s="89"/>
      <c r="AQ261" s="92"/>
      <c r="AR261" s="92"/>
      <c r="AS261" s="92"/>
      <c r="AT261" s="92"/>
      <c r="AU261" s="92"/>
      <c r="AV261" s="92"/>
      <c r="AW261" s="92"/>
      <c r="AX261" s="92"/>
      <c r="AY261" s="92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</row>
    <row r="262" spans="1:71" ht="15.75" customHeight="1" x14ac:dyDescent="0.2">
      <c r="A262" s="90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90"/>
      <c r="P262" s="90"/>
      <c r="Q262" s="90"/>
      <c r="R262" s="90"/>
      <c r="S262" s="90"/>
      <c r="T262" s="90"/>
      <c r="U262" s="90"/>
      <c r="V262" s="91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G262" s="89"/>
      <c r="AH262" s="89"/>
      <c r="AI262" s="89"/>
      <c r="AJ262" s="89"/>
      <c r="AK262" s="89"/>
      <c r="AL262" s="89"/>
      <c r="AM262" s="89"/>
      <c r="AN262" s="89"/>
      <c r="AO262" s="89"/>
      <c r="AP262" s="89"/>
      <c r="AQ262" s="92"/>
      <c r="AR262" s="92"/>
      <c r="AS262" s="92"/>
      <c r="AT262" s="92"/>
      <c r="AU262" s="92"/>
      <c r="AV262" s="92"/>
      <c r="AW262" s="92"/>
      <c r="AX262" s="92"/>
      <c r="AY262" s="92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</row>
    <row r="263" spans="1:71" ht="15.75" customHeight="1" x14ac:dyDescent="0.2">
      <c r="A263" s="90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90"/>
      <c r="P263" s="90"/>
      <c r="Q263" s="90"/>
      <c r="R263" s="90"/>
      <c r="S263" s="90"/>
      <c r="T263" s="90"/>
      <c r="U263" s="90"/>
      <c r="V263" s="91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92"/>
      <c r="AR263" s="92"/>
      <c r="AS263" s="92"/>
      <c r="AT263" s="92"/>
      <c r="AU263" s="92"/>
      <c r="AV263" s="92"/>
      <c r="AW263" s="92"/>
      <c r="AX263" s="92"/>
      <c r="AY263" s="92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</row>
    <row r="264" spans="1:71" ht="15.75" customHeight="1" x14ac:dyDescent="0.2">
      <c r="A264" s="90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90"/>
      <c r="P264" s="90"/>
      <c r="Q264" s="90"/>
      <c r="R264" s="90"/>
      <c r="S264" s="90"/>
      <c r="T264" s="90"/>
      <c r="U264" s="90"/>
      <c r="V264" s="91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G264" s="89"/>
      <c r="AH264" s="89"/>
      <c r="AI264" s="89"/>
      <c r="AJ264" s="89"/>
      <c r="AK264" s="89"/>
      <c r="AL264" s="89"/>
      <c r="AM264" s="89"/>
      <c r="AN264" s="89"/>
      <c r="AO264" s="89"/>
      <c r="AP264" s="89"/>
      <c r="AQ264" s="92"/>
      <c r="AR264" s="92"/>
      <c r="AS264" s="92"/>
      <c r="AT264" s="92"/>
      <c r="AU264" s="92"/>
      <c r="AV264" s="92"/>
      <c r="AW264" s="92"/>
      <c r="AX264" s="92"/>
      <c r="AY264" s="92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</row>
    <row r="265" spans="1:71" ht="15.75" customHeight="1" x14ac:dyDescent="0.2">
      <c r="A265" s="90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90"/>
      <c r="P265" s="90"/>
      <c r="Q265" s="90"/>
      <c r="R265" s="90"/>
      <c r="S265" s="90"/>
      <c r="T265" s="90"/>
      <c r="U265" s="90"/>
      <c r="V265" s="91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G265" s="89"/>
      <c r="AH265" s="89"/>
      <c r="AI265" s="89"/>
      <c r="AJ265" s="89"/>
      <c r="AK265" s="89"/>
      <c r="AL265" s="89"/>
      <c r="AM265" s="89"/>
      <c r="AN265" s="89"/>
      <c r="AO265" s="89"/>
      <c r="AP265" s="89"/>
      <c r="AQ265" s="92"/>
      <c r="AR265" s="92"/>
      <c r="AS265" s="92"/>
      <c r="AT265" s="92"/>
      <c r="AU265" s="92"/>
      <c r="AV265" s="92"/>
      <c r="AW265" s="92"/>
      <c r="AX265" s="92"/>
      <c r="AY265" s="92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</row>
    <row r="266" spans="1:71" ht="15.75" customHeight="1" x14ac:dyDescent="0.2">
      <c r="A266" s="90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90"/>
      <c r="P266" s="90"/>
      <c r="Q266" s="90"/>
      <c r="R266" s="90"/>
      <c r="S266" s="90"/>
      <c r="T266" s="90"/>
      <c r="U266" s="90"/>
      <c r="V266" s="91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G266" s="89"/>
      <c r="AH266" s="89"/>
      <c r="AI266" s="89"/>
      <c r="AJ266" s="89"/>
      <c r="AK266" s="89"/>
      <c r="AL266" s="89"/>
      <c r="AM266" s="89"/>
      <c r="AN266" s="89"/>
      <c r="AO266" s="89"/>
      <c r="AP266" s="89"/>
      <c r="AQ266" s="92"/>
      <c r="AR266" s="92"/>
      <c r="AS266" s="92"/>
      <c r="AT266" s="92"/>
      <c r="AU266" s="92"/>
      <c r="AV266" s="92"/>
      <c r="AW266" s="92"/>
      <c r="AX266" s="92"/>
      <c r="AY266" s="92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</row>
    <row r="267" spans="1:71" ht="15.75" customHeight="1" x14ac:dyDescent="0.2">
      <c r="A267" s="90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90"/>
      <c r="P267" s="90"/>
      <c r="Q267" s="90"/>
      <c r="R267" s="90"/>
      <c r="S267" s="90"/>
      <c r="T267" s="90"/>
      <c r="U267" s="90"/>
      <c r="V267" s="91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G267" s="89"/>
      <c r="AH267" s="89"/>
      <c r="AI267" s="89"/>
      <c r="AJ267" s="89"/>
      <c r="AK267" s="89"/>
      <c r="AL267" s="89"/>
      <c r="AM267" s="89"/>
      <c r="AN267" s="89"/>
      <c r="AO267" s="89"/>
      <c r="AP267" s="89"/>
      <c r="AQ267" s="92"/>
      <c r="AR267" s="92"/>
      <c r="AS267" s="92"/>
      <c r="AT267" s="92"/>
      <c r="AU267" s="92"/>
      <c r="AV267" s="92"/>
      <c r="AW267" s="92"/>
      <c r="AX267" s="92"/>
      <c r="AY267" s="92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</row>
    <row r="268" spans="1:71" ht="15.75" customHeight="1" x14ac:dyDescent="0.2">
      <c r="A268" s="90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90"/>
      <c r="P268" s="90"/>
      <c r="Q268" s="90"/>
      <c r="R268" s="90"/>
      <c r="S268" s="90"/>
      <c r="T268" s="90"/>
      <c r="U268" s="90"/>
      <c r="V268" s="91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G268" s="89"/>
      <c r="AH268" s="89"/>
      <c r="AI268" s="89"/>
      <c r="AJ268" s="89"/>
      <c r="AK268" s="89"/>
      <c r="AL268" s="89"/>
      <c r="AM268" s="89"/>
      <c r="AN268" s="89"/>
      <c r="AO268" s="89"/>
      <c r="AP268" s="89"/>
      <c r="AQ268" s="92"/>
      <c r="AR268" s="92"/>
      <c r="AS268" s="92"/>
      <c r="AT268" s="92"/>
      <c r="AU268" s="92"/>
      <c r="AV268" s="92"/>
      <c r="AW268" s="92"/>
      <c r="AX268" s="92"/>
      <c r="AY268" s="92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</row>
    <row r="269" spans="1:71" ht="15.75" customHeight="1" x14ac:dyDescent="0.2">
      <c r="A269" s="90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90"/>
      <c r="P269" s="90"/>
      <c r="Q269" s="90"/>
      <c r="R269" s="90"/>
      <c r="S269" s="90"/>
      <c r="T269" s="90"/>
      <c r="U269" s="90"/>
      <c r="V269" s="91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92"/>
      <c r="AR269" s="92"/>
      <c r="AS269" s="92"/>
      <c r="AT269" s="92"/>
      <c r="AU269" s="92"/>
      <c r="AV269" s="92"/>
      <c r="AW269" s="92"/>
      <c r="AX269" s="92"/>
      <c r="AY269" s="92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</row>
    <row r="270" spans="1:71" ht="15.75" customHeight="1" x14ac:dyDescent="0.2">
      <c r="A270" s="90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90"/>
      <c r="P270" s="90"/>
      <c r="Q270" s="90"/>
      <c r="R270" s="90"/>
      <c r="S270" s="90"/>
      <c r="T270" s="90"/>
      <c r="U270" s="90"/>
      <c r="V270" s="91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G270" s="89"/>
      <c r="AH270" s="89"/>
      <c r="AI270" s="89"/>
      <c r="AJ270" s="89"/>
      <c r="AK270" s="89"/>
      <c r="AL270" s="89"/>
      <c r="AM270" s="89"/>
      <c r="AN270" s="89"/>
      <c r="AO270" s="89"/>
      <c r="AP270" s="89"/>
      <c r="AQ270" s="92"/>
      <c r="AR270" s="92"/>
      <c r="AS270" s="92"/>
      <c r="AT270" s="92"/>
      <c r="AU270" s="92"/>
      <c r="AV270" s="92"/>
      <c r="AW270" s="92"/>
      <c r="AX270" s="92"/>
      <c r="AY270" s="92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</row>
    <row r="271" spans="1:71" ht="15.75" customHeight="1" x14ac:dyDescent="0.2">
      <c r="A271" s="90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90"/>
      <c r="P271" s="90"/>
      <c r="Q271" s="90"/>
      <c r="R271" s="90"/>
      <c r="S271" s="90"/>
      <c r="T271" s="90"/>
      <c r="U271" s="90"/>
      <c r="V271" s="91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G271" s="89"/>
      <c r="AH271" s="89"/>
      <c r="AI271" s="89"/>
      <c r="AJ271" s="89"/>
      <c r="AK271" s="89"/>
      <c r="AL271" s="89"/>
      <c r="AM271" s="89"/>
      <c r="AN271" s="89"/>
      <c r="AO271" s="89"/>
      <c r="AP271" s="89"/>
      <c r="AQ271" s="92"/>
      <c r="AR271" s="92"/>
      <c r="AS271" s="92"/>
      <c r="AT271" s="92"/>
      <c r="AU271" s="92"/>
      <c r="AV271" s="92"/>
      <c r="AW271" s="92"/>
      <c r="AX271" s="92"/>
      <c r="AY271" s="92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</row>
    <row r="272" spans="1:71" ht="15.75" customHeight="1" x14ac:dyDescent="0.2">
      <c r="A272" s="90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90"/>
      <c r="P272" s="90"/>
      <c r="Q272" s="90"/>
      <c r="R272" s="90"/>
      <c r="S272" s="90"/>
      <c r="T272" s="90"/>
      <c r="U272" s="90"/>
      <c r="V272" s="91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G272" s="89"/>
      <c r="AH272" s="89"/>
      <c r="AI272" s="89"/>
      <c r="AJ272" s="89"/>
      <c r="AK272" s="89"/>
      <c r="AL272" s="89"/>
      <c r="AM272" s="89"/>
      <c r="AN272" s="89"/>
      <c r="AO272" s="89"/>
      <c r="AP272" s="89"/>
      <c r="AQ272" s="92"/>
      <c r="AR272" s="92"/>
      <c r="AS272" s="92"/>
      <c r="AT272" s="92"/>
      <c r="AU272" s="92"/>
      <c r="AV272" s="92"/>
      <c r="AW272" s="92"/>
      <c r="AX272" s="92"/>
      <c r="AY272" s="92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</row>
    <row r="273" spans="1:71" ht="15.75" customHeight="1" x14ac:dyDescent="0.2">
      <c r="A273" s="90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90"/>
      <c r="P273" s="90"/>
      <c r="Q273" s="90"/>
      <c r="R273" s="90"/>
      <c r="S273" s="90"/>
      <c r="T273" s="90"/>
      <c r="U273" s="90"/>
      <c r="V273" s="91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G273" s="89"/>
      <c r="AH273" s="89"/>
      <c r="AI273" s="89"/>
      <c r="AJ273" s="89"/>
      <c r="AK273" s="89"/>
      <c r="AL273" s="89"/>
      <c r="AM273" s="89"/>
      <c r="AN273" s="89"/>
      <c r="AO273" s="89"/>
      <c r="AP273" s="89"/>
      <c r="AQ273" s="92"/>
      <c r="AR273" s="92"/>
      <c r="AS273" s="92"/>
      <c r="AT273" s="92"/>
      <c r="AU273" s="92"/>
      <c r="AV273" s="92"/>
      <c r="AW273" s="92"/>
      <c r="AX273" s="92"/>
      <c r="AY273" s="92"/>
      <c r="AZ273" s="58"/>
      <c r="BA273" s="58"/>
      <c r="BB273" s="58"/>
      <c r="BC273" s="58"/>
      <c r="BD273" s="58"/>
      <c r="BE273" s="58"/>
      <c r="BF273" s="58"/>
      <c r="BG273" s="58"/>
      <c r="BH273" s="58"/>
      <c r="BI273" s="58"/>
      <c r="BJ273" s="58"/>
      <c r="BK273" s="58"/>
      <c r="BL273" s="58"/>
      <c r="BM273" s="58"/>
      <c r="BN273" s="58"/>
      <c r="BO273" s="58"/>
      <c r="BP273" s="58"/>
      <c r="BQ273" s="58"/>
      <c r="BR273" s="58"/>
      <c r="BS273" s="58"/>
    </row>
    <row r="274" spans="1:71" ht="15.75" customHeight="1" x14ac:dyDescent="0.2">
      <c r="A274" s="90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90"/>
      <c r="P274" s="90"/>
      <c r="Q274" s="90"/>
      <c r="R274" s="90"/>
      <c r="S274" s="90"/>
      <c r="T274" s="90"/>
      <c r="U274" s="90"/>
      <c r="V274" s="91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G274" s="89"/>
      <c r="AH274" s="89"/>
      <c r="AI274" s="89"/>
      <c r="AJ274" s="89"/>
      <c r="AK274" s="89"/>
      <c r="AL274" s="89"/>
      <c r="AM274" s="89"/>
      <c r="AN274" s="89"/>
      <c r="AO274" s="89"/>
      <c r="AP274" s="89"/>
      <c r="AQ274" s="92"/>
      <c r="AR274" s="92"/>
      <c r="AS274" s="92"/>
      <c r="AT274" s="92"/>
      <c r="AU274" s="92"/>
      <c r="AV274" s="92"/>
      <c r="AW274" s="92"/>
      <c r="AX274" s="92"/>
      <c r="AY274" s="92"/>
      <c r="AZ274" s="58"/>
      <c r="BA274" s="58"/>
      <c r="BB274" s="58"/>
      <c r="BC274" s="58"/>
      <c r="BD274" s="58"/>
      <c r="BE274" s="58"/>
      <c r="BF274" s="58"/>
      <c r="BG274" s="58"/>
      <c r="BH274" s="58"/>
      <c r="BI274" s="58"/>
      <c r="BJ274" s="58"/>
      <c r="BK274" s="58"/>
      <c r="BL274" s="58"/>
      <c r="BM274" s="58"/>
      <c r="BN274" s="58"/>
      <c r="BO274" s="58"/>
      <c r="BP274" s="58"/>
      <c r="BQ274" s="58"/>
      <c r="BR274" s="58"/>
      <c r="BS274" s="58"/>
    </row>
    <row r="275" spans="1:71" ht="15.75" customHeight="1" x14ac:dyDescent="0.2">
      <c r="A275" s="90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90"/>
      <c r="P275" s="90"/>
      <c r="Q275" s="90"/>
      <c r="R275" s="90"/>
      <c r="S275" s="90"/>
      <c r="T275" s="90"/>
      <c r="U275" s="90"/>
      <c r="V275" s="91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G275" s="89"/>
      <c r="AH275" s="89"/>
      <c r="AI275" s="89"/>
      <c r="AJ275" s="89"/>
      <c r="AK275" s="89"/>
      <c r="AL275" s="89"/>
      <c r="AM275" s="89"/>
      <c r="AN275" s="89"/>
      <c r="AO275" s="89"/>
      <c r="AP275" s="89"/>
      <c r="AQ275" s="92"/>
      <c r="AR275" s="92"/>
      <c r="AS275" s="92"/>
      <c r="AT275" s="92"/>
      <c r="AU275" s="92"/>
      <c r="AV275" s="92"/>
      <c r="AW275" s="92"/>
      <c r="AX275" s="92"/>
      <c r="AY275" s="92"/>
      <c r="AZ275" s="58"/>
      <c r="BA275" s="58"/>
      <c r="BB275" s="58"/>
      <c r="BC275" s="58"/>
      <c r="BD275" s="58"/>
      <c r="BE275" s="58"/>
      <c r="BF275" s="58"/>
      <c r="BG275" s="58"/>
      <c r="BH275" s="58"/>
      <c r="BI275" s="58"/>
      <c r="BJ275" s="58"/>
      <c r="BK275" s="58"/>
      <c r="BL275" s="58"/>
      <c r="BM275" s="58"/>
      <c r="BN275" s="58"/>
      <c r="BO275" s="58"/>
      <c r="BP275" s="58"/>
      <c r="BQ275" s="58"/>
      <c r="BR275" s="58"/>
      <c r="BS275" s="58"/>
    </row>
    <row r="276" spans="1:71" ht="15.75" customHeight="1" x14ac:dyDescent="0.2">
      <c r="A276" s="90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90"/>
      <c r="P276" s="90"/>
      <c r="Q276" s="90"/>
      <c r="R276" s="90"/>
      <c r="S276" s="90"/>
      <c r="T276" s="90"/>
      <c r="U276" s="90"/>
      <c r="V276" s="91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G276" s="89"/>
      <c r="AH276" s="89"/>
      <c r="AI276" s="89"/>
      <c r="AJ276" s="89"/>
      <c r="AK276" s="89"/>
      <c r="AL276" s="89"/>
      <c r="AM276" s="89"/>
      <c r="AN276" s="89"/>
      <c r="AO276" s="89"/>
      <c r="AP276" s="89"/>
      <c r="AQ276" s="92"/>
      <c r="AR276" s="92"/>
      <c r="AS276" s="92"/>
      <c r="AT276" s="92"/>
      <c r="AU276" s="92"/>
      <c r="AV276" s="92"/>
      <c r="AW276" s="92"/>
      <c r="AX276" s="92"/>
      <c r="AY276" s="92"/>
      <c r="AZ276" s="58"/>
      <c r="BA276" s="58"/>
      <c r="BB276" s="58"/>
      <c r="BC276" s="58"/>
      <c r="BD276" s="58"/>
      <c r="BE276" s="58"/>
      <c r="BF276" s="58"/>
      <c r="BG276" s="58"/>
      <c r="BH276" s="58"/>
      <c r="BI276" s="58"/>
      <c r="BJ276" s="58"/>
      <c r="BK276" s="58"/>
      <c r="BL276" s="58"/>
      <c r="BM276" s="58"/>
      <c r="BN276" s="58"/>
      <c r="BO276" s="58"/>
      <c r="BP276" s="58"/>
      <c r="BQ276" s="58"/>
      <c r="BR276" s="58"/>
      <c r="BS276" s="58"/>
    </row>
    <row r="277" spans="1:71" ht="15.75" customHeight="1" x14ac:dyDescent="0.2">
      <c r="A277" s="90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90"/>
      <c r="P277" s="90"/>
      <c r="Q277" s="90"/>
      <c r="R277" s="90"/>
      <c r="S277" s="90"/>
      <c r="T277" s="90"/>
      <c r="U277" s="90"/>
      <c r="V277" s="91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G277" s="89"/>
      <c r="AH277" s="89"/>
      <c r="AI277" s="89"/>
      <c r="AJ277" s="89"/>
      <c r="AK277" s="89"/>
      <c r="AL277" s="89"/>
      <c r="AM277" s="89"/>
      <c r="AN277" s="89"/>
      <c r="AO277" s="89"/>
      <c r="AP277" s="89"/>
      <c r="AQ277" s="92"/>
      <c r="AR277" s="92"/>
      <c r="AS277" s="92"/>
      <c r="AT277" s="92"/>
      <c r="AU277" s="92"/>
      <c r="AV277" s="92"/>
      <c r="AW277" s="92"/>
      <c r="AX277" s="92"/>
      <c r="AY277" s="92"/>
      <c r="AZ277" s="58"/>
      <c r="BA277" s="58"/>
      <c r="BB277" s="58"/>
      <c r="BC277" s="58"/>
      <c r="BD277" s="58"/>
      <c r="BE277" s="58"/>
      <c r="BF277" s="58"/>
      <c r="BG277" s="58"/>
      <c r="BH277" s="58"/>
      <c r="BI277" s="58"/>
      <c r="BJ277" s="58"/>
      <c r="BK277" s="58"/>
      <c r="BL277" s="58"/>
      <c r="BM277" s="58"/>
      <c r="BN277" s="58"/>
      <c r="BO277" s="58"/>
      <c r="BP277" s="58"/>
      <c r="BQ277" s="58"/>
      <c r="BR277" s="58"/>
      <c r="BS277" s="58"/>
    </row>
    <row r="278" spans="1:71" ht="15.75" customHeight="1" x14ac:dyDescent="0.2">
      <c r="A278" s="90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90"/>
      <c r="P278" s="90"/>
      <c r="Q278" s="90"/>
      <c r="R278" s="90"/>
      <c r="S278" s="90"/>
      <c r="T278" s="90"/>
      <c r="U278" s="90"/>
      <c r="V278" s="91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G278" s="89"/>
      <c r="AH278" s="89"/>
      <c r="AI278" s="89"/>
      <c r="AJ278" s="89"/>
      <c r="AK278" s="89"/>
      <c r="AL278" s="89"/>
      <c r="AM278" s="89"/>
      <c r="AN278" s="89"/>
      <c r="AO278" s="89"/>
      <c r="AP278" s="89"/>
      <c r="AQ278" s="92"/>
      <c r="AR278" s="92"/>
      <c r="AS278" s="92"/>
      <c r="AT278" s="92"/>
      <c r="AU278" s="92"/>
      <c r="AV278" s="92"/>
      <c r="AW278" s="92"/>
      <c r="AX278" s="92"/>
      <c r="AY278" s="92"/>
      <c r="AZ278" s="58"/>
      <c r="BA278" s="58"/>
      <c r="BB278" s="58"/>
      <c r="BC278" s="58"/>
      <c r="BD278" s="58"/>
      <c r="BE278" s="58"/>
      <c r="BF278" s="58"/>
      <c r="BG278" s="58"/>
      <c r="BH278" s="58"/>
      <c r="BI278" s="58"/>
      <c r="BJ278" s="58"/>
      <c r="BK278" s="58"/>
      <c r="BL278" s="58"/>
      <c r="BM278" s="58"/>
      <c r="BN278" s="58"/>
      <c r="BO278" s="58"/>
      <c r="BP278" s="58"/>
      <c r="BQ278" s="58"/>
      <c r="BR278" s="58"/>
      <c r="BS278" s="58"/>
    </row>
    <row r="279" spans="1:71" ht="15.75" customHeight="1" x14ac:dyDescent="0.2">
      <c r="A279" s="90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90"/>
      <c r="P279" s="90"/>
      <c r="Q279" s="90"/>
      <c r="R279" s="90"/>
      <c r="S279" s="90"/>
      <c r="T279" s="90"/>
      <c r="U279" s="90"/>
      <c r="V279" s="91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G279" s="89"/>
      <c r="AH279" s="89"/>
      <c r="AI279" s="89"/>
      <c r="AJ279" s="89"/>
      <c r="AK279" s="89"/>
      <c r="AL279" s="89"/>
      <c r="AM279" s="89"/>
      <c r="AN279" s="89"/>
      <c r="AO279" s="89"/>
      <c r="AP279" s="89"/>
      <c r="AQ279" s="92"/>
      <c r="AR279" s="92"/>
      <c r="AS279" s="92"/>
      <c r="AT279" s="92"/>
      <c r="AU279" s="92"/>
      <c r="AV279" s="92"/>
      <c r="AW279" s="92"/>
      <c r="AX279" s="92"/>
      <c r="AY279" s="92"/>
      <c r="AZ279" s="58"/>
      <c r="BA279" s="58"/>
      <c r="BB279" s="58"/>
      <c r="BC279" s="58"/>
      <c r="BD279" s="58"/>
      <c r="BE279" s="58"/>
      <c r="BF279" s="58"/>
      <c r="BG279" s="58"/>
      <c r="BH279" s="58"/>
      <c r="BI279" s="58"/>
      <c r="BJ279" s="58"/>
      <c r="BK279" s="58"/>
      <c r="BL279" s="58"/>
      <c r="BM279" s="58"/>
      <c r="BN279" s="58"/>
      <c r="BO279" s="58"/>
      <c r="BP279" s="58"/>
      <c r="BQ279" s="58"/>
      <c r="BR279" s="58"/>
      <c r="BS279" s="58"/>
    </row>
    <row r="280" spans="1:71" ht="15.75" customHeight="1" x14ac:dyDescent="0.2">
      <c r="A280" s="90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90"/>
      <c r="P280" s="90"/>
      <c r="Q280" s="90"/>
      <c r="R280" s="90"/>
      <c r="S280" s="90"/>
      <c r="T280" s="90"/>
      <c r="U280" s="90"/>
      <c r="V280" s="91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G280" s="89"/>
      <c r="AH280" s="89"/>
      <c r="AI280" s="89"/>
      <c r="AJ280" s="89"/>
      <c r="AK280" s="89"/>
      <c r="AL280" s="89"/>
      <c r="AM280" s="89"/>
      <c r="AN280" s="89"/>
      <c r="AO280" s="89"/>
      <c r="AP280" s="89"/>
      <c r="AQ280" s="92"/>
      <c r="AR280" s="92"/>
      <c r="AS280" s="92"/>
      <c r="AT280" s="92"/>
      <c r="AU280" s="92"/>
      <c r="AV280" s="92"/>
      <c r="AW280" s="92"/>
      <c r="AX280" s="92"/>
      <c r="AY280" s="92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</row>
    <row r="281" spans="1:71" ht="15.75" customHeight="1" x14ac:dyDescent="0.2">
      <c r="A281" s="90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90"/>
      <c r="P281" s="90"/>
      <c r="Q281" s="90"/>
      <c r="R281" s="90"/>
      <c r="S281" s="90"/>
      <c r="T281" s="90"/>
      <c r="U281" s="90"/>
      <c r="V281" s="91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G281" s="89"/>
      <c r="AH281" s="89"/>
      <c r="AI281" s="89"/>
      <c r="AJ281" s="89"/>
      <c r="AK281" s="89"/>
      <c r="AL281" s="89"/>
      <c r="AM281" s="89"/>
      <c r="AN281" s="89"/>
      <c r="AO281" s="89"/>
      <c r="AP281" s="89"/>
      <c r="AQ281" s="92"/>
      <c r="AR281" s="92"/>
      <c r="AS281" s="92"/>
      <c r="AT281" s="92"/>
      <c r="AU281" s="92"/>
      <c r="AV281" s="92"/>
      <c r="AW281" s="92"/>
      <c r="AX281" s="92"/>
      <c r="AY281" s="92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</row>
    <row r="282" spans="1:71" ht="15.75" customHeight="1" x14ac:dyDescent="0.2">
      <c r="A282" s="90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90"/>
      <c r="P282" s="90"/>
      <c r="Q282" s="90"/>
      <c r="R282" s="90"/>
      <c r="S282" s="90"/>
      <c r="T282" s="90"/>
      <c r="U282" s="90"/>
      <c r="V282" s="91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G282" s="89"/>
      <c r="AH282" s="89"/>
      <c r="AI282" s="89"/>
      <c r="AJ282" s="89"/>
      <c r="AK282" s="89"/>
      <c r="AL282" s="89"/>
      <c r="AM282" s="89"/>
      <c r="AN282" s="89"/>
      <c r="AO282" s="89"/>
      <c r="AP282" s="89"/>
      <c r="AQ282" s="92"/>
      <c r="AR282" s="92"/>
      <c r="AS282" s="92"/>
      <c r="AT282" s="92"/>
      <c r="AU282" s="92"/>
      <c r="AV282" s="92"/>
      <c r="AW282" s="92"/>
      <c r="AX282" s="92"/>
      <c r="AY282" s="92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</row>
    <row r="283" spans="1:71" ht="15.75" customHeight="1" x14ac:dyDescent="0.2">
      <c r="A283" s="90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90"/>
      <c r="P283" s="90"/>
      <c r="Q283" s="90"/>
      <c r="R283" s="90"/>
      <c r="S283" s="90"/>
      <c r="T283" s="90"/>
      <c r="U283" s="90"/>
      <c r="V283" s="91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G283" s="89"/>
      <c r="AH283" s="89"/>
      <c r="AI283" s="89"/>
      <c r="AJ283" s="89"/>
      <c r="AK283" s="89"/>
      <c r="AL283" s="89"/>
      <c r="AM283" s="89"/>
      <c r="AN283" s="89"/>
      <c r="AO283" s="89"/>
      <c r="AP283" s="89"/>
      <c r="AQ283" s="92"/>
      <c r="AR283" s="92"/>
      <c r="AS283" s="92"/>
      <c r="AT283" s="92"/>
      <c r="AU283" s="92"/>
      <c r="AV283" s="92"/>
      <c r="AW283" s="92"/>
      <c r="AX283" s="92"/>
      <c r="AY283" s="92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</row>
    <row r="284" spans="1:71" ht="15.75" customHeight="1" x14ac:dyDescent="0.2">
      <c r="A284" s="90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90"/>
      <c r="P284" s="90"/>
      <c r="Q284" s="90"/>
      <c r="R284" s="90"/>
      <c r="S284" s="90"/>
      <c r="T284" s="90"/>
      <c r="U284" s="90"/>
      <c r="V284" s="91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G284" s="89"/>
      <c r="AH284" s="89"/>
      <c r="AI284" s="89"/>
      <c r="AJ284" s="89"/>
      <c r="AK284" s="89"/>
      <c r="AL284" s="89"/>
      <c r="AM284" s="89"/>
      <c r="AN284" s="89"/>
      <c r="AO284" s="89"/>
      <c r="AP284" s="89"/>
      <c r="AQ284" s="92"/>
      <c r="AR284" s="92"/>
      <c r="AS284" s="92"/>
      <c r="AT284" s="92"/>
      <c r="AU284" s="92"/>
      <c r="AV284" s="92"/>
      <c r="AW284" s="92"/>
      <c r="AX284" s="92"/>
      <c r="AY284" s="92"/>
      <c r="AZ284" s="58"/>
      <c r="BA284" s="58"/>
      <c r="BB284" s="58"/>
      <c r="BC284" s="58"/>
      <c r="BD284" s="58"/>
      <c r="BE284" s="58"/>
      <c r="BF284" s="58"/>
      <c r="BG284" s="58"/>
      <c r="BH284" s="58"/>
      <c r="BI284" s="58"/>
      <c r="BJ284" s="58"/>
      <c r="BK284" s="58"/>
      <c r="BL284" s="58"/>
      <c r="BM284" s="58"/>
      <c r="BN284" s="58"/>
      <c r="BO284" s="58"/>
      <c r="BP284" s="58"/>
      <c r="BQ284" s="58"/>
      <c r="BR284" s="58"/>
      <c r="BS284" s="58"/>
    </row>
    <row r="285" spans="1:71" ht="15.75" customHeight="1" x14ac:dyDescent="0.2">
      <c r="A285" s="90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90"/>
      <c r="P285" s="90"/>
      <c r="Q285" s="90"/>
      <c r="R285" s="90"/>
      <c r="S285" s="90"/>
      <c r="T285" s="90"/>
      <c r="U285" s="90"/>
      <c r="V285" s="91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G285" s="89"/>
      <c r="AH285" s="89"/>
      <c r="AI285" s="89"/>
      <c r="AJ285" s="89"/>
      <c r="AK285" s="89"/>
      <c r="AL285" s="89"/>
      <c r="AM285" s="89"/>
      <c r="AN285" s="89"/>
      <c r="AO285" s="89"/>
      <c r="AP285" s="89"/>
      <c r="AQ285" s="92"/>
      <c r="AR285" s="92"/>
      <c r="AS285" s="92"/>
      <c r="AT285" s="92"/>
      <c r="AU285" s="92"/>
      <c r="AV285" s="92"/>
      <c r="AW285" s="92"/>
      <c r="AX285" s="92"/>
      <c r="AY285" s="92"/>
      <c r="AZ285" s="58"/>
      <c r="BA285" s="58"/>
      <c r="BB285" s="58"/>
      <c r="BC285" s="58"/>
      <c r="BD285" s="58"/>
      <c r="BE285" s="58"/>
      <c r="BF285" s="58"/>
      <c r="BG285" s="58"/>
      <c r="BH285" s="58"/>
      <c r="BI285" s="58"/>
      <c r="BJ285" s="58"/>
      <c r="BK285" s="58"/>
      <c r="BL285" s="58"/>
      <c r="BM285" s="58"/>
      <c r="BN285" s="58"/>
      <c r="BO285" s="58"/>
      <c r="BP285" s="58"/>
      <c r="BQ285" s="58"/>
      <c r="BR285" s="58"/>
      <c r="BS285" s="58"/>
    </row>
    <row r="286" spans="1:71" ht="15.75" customHeight="1" x14ac:dyDescent="0.2">
      <c r="A286" s="90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90"/>
      <c r="P286" s="90"/>
      <c r="Q286" s="90"/>
      <c r="R286" s="90"/>
      <c r="S286" s="90"/>
      <c r="T286" s="90"/>
      <c r="U286" s="90"/>
      <c r="V286" s="91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G286" s="89"/>
      <c r="AH286" s="89"/>
      <c r="AI286" s="89"/>
      <c r="AJ286" s="89"/>
      <c r="AK286" s="89"/>
      <c r="AL286" s="89"/>
      <c r="AM286" s="89"/>
      <c r="AN286" s="89"/>
      <c r="AO286" s="89"/>
      <c r="AP286" s="89"/>
      <c r="AQ286" s="92"/>
      <c r="AR286" s="92"/>
      <c r="AS286" s="92"/>
      <c r="AT286" s="92"/>
      <c r="AU286" s="92"/>
      <c r="AV286" s="92"/>
      <c r="AW286" s="92"/>
      <c r="AX286" s="92"/>
      <c r="AY286" s="92"/>
      <c r="AZ286" s="58"/>
      <c r="BA286" s="58"/>
      <c r="BB286" s="58"/>
      <c r="BC286" s="58"/>
      <c r="BD286" s="58"/>
      <c r="BE286" s="58"/>
      <c r="BF286" s="58"/>
      <c r="BG286" s="58"/>
      <c r="BH286" s="58"/>
      <c r="BI286" s="58"/>
      <c r="BJ286" s="58"/>
      <c r="BK286" s="58"/>
      <c r="BL286" s="58"/>
      <c r="BM286" s="58"/>
      <c r="BN286" s="58"/>
      <c r="BO286" s="58"/>
      <c r="BP286" s="58"/>
      <c r="BQ286" s="58"/>
      <c r="BR286" s="58"/>
      <c r="BS286" s="58"/>
    </row>
    <row r="287" spans="1:71" ht="15.75" customHeight="1" x14ac:dyDescent="0.2">
      <c r="A287" s="90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90"/>
      <c r="P287" s="90"/>
      <c r="Q287" s="90"/>
      <c r="R287" s="90"/>
      <c r="S287" s="90"/>
      <c r="T287" s="90"/>
      <c r="U287" s="90"/>
      <c r="V287" s="91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G287" s="89"/>
      <c r="AH287" s="89"/>
      <c r="AI287" s="89"/>
      <c r="AJ287" s="89"/>
      <c r="AK287" s="89"/>
      <c r="AL287" s="89"/>
      <c r="AM287" s="89"/>
      <c r="AN287" s="89"/>
      <c r="AO287" s="89"/>
      <c r="AP287" s="89"/>
      <c r="AQ287" s="92"/>
      <c r="AR287" s="92"/>
      <c r="AS287" s="92"/>
      <c r="AT287" s="92"/>
      <c r="AU287" s="92"/>
      <c r="AV287" s="92"/>
      <c r="AW287" s="92"/>
      <c r="AX287" s="92"/>
      <c r="AY287" s="92"/>
      <c r="AZ287" s="58"/>
      <c r="BA287" s="58"/>
      <c r="BB287" s="58"/>
      <c r="BC287" s="58"/>
      <c r="BD287" s="58"/>
      <c r="BE287" s="58"/>
      <c r="BF287" s="58"/>
      <c r="BG287" s="58"/>
      <c r="BH287" s="58"/>
      <c r="BI287" s="58"/>
      <c r="BJ287" s="58"/>
      <c r="BK287" s="58"/>
      <c r="BL287" s="58"/>
      <c r="BM287" s="58"/>
      <c r="BN287" s="58"/>
      <c r="BO287" s="58"/>
      <c r="BP287" s="58"/>
      <c r="BQ287" s="58"/>
      <c r="BR287" s="58"/>
      <c r="BS287" s="58"/>
    </row>
    <row r="288" spans="1:71" ht="15.75" customHeight="1" x14ac:dyDescent="0.2">
      <c r="A288" s="90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90"/>
      <c r="P288" s="90"/>
      <c r="Q288" s="90"/>
      <c r="R288" s="90"/>
      <c r="S288" s="90"/>
      <c r="T288" s="90"/>
      <c r="U288" s="90"/>
      <c r="V288" s="91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G288" s="89"/>
      <c r="AH288" s="89"/>
      <c r="AI288" s="89"/>
      <c r="AJ288" s="89"/>
      <c r="AK288" s="89"/>
      <c r="AL288" s="89"/>
      <c r="AM288" s="89"/>
      <c r="AN288" s="89"/>
      <c r="AO288" s="89"/>
      <c r="AP288" s="89"/>
      <c r="AQ288" s="92"/>
      <c r="AR288" s="92"/>
      <c r="AS288" s="92"/>
      <c r="AT288" s="92"/>
      <c r="AU288" s="92"/>
      <c r="AV288" s="92"/>
      <c r="AW288" s="92"/>
      <c r="AX288" s="92"/>
      <c r="AY288" s="92"/>
      <c r="AZ288" s="58"/>
      <c r="BA288" s="58"/>
      <c r="BB288" s="58"/>
      <c r="BC288" s="58"/>
      <c r="BD288" s="58"/>
      <c r="BE288" s="58"/>
      <c r="BF288" s="58"/>
      <c r="BG288" s="58"/>
      <c r="BH288" s="58"/>
      <c r="BI288" s="58"/>
      <c r="BJ288" s="58"/>
      <c r="BK288" s="58"/>
      <c r="BL288" s="58"/>
      <c r="BM288" s="58"/>
      <c r="BN288" s="58"/>
      <c r="BO288" s="58"/>
      <c r="BP288" s="58"/>
      <c r="BQ288" s="58"/>
      <c r="BR288" s="58"/>
      <c r="BS288" s="58"/>
    </row>
    <row r="289" spans="1:71" ht="15.75" customHeight="1" x14ac:dyDescent="0.2">
      <c r="A289" s="90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90"/>
      <c r="P289" s="90"/>
      <c r="Q289" s="90"/>
      <c r="R289" s="90"/>
      <c r="S289" s="90"/>
      <c r="T289" s="90"/>
      <c r="U289" s="90"/>
      <c r="V289" s="91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G289" s="89"/>
      <c r="AH289" s="89"/>
      <c r="AI289" s="89"/>
      <c r="AJ289" s="89"/>
      <c r="AK289" s="89"/>
      <c r="AL289" s="89"/>
      <c r="AM289" s="89"/>
      <c r="AN289" s="89"/>
      <c r="AO289" s="89"/>
      <c r="AP289" s="89"/>
      <c r="AQ289" s="92"/>
      <c r="AR289" s="92"/>
      <c r="AS289" s="92"/>
      <c r="AT289" s="92"/>
      <c r="AU289" s="92"/>
      <c r="AV289" s="92"/>
      <c r="AW289" s="92"/>
      <c r="AX289" s="92"/>
      <c r="AY289" s="92"/>
      <c r="AZ289" s="58"/>
      <c r="BA289" s="58"/>
      <c r="BB289" s="58"/>
      <c r="BC289" s="58"/>
      <c r="BD289" s="58"/>
      <c r="BE289" s="58"/>
      <c r="BF289" s="58"/>
      <c r="BG289" s="58"/>
      <c r="BH289" s="58"/>
      <c r="BI289" s="58"/>
      <c r="BJ289" s="58"/>
      <c r="BK289" s="58"/>
      <c r="BL289" s="58"/>
      <c r="BM289" s="58"/>
      <c r="BN289" s="58"/>
      <c r="BO289" s="58"/>
      <c r="BP289" s="58"/>
      <c r="BQ289" s="58"/>
      <c r="BR289" s="58"/>
      <c r="BS289" s="58"/>
    </row>
    <row r="290" spans="1:71" ht="15.75" customHeight="1" x14ac:dyDescent="0.2">
      <c r="A290" s="90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90"/>
      <c r="P290" s="90"/>
      <c r="Q290" s="90"/>
      <c r="R290" s="90"/>
      <c r="S290" s="90"/>
      <c r="T290" s="90"/>
      <c r="U290" s="90"/>
      <c r="V290" s="91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G290" s="89"/>
      <c r="AH290" s="89"/>
      <c r="AI290" s="89"/>
      <c r="AJ290" s="89"/>
      <c r="AK290" s="89"/>
      <c r="AL290" s="89"/>
      <c r="AM290" s="89"/>
      <c r="AN290" s="89"/>
      <c r="AO290" s="89"/>
      <c r="AP290" s="89"/>
      <c r="AQ290" s="92"/>
      <c r="AR290" s="92"/>
      <c r="AS290" s="92"/>
      <c r="AT290" s="92"/>
      <c r="AU290" s="92"/>
      <c r="AV290" s="92"/>
      <c r="AW290" s="92"/>
      <c r="AX290" s="92"/>
      <c r="AY290" s="92"/>
      <c r="AZ290" s="58"/>
      <c r="BA290" s="58"/>
      <c r="BB290" s="58"/>
      <c r="BC290" s="58"/>
      <c r="BD290" s="58"/>
      <c r="BE290" s="58"/>
      <c r="BF290" s="58"/>
      <c r="BG290" s="58"/>
      <c r="BH290" s="58"/>
      <c r="BI290" s="58"/>
      <c r="BJ290" s="58"/>
      <c r="BK290" s="58"/>
      <c r="BL290" s="58"/>
      <c r="BM290" s="58"/>
      <c r="BN290" s="58"/>
      <c r="BO290" s="58"/>
      <c r="BP290" s="58"/>
      <c r="BQ290" s="58"/>
      <c r="BR290" s="58"/>
      <c r="BS290" s="58"/>
    </row>
    <row r="291" spans="1:71" ht="15.75" customHeight="1" x14ac:dyDescent="0.2">
      <c r="A291" s="90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90"/>
      <c r="P291" s="90"/>
      <c r="Q291" s="90"/>
      <c r="R291" s="90"/>
      <c r="S291" s="90"/>
      <c r="T291" s="90"/>
      <c r="U291" s="90"/>
      <c r="V291" s="91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G291" s="89"/>
      <c r="AH291" s="89"/>
      <c r="AI291" s="89"/>
      <c r="AJ291" s="89"/>
      <c r="AK291" s="89"/>
      <c r="AL291" s="89"/>
      <c r="AM291" s="89"/>
      <c r="AN291" s="89"/>
      <c r="AO291" s="89"/>
      <c r="AP291" s="89"/>
      <c r="AQ291" s="92"/>
      <c r="AR291" s="92"/>
      <c r="AS291" s="92"/>
      <c r="AT291" s="92"/>
      <c r="AU291" s="92"/>
      <c r="AV291" s="92"/>
      <c r="AW291" s="92"/>
      <c r="AX291" s="92"/>
      <c r="AY291" s="92"/>
      <c r="AZ291" s="58"/>
      <c r="BA291" s="58"/>
      <c r="BB291" s="58"/>
      <c r="BC291" s="58"/>
      <c r="BD291" s="58"/>
      <c r="BE291" s="58"/>
      <c r="BF291" s="58"/>
      <c r="BG291" s="58"/>
      <c r="BH291" s="58"/>
      <c r="BI291" s="58"/>
      <c r="BJ291" s="58"/>
      <c r="BK291" s="58"/>
      <c r="BL291" s="58"/>
      <c r="BM291" s="58"/>
      <c r="BN291" s="58"/>
      <c r="BO291" s="58"/>
      <c r="BP291" s="58"/>
      <c r="BQ291" s="58"/>
      <c r="BR291" s="58"/>
      <c r="BS291" s="58"/>
    </row>
    <row r="292" spans="1:71" ht="15.75" customHeight="1" x14ac:dyDescent="0.2">
      <c r="A292" s="90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90"/>
      <c r="P292" s="90"/>
      <c r="Q292" s="90"/>
      <c r="R292" s="90"/>
      <c r="S292" s="90"/>
      <c r="T292" s="90"/>
      <c r="U292" s="90"/>
      <c r="V292" s="91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G292" s="89"/>
      <c r="AH292" s="89"/>
      <c r="AI292" s="89"/>
      <c r="AJ292" s="89"/>
      <c r="AK292" s="89"/>
      <c r="AL292" s="89"/>
      <c r="AM292" s="89"/>
      <c r="AN292" s="89"/>
      <c r="AO292" s="89"/>
      <c r="AP292" s="89"/>
      <c r="AQ292" s="92"/>
      <c r="AR292" s="92"/>
      <c r="AS292" s="92"/>
      <c r="AT292" s="92"/>
      <c r="AU292" s="92"/>
      <c r="AV292" s="92"/>
      <c r="AW292" s="92"/>
      <c r="AX292" s="92"/>
      <c r="AY292" s="92"/>
      <c r="AZ292" s="58"/>
      <c r="BA292" s="58"/>
      <c r="BB292" s="58"/>
      <c r="BC292" s="58"/>
      <c r="BD292" s="58"/>
      <c r="BE292" s="58"/>
      <c r="BF292" s="58"/>
      <c r="BG292" s="58"/>
      <c r="BH292" s="58"/>
      <c r="BI292" s="58"/>
      <c r="BJ292" s="58"/>
      <c r="BK292" s="58"/>
      <c r="BL292" s="58"/>
      <c r="BM292" s="58"/>
      <c r="BN292" s="58"/>
      <c r="BO292" s="58"/>
      <c r="BP292" s="58"/>
      <c r="BQ292" s="58"/>
      <c r="BR292" s="58"/>
      <c r="BS292" s="58"/>
    </row>
    <row r="293" spans="1:71" ht="15.75" customHeight="1" x14ac:dyDescent="0.2">
      <c r="A293" s="90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90"/>
      <c r="P293" s="90"/>
      <c r="Q293" s="90"/>
      <c r="R293" s="90"/>
      <c r="S293" s="90"/>
      <c r="T293" s="90"/>
      <c r="U293" s="90"/>
      <c r="V293" s="91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G293" s="89"/>
      <c r="AH293" s="89"/>
      <c r="AI293" s="89"/>
      <c r="AJ293" s="89"/>
      <c r="AK293" s="89"/>
      <c r="AL293" s="89"/>
      <c r="AM293" s="89"/>
      <c r="AN293" s="89"/>
      <c r="AO293" s="89"/>
      <c r="AP293" s="89"/>
      <c r="AQ293" s="92"/>
      <c r="AR293" s="92"/>
      <c r="AS293" s="92"/>
      <c r="AT293" s="92"/>
      <c r="AU293" s="92"/>
      <c r="AV293" s="92"/>
      <c r="AW293" s="92"/>
      <c r="AX293" s="92"/>
      <c r="AY293" s="92"/>
      <c r="AZ293" s="58"/>
      <c r="BA293" s="58"/>
      <c r="BB293" s="58"/>
      <c r="BC293" s="58"/>
      <c r="BD293" s="58"/>
      <c r="BE293" s="58"/>
      <c r="BF293" s="58"/>
      <c r="BG293" s="58"/>
      <c r="BH293" s="58"/>
      <c r="BI293" s="58"/>
      <c r="BJ293" s="58"/>
      <c r="BK293" s="58"/>
      <c r="BL293" s="58"/>
      <c r="BM293" s="58"/>
      <c r="BN293" s="58"/>
      <c r="BO293" s="58"/>
      <c r="BP293" s="58"/>
      <c r="BQ293" s="58"/>
      <c r="BR293" s="58"/>
      <c r="BS293" s="58"/>
    </row>
    <row r="294" spans="1:71" ht="15.75" customHeight="1" x14ac:dyDescent="0.2">
      <c r="A294" s="90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90"/>
      <c r="P294" s="90"/>
      <c r="Q294" s="90"/>
      <c r="R294" s="90"/>
      <c r="S294" s="90"/>
      <c r="T294" s="90"/>
      <c r="U294" s="90"/>
      <c r="V294" s="91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G294" s="89"/>
      <c r="AH294" s="89"/>
      <c r="AI294" s="89"/>
      <c r="AJ294" s="89"/>
      <c r="AK294" s="89"/>
      <c r="AL294" s="89"/>
      <c r="AM294" s="89"/>
      <c r="AN294" s="89"/>
      <c r="AO294" s="89"/>
      <c r="AP294" s="89"/>
      <c r="AQ294" s="92"/>
      <c r="AR294" s="92"/>
      <c r="AS294" s="92"/>
      <c r="AT294" s="92"/>
      <c r="AU294" s="92"/>
      <c r="AV294" s="92"/>
      <c r="AW294" s="92"/>
      <c r="AX294" s="92"/>
      <c r="AY294" s="92"/>
      <c r="AZ294" s="58"/>
      <c r="BA294" s="58"/>
      <c r="BB294" s="58"/>
      <c r="BC294" s="58"/>
      <c r="BD294" s="58"/>
      <c r="BE294" s="58"/>
      <c r="BF294" s="58"/>
      <c r="BG294" s="58"/>
      <c r="BH294" s="58"/>
      <c r="BI294" s="58"/>
      <c r="BJ294" s="58"/>
      <c r="BK294" s="58"/>
      <c r="BL294" s="58"/>
      <c r="BM294" s="58"/>
      <c r="BN294" s="58"/>
      <c r="BO294" s="58"/>
      <c r="BP294" s="58"/>
      <c r="BQ294" s="58"/>
      <c r="BR294" s="58"/>
      <c r="BS294" s="58"/>
    </row>
    <row r="295" spans="1:71" ht="15.75" customHeight="1" x14ac:dyDescent="0.2">
      <c r="A295" s="90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90"/>
      <c r="P295" s="90"/>
      <c r="Q295" s="90"/>
      <c r="R295" s="90"/>
      <c r="S295" s="90"/>
      <c r="T295" s="90"/>
      <c r="U295" s="90"/>
      <c r="V295" s="91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92"/>
      <c r="AR295" s="92"/>
      <c r="AS295" s="92"/>
      <c r="AT295" s="92"/>
      <c r="AU295" s="92"/>
      <c r="AV295" s="92"/>
      <c r="AW295" s="92"/>
      <c r="AX295" s="92"/>
      <c r="AY295" s="92"/>
      <c r="AZ295" s="58"/>
      <c r="BA295" s="58"/>
      <c r="BB295" s="58"/>
      <c r="BC295" s="58"/>
      <c r="BD295" s="58"/>
      <c r="BE295" s="58"/>
      <c r="BF295" s="58"/>
      <c r="BG295" s="58"/>
      <c r="BH295" s="58"/>
      <c r="BI295" s="58"/>
      <c r="BJ295" s="58"/>
      <c r="BK295" s="58"/>
      <c r="BL295" s="58"/>
      <c r="BM295" s="58"/>
      <c r="BN295" s="58"/>
      <c r="BO295" s="58"/>
      <c r="BP295" s="58"/>
      <c r="BQ295" s="58"/>
      <c r="BR295" s="58"/>
      <c r="BS295" s="58"/>
    </row>
    <row r="296" spans="1:71" ht="15.75" customHeight="1" x14ac:dyDescent="0.2">
      <c r="A296" s="90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90"/>
      <c r="P296" s="90"/>
      <c r="Q296" s="90"/>
      <c r="R296" s="90"/>
      <c r="S296" s="90"/>
      <c r="T296" s="90"/>
      <c r="U296" s="90"/>
      <c r="V296" s="91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G296" s="89"/>
      <c r="AH296" s="89"/>
      <c r="AI296" s="89"/>
      <c r="AJ296" s="89"/>
      <c r="AK296" s="89"/>
      <c r="AL296" s="89"/>
      <c r="AM296" s="89"/>
      <c r="AN296" s="89"/>
      <c r="AO296" s="89"/>
      <c r="AP296" s="89"/>
      <c r="AQ296" s="92"/>
      <c r="AR296" s="92"/>
      <c r="AS296" s="92"/>
      <c r="AT296" s="92"/>
      <c r="AU296" s="92"/>
      <c r="AV296" s="92"/>
      <c r="AW296" s="92"/>
      <c r="AX296" s="92"/>
      <c r="AY296" s="92"/>
      <c r="AZ296" s="58"/>
      <c r="BA296" s="58"/>
      <c r="BB296" s="58"/>
      <c r="BC296" s="58"/>
      <c r="BD296" s="58"/>
      <c r="BE296" s="58"/>
      <c r="BF296" s="58"/>
      <c r="BG296" s="58"/>
      <c r="BH296" s="58"/>
      <c r="BI296" s="58"/>
      <c r="BJ296" s="58"/>
      <c r="BK296" s="58"/>
      <c r="BL296" s="58"/>
      <c r="BM296" s="58"/>
      <c r="BN296" s="58"/>
      <c r="BO296" s="58"/>
      <c r="BP296" s="58"/>
      <c r="BQ296" s="58"/>
      <c r="BR296" s="58"/>
      <c r="BS296" s="58"/>
    </row>
    <row r="297" spans="1:71" ht="15.75" customHeight="1" x14ac:dyDescent="0.2">
      <c r="A297" s="90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90"/>
      <c r="P297" s="90"/>
      <c r="Q297" s="90"/>
      <c r="R297" s="90"/>
      <c r="S297" s="90"/>
      <c r="T297" s="90"/>
      <c r="U297" s="90"/>
      <c r="V297" s="91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G297" s="89"/>
      <c r="AH297" s="89"/>
      <c r="AI297" s="89"/>
      <c r="AJ297" s="89"/>
      <c r="AK297" s="89"/>
      <c r="AL297" s="89"/>
      <c r="AM297" s="89"/>
      <c r="AN297" s="89"/>
      <c r="AO297" s="89"/>
      <c r="AP297" s="89"/>
      <c r="AQ297" s="92"/>
      <c r="AR297" s="92"/>
      <c r="AS297" s="92"/>
      <c r="AT297" s="92"/>
      <c r="AU297" s="92"/>
      <c r="AV297" s="92"/>
      <c r="AW297" s="92"/>
      <c r="AX297" s="92"/>
      <c r="AY297" s="92"/>
      <c r="AZ297" s="58"/>
      <c r="BA297" s="58"/>
      <c r="BB297" s="58"/>
      <c r="BC297" s="58"/>
      <c r="BD297" s="58"/>
      <c r="BE297" s="58"/>
      <c r="BF297" s="58"/>
      <c r="BG297" s="58"/>
      <c r="BH297" s="58"/>
      <c r="BI297" s="58"/>
      <c r="BJ297" s="58"/>
      <c r="BK297" s="58"/>
      <c r="BL297" s="58"/>
      <c r="BM297" s="58"/>
      <c r="BN297" s="58"/>
      <c r="BO297" s="58"/>
      <c r="BP297" s="58"/>
      <c r="BQ297" s="58"/>
      <c r="BR297" s="58"/>
      <c r="BS297" s="58"/>
    </row>
    <row r="298" spans="1:71" ht="15.75" customHeight="1" x14ac:dyDescent="0.2">
      <c r="A298" s="90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90"/>
      <c r="P298" s="90"/>
      <c r="Q298" s="90"/>
      <c r="R298" s="90"/>
      <c r="S298" s="90"/>
      <c r="T298" s="90"/>
      <c r="U298" s="90"/>
      <c r="V298" s="91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G298" s="89"/>
      <c r="AH298" s="89"/>
      <c r="AI298" s="89"/>
      <c r="AJ298" s="89"/>
      <c r="AK298" s="89"/>
      <c r="AL298" s="89"/>
      <c r="AM298" s="89"/>
      <c r="AN298" s="89"/>
      <c r="AO298" s="89"/>
      <c r="AP298" s="89"/>
      <c r="AQ298" s="92"/>
      <c r="AR298" s="92"/>
      <c r="AS298" s="92"/>
      <c r="AT298" s="92"/>
      <c r="AU298" s="92"/>
      <c r="AV298" s="92"/>
      <c r="AW298" s="92"/>
      <c r="AX298" s="92"/>
      <c r="AY298" s="92"/>
      <c r="AZ298" s="58"/>
      <c r="BA298" s="58"/>
      <c r="BB298" s="58"/>
      <c r="BC298" s="58"/>
      <c r="BD298" s="58"/>
      <c r="BE298" s="58"/>
      <c r="BF298" s="58"/>
      <c r="BG298" s="58"/>
      <c r="BH298" s="58"/>
      <c r="BI298" s="58"/>
      <c r="BJ298" s="58"/>
      <c r="BK298" s="58"/>
      <c r="BL298" s="58"/>
      <c r="BM298" s="58"/>
      <c r="BN298" s="58"/>
      <c r="BO298" s="58"/>
      <c r="BP298" s="58"/>
      <c r="BQ298" s="58"/>
      <c r="BR298" s="58"/>
      <c r="BS298" s="58"/>
    </row>
    <row r="299" spans="1:71" ht="15.75" customHeight="1" x14ac:dyDescent="0.2">
      <c r="A299" s="90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90"/>
      <c r="P299" s="90"/>
      <c r="Q299" s="90"/>
      <c r="R299" s="90"/>
      <c r="S299" s="90"/>
      <c r="T299" s="90"/>
      <c r="U299" s="90"/>
      <c r="V299" s="91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G299" s="89"/>
      <c r="AH299" s="89"/>
      <c r="AI299" s="89"/>
      <c r="AJ299" s="89"/>
      <c r="AK299" s="89"/>
      <c r="AL299" s="89"/>
      <c r="AM299" s="89"/>
      <c r="AN299" s="89"/>
      <c r="AO299" s="89"/>
      <c r="AP299" s="89"/>
      <c r="AQ299" s="92"/>
      <c r="AR299" s="92"/>
      <c r="AS299" s="92"/>
      <c r="AT299" s="92"/>
      <c r="AU299" s="92"/>
      <c r="AV299" s="92"/>
      <c r="AW299" s="92"/>
      <c r="AX299" s="92"/>
      <c r="AY299" s="92"/>
      <c r="AZ299" s="58"/>
      <c r="BA299" s="58"/>
      <c r="BB299" s="58"/>
      <c r="BC299" s="58"/>
      <c r="BD299" s="58"/>
      <c r="BE299" s="58"/>
      <c r="BF299" s="58"/>
      <c r="BG299" s="58"/>
      <c r="BH299" s="58"/>
      <c r="BI299" s="58"/>
      <c r="BJ299" s="58"/>
      <c r="BK299" s="58"/>
      <c r="BL299" s="58"/>
      <c r="BM299" s="58"/>
      <c r="BN299" s="58"/>
      <c r="BO299" s="58"/>
      <c r="BP299" s="58"/>
      <c r="BQ299" s="58"/>
      <c r="BR299" s="58"/>
      <c r="BS299" s="58"/>
    </row>
    <row r="300" spans="1:71" ht="15.75" customHeight="1" x14ac:dyDescent="0.2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1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2"/>
      <c r="AR300" s="92"/>
      <c r="AS300" s="92"/>
      <c r="AT300" s="92"/>
      <c r="AU300" s="92"/>
      <c r="AV300" s="92"/>
      <c r="AW300" s="92"/>
      <c r="AX300" s="92"/>
      <c r="AY300" s="92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</row>
    <row r="301" spans="1:71" ht="15.75" customHeight="1" x14ac:dyDescent="0.2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1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0"/>
      <c r="AP301" s="90"/>
      <c r="AQ301" s="92"/>
      <c r="AR301" s="92"/>
      <c r="AS301" s="92"/>
      <c r="AT301" s="92"/>
      <c r="AU301" s="92"/>
      <c r="AV301" s="92"/>
      <c r="AW301" s="92"/>
      <c r="AX301" s="92"/>
      <c r="AY301" s="92"/>
      <c r="AZ301" s="58"/>
      <c r="BA301" s="58"/>
      <c r="BB301" s="58"/>
      <c r="BC301" s="58"/>
      <c r="BD301" s="58"/>
      <c r="BE301" s="58"/>
      <c r="BF301" s="58"/>
      <c r="BG301" s="58"/>
      <c r="BH301" s="58"/>
      <c r="BI301" s="58"/>
      <c r="BJ301" s="58"/>
      <c r="BK301" s="58"/>
      <c r="BL301" s="58"/>
      <c r="BM301" s="58"/>
      <c r="BN301" s="58"/>
      <c r="BO301" s="58"/>
      <c r="BP301" s="58"/>
      <c r="BQ301" s="58"/>
      <c r="BR301" s="58"/>
      <c r="BS301" s="58"/>
    </row>
    <row r="302" spans="1:71" ht="15.75" customHeight="1" x14ac:dyDescent="0.2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1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2"/>
      <c r="AR302" s="92"/>
      <c r="AS302" s="92"/>
      <c r="AT302" s="92"/>
      <c r="AU302" s="92"/>
      <c r="AV302" s="92"/>
      <c r="AW302" s="92"/>
      <c r="AX302" s="92"/>
      <c r="AY302" s="92"/>
      <c r="AZ302" s="58"/>
      <c r="BA302" s="58"/>
      <c r="BB302" s="58"/>
      <c r="BC302" s="58"/>
      <c r="BD302" s="58"/>
      <c r="BE302" s="58"/>
      <c r="BF302" s="58"/>
      <c r="BG302" s="58"/>
      <c r="BH302" s="58"/>
      <c r="BI302" s="58"/>
      <c r="BJ302" s="58"/>
      <c r="BK302" s="58"/>
      <c r="BL302" s="58"/>
      <c r="BM302" s="58"/>
      <c r="BN302" s="58"/>
      <c r="BO302" s="58"/>
      <c r="BP302" s="58"/>
      <c r="BQ302" s="58"/>
      <c r="BR302" s="58"/>
      <c r="BS302" s="58"/>
    </row>
    <row r="303" spans="1:71" ht="15.75" customHeight="1" x14ac:dyDescent="0.2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1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0"/>
      <c r="AP303" s="90"/>
      <c r="AQ303" s="92"/>
      <c r="AR303" s="92"/>
      <c r="AS303" s="92"/>
      <c r="AT303" s="92"/>
      <c r="AU303" s="92"/>
      <c r="AV303" s="92"/>
      <c r="AW303" s="92"/>
      <c r="AX303" s="92"/>
      <c r="AY303" s="92"/>
      <c r="AZ303" s="58"/>
      <c r="BA303" s="58"/>
      <c r="BB303" s="58"/>
      <c r="BC303" s="58"/>
      <c r="BD303" s="58"/>
      <c r="BE303" s="58"/>
      <c r="BF303" s="58"/>
      <c r="BG303" s="58"/>
      <c r="BH303" s="58"/>
      <c r="BI303" s="58"/>
      <c r="BJ303" s="58"/>
      <c r="BK303" s="58"/>
      <c r="BL303" s="58"/>
      <c r="BM303" s="58"/>
      <c r="BN303" s="58"/>
      <c r="BO303" s="58"/>
      <c r="BP303" s="58"/>
      <c r="BQ303" s="58"/>
      <c r="BR303" s="58"/>
      <c r="BS303" s="58"/>
    </row>
    <row r="304" spans="1:71" ht="15.75" customHeight="1" x14ac:dyDescent="0.2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1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2"/>
      <c r="AR304" s="92"/>
      <c r="AS304" s="92"/>
      <c r="AT304" s="92"/>
      <c r="AU304" s="92"/>
      <c r="AV304" s="92"/>
      <c r="AW304" s="92"/>
      <c r="AX304" s="92"/>
      <c r="AY304" s="92"/>
      <c r="AZ304" s="58"/>
      <c r="BA304" s="58"/>
      <c r="BB304" s="58"/>
      <c r="BC304" s="58"/>
      <c r="BD304" s="58"/>
      <c r="BE304" s="58"/>
      <c r="BF304" s="58"/>
      <c r="BG304" s="58"/>
      <c r="BH304" s="58"/>
      <c r="BI304" s="58"/>
      <c r="BJ304" s="58"/>
      <c r="BK304" s="58"/>
      <c r="BL304" s="58"/>
      <c r="BM304" s="58"/>
      <c r="BN304" s="58"/>
      <c r="BO304" s="58"/>
      <c r="BP304" s="58"/>
      <c r="BQ304" s="58"/>
      <c r="BR304" s="58"/>
      <c r="BS304" s="58"/>
    </row>
    <row r="305" spans="1:71" ht="15.75" customHeight="1" x14ac:dyDescent="0.2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1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0"/>
      <c r="AP305" s="90"/>
      <c r="AQ305" s="92"/>
      <c r="AR305" s="92"/>
      <c r="AS305" s="92"/>
      <c r="AT305" s="92"/>
      <c r="AU305" s="92"/>
      <c r="AV305" s="92"/>
      <c r="AW305" s="92"/>
      <c r="AX305" s="92"/>
      <c r="AY305" s="92"/>
      <c r="AZ305" s="58"/>
      <c r="BA305" s="58"/>
      <c r="BB305" s="58"/>
      <c r="BC305" s="58"/>
      <c r="BD305" s="58"/>
      <c r="BE305" s="58"/>
      <c r="BF305" s="58"/>
      <c r="BG305" s="58"/>
      <c r="BH305" s="58"/>
      <c r="BI305" s="58"/>
      <c r="BJ305" s="58"/>
      <c r="BK305" s="58"/>
      <c r="BL305" s="58"/>
      <c r="BM305" s="58"/>
      <c r="BN305" s="58"/>
      <c r="BO305" s="58"/>
      <c r="BP305" s="58"/>
      <c r="BQ305" s="58"/>
      <c r="BR305" s="58"/>
      <c r="BS305" s="58"/>
    </row>
    <row r="306" spans="1:71" ht="15.75" customHeight="1" x14ac:dyDescent="0.2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1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2"/>
      <c r="AR306" s="92"/>
      <c r="AS306" s="92"/>
      <c r="AT306" s="92"/>
      <c r="AU306" s="92"/>
      <c r="AV306" s="92"/>
      <c r="AW306" s="92"/>
      <c r="AX306" s="92"/>
      <c r="AY306" s="92"/>
      <c r="AZ306" s="58"/>
      <c r="BA306" s="58"/>
      <c r="BB306" s="58"/>
      <c r="BC306" s="58"/>
      <c r="BD306" s="58"/>
      <c r="BE306" s="58"/>
      <c r="BF306" s="58"/>
      <c r="BG306" s="58"/>
      <c r="BH306" s="58"/>
      <c r="BI306" s="58"/>
      <c r="BJ306" s="58"/>
      <c r="BK306" s="58"/>
      <c r="BL306" s="58"/>
      <c r="BM306" s="58"/>
      <c r="BN306" s="58"/>
      <c r="BO306" s="58"/>
      <c r="BP306" s="58"/>
      <c r="BQ306" s="58"/>
      <c r="BR306" s="58"/>
      <c r="BS306" s="58"/>
    </row>
    <row r="307" spans="1:71" ht="15.75" customHeight="1" x14ac:dyDescent="0.2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1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0"/>
      <c r="AP307" s="90"/>
      <c r="AQ307" s="92"/>
      <c r="AR307" s="92"/>
      <c r="AS307" s="92"/>
      <c r="AT307" s="92"/>
      <c r="AU307" s="92"/>
      <c r="AV307" s="92"/>
      <c r="AW307" s="92"/>
      <c r="AX307" s="92"/>
      <c r="AY307" s="92"/>
      <c r="AZ307" s="58"/>
      <c r="BA307" s="58"/>
      <c r="BB307" s="58"/>
      <c r="BC307" s="58"/>
      <c r="BD307" s="58"/>
      <c r="BE307" s="58"/>
      <c r="BF307" s="58"/>
      <c r="BG307" s="58"/>
      <c r="BH307" s="58"/>
      <c r="BI307" s="58"/>
      <c r="BJ307" s="58"/>
      <c r="BK307" s="58"/>
      <c r="BL307" s="58"/>
      <c r="BM307" s="58"/>
      <c r="BN307" s="58"/>
      <c r="BO307" s="58"/>
      <c r="BP307" s="58"/>
      <c r="BQ307" s="58"/>
      <c r="BR307" s="58"/>
      <c r="BS307" s="58"/>
    </row>
    <row r="308" spans="1:71" ht="15.75" customHeight="1" x14ac:dyDescent="0.2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1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2"/>
      <c r="AR308" s="92"/>
      <c r="AS308" s="92"/>
      <c r="AT308" s="92"/>
      <c r="AU308" s="92"/>
      <c r="AV308" s="92"/>
      <c r="AW308" s="92"/>
      <c r="AX308" s="92"/>
      <c r="AY308" s="92"/>
      <c r="AZ308" s="58"/>
      <c r="BA308" s="58"/>
      <c r="BB308" s="58"/>
      <c r="BC308" s="58"/>
      <c r="BD308" s="58"/>
      <c r="BE308" s="58"/>
      <c r="BF308" s="58"/>
      <c r="BG308" s="58"/>
      <c r="BH308" s="58"/>
      <c r="BI308" s="58"/>
      <c r="BJ308" s="58"/>
      <c r="BK308" s="58"/>
      <c r="BL308" s="58"/>
      <c r="BM308" s="58"/>
      <c r="BN308" s="58"/>
      <c r="BO308" s="58"/>
      <c r="BP308" s="58"/>
      <c r="BQ308" s="58"/>
      <c r="BR308" s="58"/>
      <c r="BS308" s="58"/>
    </row>
    <row r="309" spans="1:71" ht="15.75" customHeight="1" x14ac:dyDescent="0.2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1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0"/>
      <c r="AP309" s="90"/>
      <c r="AQ309" s="92"/>
      <c r="AR309" s="92"/>
      <c r="AS309" s="92"/>
      <c r="AT309" s="92"/>
      <c r="AU309" s="92"/>
      <c r="AV309" s="92"/>
      <c r="AW309" s="92"/>
      <c r="AX309" s="92"/>
      <c r="AY309" s="92"/>
      <c r="AZ309" s="58"/>
      <c r="BA309" s="58"/>
      <c r="BB309" s="58"/>
      <c r="BC309" s="58"/>
      <c r="BD309" s="58"/>
      <c r="BE309" s="58"/>
      <c r="BF309" s="58"/>
      <c r="BG309" s="58"/>
      <c r="BH309" s="58"/>
      <c r="BI309" s="58"/>
      <c r="BJ309" s="58"/>
      <c r="BK309" s="58"/>
      <c r="BL309" s="58"/>
      <c r="BM309" s="58"/>
      <c r="BN309" s="58"/>
      <c r="BO309" s="58"/>
      <c r="BP309" s="58"/>
      <c r="BQ309" s="58"/>
      <c r="BR309" s="58"/>
      <c r="BS309" s="58"/>
    </row>
    <row r="310" spans="1:71" ht="15.75" customHeight="1" x14ac:dyDescent="0.2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1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2"/>
      <c r="AR310" s="92"/>
      <c r="AS310" s="92"/>
      <c r="AT310" s="92"/>
      <c r="AU310" s="92"/>
      <c r="AV310" s="92"/>
      <c r="AW310" s="92"/>
      <c r="AX310" s="92"/>
      <c r="AY310" s="92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</row>
    <row r="311" spans="1:71" ht="15.75" customHeight="1" x14ac:dyDescent="0.2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1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0"/>
      <c r="AP311" s="90"/>
      <c r="AQ311" s="92"/>
      <c r="AR311" s="92"/>
      <c r="AS311" s="92"/>
      <c r="AT311" s="92"/>
      <c r="AU311" s="92"/>
      <c r="AV311" s="92"/>
      <c r="AW311" s="92"/>
      <c r="AX311" s="92"/>
      <c r="AY311" s="92"/>
      <c r="AZ311" s="58"/>
      <c r="BA311" s="58"/>
      <c r="BB311" s="58"/>
      <c r="BC311" s="58"/>
      <c r="BD311" s="58"/>
      <c r="BE311" s="58"/>
      <c r="BF311" s="58"/>
      <c r="BG311" s="58"/>
      <c r="BH311" s="58"/>
      <c r="BI311" s="58"/>
      <c r="BJ311" s="58"/>
      <c r="BK311" s="58"/>
      <c r="BL311" s="58"/>
      <c r="BM311" s="58"/>
      <c r="BN311" s="58"/>
      <c r="BO311" s="58"/>
      <c r="BP311" s="58"/>
      <c r="BQ311" s="58"/>
      <c r="BR311" s="58"/>
      <c r="BS311" s="58"/>
    </row>
    <row r="312" spans="1:71" ht="15.75" customHeight="1" x14ac:dyDescent="0.2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1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2"/>
      <c r="AR312" s="92"/>
      <c r="AS312" s="92"/>
      <c r="AT312" s="92"/>
      <c r="AU312" s="92"/>
      <c r="AV312" s="92"/>
      <c r="AW312" s="92"/>
      <c r="AX312" s="92"/>
      <c r="AY312" s="92"/>
      <c r="AZ312" s="58"/>
      <c r="BA312" s="58"/>
      <c r="BB312" s="58"/>
      <c r="BC312" s="58"/>
      <c r="BD312" s="58"/>
      <c r="BE312" s="58"/>
      <c r="BF312" s="58"/>
      <c r="BG312" s="58"/>
      <c r="BH312" s="58"/>
      <c r="BI312" s="58"/>
      <c r="BJ312" s="58"/>
      <c r="BK312" s="58"/>
      <c r="BL312" s="58"/>
      <c r="BM312" s="58"/>
      <c r="BN312" s="58"/>
      <c r="BO312" s="58"/>
      <c r="BP312" s="58"/>
      <c r="BQ312" s="58"/>
      <c r="BR312" s="58"/>
      <c r="BS312" s="58"/>
    </row>
    <row r="313" spans="1:71" ht="15.75" customHeight="1" x14ac:dyDescent="0.2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1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0"/>
      <c r="AP313" s="90"/>
      <c r="AQ313" s="92"/>
      <c r="AR313" s="92"/>
      <c r="AS313" s="92"/>
      <c r="AT313" s="92"/>
      <c r="AU313" s="92"/>
      <c r="AV313" s="92"/>
      <c r="AW313" s="92"/>
      <c r="AX313" s="92"/>
      <c r="AY313" s="92"/>
      <c r="AZ313" s="58"/>
      <c r="BA313" s="58"/>
      <c r="BB313" s="58"/>
      <c r="BC313" s="58"/>
      <c r="BD313" s="58"/>
      <c r="BE313" s="58"/>
      <c r="BF313" s="58"/>
      <c r="BG313" s="58"/>
      <c r="BH313" s="58"/>
      <c r="BI313" s="58"/>
      <c r="BJ313" s="58"/>
      <c r="BK313" s="58"/>
      <c r="BL313" s="58"/>
      <c r="BM313" s="58"/>
      <c r="BN313" s="58"/>
      <c r="BO313" s="58"/>
      <c r="BP313" s="58"/>
      <c r="BQ313" s="58"/>
      <c r="BR313" s="58"/>
      <c r="BS313" s="58"/>
    </row>
    <row r="314" spans="1:71" ht="15.75" customHeight="1" x14ac:dyDescent="0.2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1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2"/>
      <c r="AR314" s="92"/>
      <c r="AS314" s="92"/>
      <c r="AT314" s="92"/>
      <c r="AU314" s="92"/>
      <c r="AV314" s="92"/>
      <c r="AW314" s="92"/>
      <c r="AX314" s="92"/>
      <c r="AY314" s="92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</row>
    <row r="315" spans="1:71" ht="15.75" customHeight="1" x14ac:dyDescent="0.2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1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0"/>
      <c r="AP315" s="90"/>
      <c r="AQ315" s="92"/>
      <c r="AR315" s="92"/>
      <c r="AS315" s="92"/>
      <c r="AT315" s="92"/>
      <c r="AU315" s="92"/>
      <c r="AV315" s="92"/>
      <c r="AW315" s="92"/>
      <c r="AX315" s="92"/>
      <c r="AY315" s="92"/>
      <c r="AZ315" s="58"/>
      <c r="BA315" s="58"/>
      <c r="BB315" s="58"/>
      <c r="BC315" s="58"/>
      <c r="BD315" s="58"/>
      <c r="BE315" s="58"/>
      <c r="BF315" s="58"/>
      <c r="BG315" s="58"/>
      <c r="BH315" s="58"/>
      <c r="BI315" s="58"/>
      <c r="BJ315" s="58"/>
      <c r="BK315" s="58"/>
      <c r="BL315" s="58"/>
      <c r="BM315" s="58"/>
      <c r="BN315" s="58"/>
      <c r="BO315" s="58"/>
      <c r="BP315" s="58"/>
      <c r="BQ315" s="58"/>
      <c r="BR315" s="58"/>
      <c r="BS315" s="58"/>
    </row>
    <row r="316" spans="1:71" ht="15.75" customHeight="1" x14ac:dyDescent="0.2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1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2"/>
      <c r="AR316" s="92"/>
      <c r="AS316" s="92"/>
      <c r="AT316" s="92"/>
      <c r="AU316" s="92"/>
      <c r="AV316" s="92"/>
      <c r="AW316" s="92"/>
      <c r="AX316" s="92"/>
      <c r="AY316" s="92"/>
      <c r="AZ316" s="58"/>
      <c r="BA316" s="58"/>
      <c r="BB316" s="58"/>
      <c r="BC316" s="58"/>
      <c r="BD316" s="58"/>
      <c r="BE316" s="58"/>
      <c r="BF316" s="58"/>
      <c r="BG316" s="58"/>
      <c r="BH316" s="58"/>
      <c r="BI316" s="58"/>
      <c r="BJ316" s="58"/>
      <c r="BK316" s="58"/>
      <c r="BL316" s="58"/>
      <c r="BM316" s="58"/>
      <c r="BN316" s="58"/>
      <c r="BO316" s="58"/>
      <c r="BP316" s="58"/>
      <c r="BQ316" s="58"/>
      <c r="BR316" s="58"/>
      <c r="BS316" s="58"/>
    </row>
    <row r="317" spans="1:71" ht="15.75" customHeight="1" x14ac:dyDescent="0.2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1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0"/>
      <c r="AP317" s="90"/>
      <c r="AQ317" s="92"/>
      <c r="AR317" s="92"/>
      <c r="AS317" s="92"/>
      <c r="AT317" s="92"/>
      <c r="AU317" s="92"/>
      <c r="AV317" s="92"/>
      <c r="AW317" s="92"/>
      <c r="AX317" s="92"/>
      <c r="AY317" s="92"/>
      <c r="AZ317" s="58"/>
      <c r="BA317" s="58"/>
      <c r="BB317" s="58"/>
      <c r="BC317" s="58"/>
      <c r="BD317" s="58"/>
      <c r="BE317" s="58"/>
      <c r="BF317" s="58"/>
      <c r="BG317" s="58"/>
      <c r="BH317" s="58"/>
      <c r="BI317" s="58"/>
      <c r="BJ317" s="58"/>
      <c r="BK317" s="58"/>
      <c r="BL317" s="58"/>
      <c r="BM317" s="58"/>
      <c r="BN317" s="58"/>
      <c r="BO317" s="58"/>
      <c r="BP317" s="58"/>
      <c r="BQ317" s="58"/>
      <c r="BR317" s="58"/>
      <c r="BS317" s="58"/>
    </row>
    <row r="318" spans="1:71" ht="15.75" customHeight="1" x14ac:dyDescent="0.2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1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2"/>
      <c r="AR318" s="92"/>
      <c r="AS318" s="92"/>
      <c r="AT318" s="92"/>
      <c r="AU318" s="92"/>
      <c r="AV318" s="92"/>
      <c r="AW318" s="92"/>
      <c r="AX318" s="92"/>
      <c r="AY318" s="92"/>
      <c r="AZ318" s="58"/>
      <c r="BA318" s="58"/>
      <c r="BB318" s="58"/>
      <c r="BC318" s="58"/>
      <c r="BD318" s="58"/>
      <c r="BE318" s="58"/>
      <c r="BF318" s="58"/>
      <c r="BG318" s="58"/>
      <c r="BH318" s="58"/>
      <c r="BI318" s="58"/>
      <c r="BJ318" s="58"/>
      <c r="BK318" s="58"/>
      <c r="BL318" s="58"/>
      <c r="BM318" s="58"/>
      <c r="BN318" s="58"/>
      <c r="BO318" s="58"/>
      <c r="BP318" s="58"/>
      <c r="BQ318" s="58"/>
      <c r="BR318" s="58"/>
      <c r="BS318" s="58"/>
    </row>
    <row r="319" spans="1:71" ht="15.75" customHeight="1" x14ac:dyDescent="0.2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1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0"/>
      <c r="AP319" s="90"/>
      <c r="AQ319" s="92"/>
      <c r="AR319" s="92"/>
      <c r="AS319" s="92"/>
      <c r="AT319" s="92"/>
      <c r="AU319" s="92"/>
      <c r="AV319" s="92"/>
      <c r="AW319" s="92"/>
      <c r="AX319" s="92"/>
      <c r="AY319" s="92"/>
      <c r="AZ319" s="58"/>
      <c r="BA319" s="58"/>
      <c r="BB319" s="58"/>
      <c r="BC319" s="58"/>
      <c r="BD319" s="58"/>
      <c r="BE319" s="58"/>
      <c r="BF319" s="58"/>
      <c r="BG319" s="58"/>
      <c r="BH319" s="58"/>
      <c r="BI319" s="58"/>
      <c r="BJ319" s="58"/>
      <c r="BK319" s="58"/>
      <c r="BL319" s="58"/>
      <c r="BM319" s="58"/>
      <c r="BN319" s="58"/>
      <c r="BO319" s="58"/>
      <c r="BP319" s="58"/>
      <c r="BQ319" s="58"/>
      <c r="BR319" s="58"/>
      <c r="BS319" s="58"/>
    </row>
    <row r="320" spans="1:71" ht="15.75" customHeight="1" x14ac:dyDescent="0.2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1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2"/>
      <c r="AR320" s="92"/>
      <c r="AS320" s="92"/>
      <c r="AT320" s="92"/>
      <c r="AU320" s="92"/>
      <c r="AV320" s="92"/>
      <c r="AW320" s="92"/>
      <c r="AX320" s="92"/>
      <c r="AY320" s="92"/>
      <c r="AZ320" s="58"/>
      <c r="BA320" s="58"/>
      <c r="BB320" s="58"/>
      <c r="BC320" s="58"/>
      <c r="BD320" s="58"/>
      <c r="BE320" s="58"/>
      <c r="BF320" s="58"/>
      <c r="BG320" s="58"/>
      <c r="BH320" s="58"/>
      <c r="BI320" s="58"/>
      <c r="BJ320" s="58"/>
      <c r="BK320" s="58"/>
      <c r="BL320" s="58"/>
      <c r="BM320" s="58"/>
      <c r="BN320" s="58"/>
      <c r="BO320" s="58"/>
      <c r="BP320" s="58"/>
      <c r="BQ320" s="58"/>
      <c r="BR320" s="58"/>
      <c r="BS320" s="58"/>
    </row>
    <row r="321" spans="1:71" ht="15.75" customHeight="1" x14ac:dyDescent="0.2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1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2"/>
      <c r="AR321" s="92"/>
      <c r="AS321" s="92"/>
      <c r="AT321" s="92"/>
      <c r="AU321" s="92"/>
      <c r="AV321" s="92"/>
      <c r="AW321" s="92"/>
      <c r="AX321" s="92"/>
      <c r="AY321" s="92"/>
      <c r="AZ321" s="58"/>
      <c r="BA321" s="58"/>
      <c r="BB321" s="58"/>
      <c r="BC321" s="58"/>
      <c r="BD321" s="58"/>
      <c r="BE321" s="58"/>
      <c r="BF321" s="58"/>
      <c r="BG321" s="58"/>
      <c r="BH321" s="58"/>
      <c r="BI321" s="58"/>
      <c r="BJ321" s="58"/>
      <c r="BK321" s="58"/>
      <c r="BL321" s="58"/>
      <c r="BM321" s="58"/>
      <c r="BN321" s="58"/>
      <c r="BO321" s="58"/>
      <c r="BP321" s="58"/>
      <c r="BQ321" s="58"/>
      <c r="BR321" s="58"/>
      <c r="BS321" s="58"/>
    </row>
    <row r="322" spans="1:71" ht="15.75" customHeight="1" x14ac:dyDescent="0.2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1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2"/>
      <c r="AR322" s="92"/>
      <c r="AS322" s="92"/>
      <c r="AT322" s="92"/>
      <c r="AU322" s="92"/>
      <c r="AV322" s="92"/>
      <c r="AW322" s="92"/>
      <c r="AX322" s="92"/>
      <c r="AY322" s="92"/>
      <c r="AZ322" s="58"/>
      <c r="BA322" s="58"/>
      <c r="BB322" s="58"/>
      <c r="BC322" s="58"/>
      <c r="BD322" s="58"/>
      <c r="BE322" s="58"/>
      <c r="BF322" s="58"/>
      <c r="BG322" s="58"/>
      <c r="BH322" s="58"/>
      <c r="BI322" s="58"/>
      <c r="BJ322" s="58"/>
      <c r="BK322" s="58"/>
      <c r="BL322" s="58"/>
      <c r="BM322" s="58"/>
      <c r="BN322" s="58"/>
      <c r="BO322" s="58"/>
      <c r="BP322" s="58"/>
      <c r="BQ322" s="58"/>
      <c r="BR322" s="58"/>
      <c r="BS322" s="58"/>
    </row>
    <row r="323" spans="1:71" ht="15.75" customHeight="1" x14ac:dyDescent="0.2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1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0"/>
      <c r="AP323" s="90"/>
      <c r="AQ323" s="92"/>
      <c r="AR323" s="92"/>
      <c r="AS323" s="92"/>
      <c r="AT323" s="92"/>
      <c r="AU323" s="92"/>
      <c r="AV323" s="92"/>
      <c r="AW323" s="92"/>
      <c r="AX323" s="92"/>
      <c r="AY323" s="92"/>
      <c r="AZ323" s="58"/>
      <c r="BA323" s="58"/>
      <c r="BB323" s="58"/>
      <c r="BC323" s="58"/>
      <c r="BD323" s="58"/>
      <c r="BE323" s="58"/>
      <c r="BF323" s="58"/>
      <c r="BG323" s="58"/>
      <c r="BH323" s="58"/>
      <c r="BI323" s="58"/>
      <c r="BJ323" s="58"/>
      <c r="BK323" s="58"/>
      <c r="BL323" s="58"/>
      <c r="BM323" s="58"/>
      <c r="BN323" s="58"/>
      <c r="BO323" s="58"/>
      <c r="BP323" s="58"/>
      <c r="BQ323" s="58"/>
      <c r="BR323" s="58"/>
      <c r="BS323" s="58"/>
    </row>
    <row r="324" spans="1:71" ht="15.75" customHeight="1" x14ac:dyDescent="0.2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1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2"/>
      <c r="AR324" s="92"/>
      <c r="AS324" s="92"/>
      <c r="AT324" s="92"/>
      <c r="AU324" s="92"/>
      <c r="AV324" s="92"/>
      <c r="AW324" s="92"/>
      <c r="AX324" s="92"/>
      <c r="AY324" s="92"/>
      <c r="AZ324" s="58"/>
      <c r="BA324" s="58"/>
      <c r="BB324" s="58"/>
      <c r="BC324" s="58"/>
      <c r="BD324" s="58"/>
      <c r="BE324" s="58"/>
      <c r="BF324" s="58"/>
      <c r="BG324" s="58"/>
      <c r="BH324" s="58"/>
      <c r="BI324" s="58"/>
      <c r="BJ324" s="58"/>
      <c r="BK324" s="58"/>
      <c r="BL324" s="58"/>
      <c r="BM324" s="58"/>
      <c r="BN324" s="58"/>
      <c r="BO324" s="58"/>
      <c r="BP324" s="58"/>
      <c r="BQ324" s="58"/>
      <c r="BR324" s="58"/>
      <c r="BS324" s="58"/>
    </row>
    <row r="325" spans="1:71" ht="15.75" customHeight="1" x14ac:dyDescent="0.2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1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0"/>
      <c r="AP325" s="90"/>
      <c r="AQ325" s="92"/>
      <c r="AR325" s="92"/>
      <c r="AS325" s="92"/>
      <c r="AT325" s="92"/>
      <c r="AU325" s="92"/>
      <c r="AV325" s="92"/>
      <c r="AW325" s="92"/>
      <c r="AX325" s="92"/>
      <c r="AY325" s="92"/>
      <c r="AZ325" s="58"/>
      <c r="BA325" s="58"/>
      <c r="BB325" s="58"/>
      <c r="BC325" s="58"/>
      <c r="BD325" s="58"/>
      <c r="BE325" s="58"/>
      <c r="BF325" s="58"/>
      <c r="BG325" s="58"/>
      <c r="BH325" s="58"/>
      <c r="BI325" s="58"/>
      <c r="BJ325" s="58"/>
      <c r="BK325" s="58"/>
      <c r="BL325" s="58"/>
      <c r="BM325" s="58"/>
      <c r="BN325" s="58"/>
      <c r="BO325" s="58"/>
      <c r="BP325" s="58"/>
      <c r="BQ325" s="58"/>
      <c r="BR325" s="58"/>
      <c r="BS325" s="58"/>
    </row>
    <row r="326" spans="1:71" ht="15.75" customHeight="1" x14ac:dyDescent="0.2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1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2"/>
      <c r="AR326" s="92"/>
      <c r="AS326" s="92"/>
      <c r="AT326" s="92"/>
      <c r="AU326" s="92"/>
      <c r="AV326" s="92"/>
      <c r="AW326" s="92"/>
      <c r="AX326" s="92"/>
      <c r="AY326" s="92"/>
      <c r="AZ326" s="58"/>
      <c r="BA326" s="58"/>
      <c r="BB326" s="58"/>
      <c r="BC326" s="58"/>
      <c r="BD326" s="58"/>
      <c r="BE326" s="58"/>
      <c r="BF326" s="58"/>
      <c r="BG326" s="58"/>
      <c r="BH326" s="58"/>
      <c r="BI326" s="58"/>
      <c r="BJ326" s="58"/>
      <c r="BK326" s="58"/>
      <c r="BL326" s="58"/>
      <c r="BM326" s="58"/>
      <c r="BN326" s="58"/>
      <c r="BO326" s="58"/>
      <c r="BP326" s="58"/>
      <c r="BQ326" s="58"/>
      <c r="BR326" s="58"/>
      <c r="BS326" s="58"/>
    </row>
    <row r="327" spans="1:71" ht="15.75" customHeight="1" x14ac:dyDescent="0.2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1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0"/>
      <c r="AP327" s="90"/>
      <c r="AQ327" s="92"/>
      <c r="AR327" s="92"/>
      <c r="AS327" s="92"/>
      <c r="AT327" s="92"/>
      <c r="AU327" s="92"/>
      <c r="AV327" s="92"/>
      <c r="AW327" s="92"/>
      <c r="AX327" s="92"/>
      <c r="AY327" s="92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</row>
    <row r="328" spans="1:71" ht="15.75" customHeight="1" x14ac:dyDescent="0.2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1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2"/>
      <c r="AR328" s="92"/>
      <c r="AS328" s="92"/>
      <c r="AT328" s="92"/>
      <c r="AU328" s="92"/>
      <c r="AV328" s="92"/>
      <c r="AW328" s="92"/>
      <c r="AX328" s="92"/>
      <c r="AY328" s="92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</row>
    <row r="329" spans="1:71" ht="15.75" customHeight="1" x14ac:dyDescent="0.2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1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0"/>
      <c r="AP329" s="90"/>
      <c r="AQ329" s="92"/>
      <c r="AR329" s="92"/>
      <c r="AS329" s="92"/>
      <c r="AT329" s="92"/>
      <c r="AU329" s="92"/>
      <c r="AV329" s="92"/>
      <c r="AW329" s="92"/>
      <c r="AX329" s="92"/>
      <c r="AY329" s="92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</row>
    <row r="330" spans="1:71" ht="15.75" customHeight="1" x14ac:dyDescent="0.2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1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2"/>
      <c r="AR330" s="92"/>
      <c r="AS330" s="92"/>
      <c r="AT330" s="92"/>
      <c r="AU330" s="92"/>
      <c r="AV330" s="92"/>
      <c r="AW330" s="92"/>
      <c r="AX330" s="92"/>
      <c r="AY330" s="92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</row>
    <row r="331" spans="1:71" ht="15.75" customHeight="1" x14ac:dyDescent="0.2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1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0"/>
      <c r="AP331" s="90"/>
      <c r="AQ331" s="92"/>
      <c r="AR331" s="92"/>
      <c r="AS331" s="92"/>
      <c r="AT331" s="92"/>
      <c r="AU331" s="92"/>
      <c r="AV331" s="92"/>
      <c r="AW331" s="92"/>
      <c r="AX331" s="92"/>
      <c r="AY331" s="92"/>
      <c r="AZ331" s="58"/>
      <c r="BA331" s="58"/>
      <c r="BB331" s="58"/>
      <c r="BC331" s="58"/>
      <c r="BD331" s="58"/>
      <c r="BE331" s="58"/>
      <c r="BF331" s="58"/>
      <c r="BG331" s="58"/>
      <c r="BH331" s="58"/>
      <c r="BI331" s="58"/>
      <c r="BJ331" s="58"/>
      <c r="BK331" s="58"/>
      <c r="BL331" s="58"/>
      <c r="BM331" s="58"/>
      <c r="BN331" s="58"/>
      <c r="BO331" s="58"/>
      <c r="BP331" s="58"/>
      <c r="BQ331" s="58"/>
      <c r="BR331" s="58"/>
      <c r="BS331" s="58"/>
    </row>
    <row r="332" spans="1:71" ht="15.75" customHeight="1" x14ac:dyDescent="0.2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1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2"/>
      <c r="AR332" s="92"/>
      <c r="AS332" s="92"/>
      <c r="AT332" s="92"/>
      <c r="AU332" s="92"/>
      <c r="AV332" s="92"/>
      <c r="AW332" s="92"/>
      <c r="AX332" s="92"/>
      <c r="AY332" s="92"/>
      <c r="AZ332" s="58"/>
      <c r="BA332" s="58"/>
      <c r="BB332" s="58"/>
      <c r="BC332" s="58"/>
      <c r="BD332" s="58"/>
      <c r="BE332" s="58"/>
      <c r="BF332" s="58"/>
      <c r="BG332" s="58"/>
      <c r="BH332" s="58"/>
      <c r="BI332" s="58"/>
      <c r="BJ332" s="58"/>
      <c r="BK332" s="58"/>
      <c r="BL332" s="58"/>
      <c r="BM332" s="58"/>
      <c r="BN332" s="58"/>
      <c r="BO332" s="58"/>
      <c r="BP332" s="58"/>
      <c r="BQ332" s="58"/>
      <c r="BR332" s="58"/>
      <c r="BS332" s="58"/>
    </row>
    <row r="333" spans="1:71" ht="15.75" customHeight="1" x14ac:dyDescent="0.2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1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0"/>
      <c r="AP333" s="90"/>
      <c r="AQ333" s="92"/>
      <c r="AR333" s="92"/>
      <c r="AS333" s="92"/>
      <c r="AT333" s="92"/>
      <c r="AU333" s="92"/>
      <c r="AV333" s="92"/>
      <c r="AW333" s="92"/>
      <c r="AX333" s="92"/>
      <c r="AY333" s="92"/>
      <c r="AZ333" s="58"/>
      <c r="BA333" s="58"/>
      <c r="BB333" s="58"/>
      <c r="BC333" s="58"/>
      <c r="BD333" s="58"/>
      <c r="BE333" s="58"/>
      <c r="BF333" s="58"/>
      <c r="BG333" s="58"/>
      <c r="BH333" s="58"/>
      <c r="BI333" s="58"/>
      <c r="BJ333" s="58"/>
      <c r="BK333" s="58"/>
      <c r="BL333" s="58"/>
      <c r="BM333" s="58"/>
      <c r="BN333" s="58"/>
      <c r="BO333" s="58"/>
      <c r="BP333" s="58"/>
      <c r="BQ333" s="58"/>
      <c r="BR333" s="58"/>
      <c r="BS333" s="58"/>
    </row>
    <row r="334" spans="1:71" ht="15.75" customHeight="1" x14ac:dyDescent="0.2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1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2"/>
      <c r="AR334" s="92"/>
      <c r="AS334" s="92"/>
      <c r="AT334" s="92"/>
      <c r="AU334" s="92"/>
      <c r="AV334" s="92"/>
      <c r="AW334" s="92"/>
      <c r="AX334" s="92"/>
      <c r="AY334" s="92"/>
      <c r="AZ334" s="58"/>
      <c r="BA334" s="58"/>
      <c r="BB334" s="58"/>
      <c r="BC334" s="58"/>
      <c r="BD334" s="58"/>
      <c r="BE334" s="58"/>
      <c r="BF334" s="58"/>
      <c r="BG334" s="58"/>
      <c r="BH334" s="58"/>
      <c r="BI334" s="58"/>
      <c r="BJ334" s="58"/>
      <c r="BK334" s="58"/>
      <c r="BL334" s="58"/>
      <c r="BM334" s="58"/>
      <c r="BN334" s="58"/>
      <c r="BO334" s="58"/>
      <c r="BP334" s="58"/>
      <c r="BQ334" s="58"/>
      <c r="BR334" s="58"/>
      <c r="BS334" s="58"/>
    </row>
    <row r="335" spans="1:71" ht="15.75" customHeight="1" x14ac:dyDescent="0.2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1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0"/>
      <c r="AP335" s="90"/>
      <c r="AQ335" s="92"/>
      <c r="AR335" s="92"/>
      <c r="AS335" s="92"/>
      <c r="AT335" s="92"/>
      <c r="AU335" s="92"/>
      <c r="AV335" s="92"/>
      <c r="AW335" s="92"/>
      <c r="AX335" s="92"/>
      <c r="AY335" s="92"/>
      <c r="AZ335" s="58"/>
      <c r="BA335" s="58"/>
      <c r="BB335" s="58"/>
      <c r="BC335" s="58"/>
      <c r="BD335" s="58"/>
      <c r="BE335" s="58"/>
      <c r="BF335" s="58"/>
      <c r="BG335" s="58"/>
      <c r="BH335" s="58"/>
      <c r="BI335" s="58"/>
      <c r="BJ335" s="58"/>
      <c r="BK335" s="58"/>
      <c r="BL335" s="58"/>
      <c r="BM335" s="58"/>
      <c r="BN335" s="58"/>
      <c r="BO335" s="58"/>
      <c r="BP335" s="58"/>
      <c r="BQ335" s="58"/>
      <c r="BR335" s="58"/>
      <c r="BS335" s="58"/>
    </row>
    <row r="336" spans="1:71" ht="15.75" customHeight="1" x14ac:dyDescent="0.2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1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2"/>
      <c r="AR336" s="92"/>
      <c r="AS336" s="92"/>
      <c r="AT336" s="92"/>
      <c r="AU336" s="92"/>
      <c r="AV336" s="92"/>
      <c r="AW336" s="92"/>
      <c r="AX336" s="92"/>
      <c r="AY336" s="92"/>
      <c r="AZ336" s="58"/>
      <c r="BA336" s="58"/>
      <c r="BB336" s="58"/>
      <c r="BC336" s="58"/>
      <c r="BD336" s="58"/>
      <c r="BE336" s="58"/>
      <c r="BF336" s="58"/>
      <c r="BG336" s="58"/>
      <c r="BH336" s="58"/>
      <c r="BI336" s="58"/>
      <c r="BJ336" s="58"/>
      <c r="BK336" s="58"/>
      <c r="BL336" s="58"/>
      <c r="BM336" s="58"/>
      <c r="BN336" s="58"/>
      <c r="BO336" s="58"/>
      <c r="BP336" s="58"/>
      <c r="BQ336" s="58"/>
      <c r="BR336" s="58"/>
      <c r="BS336" s="58"/>
    </row>
    <row r="337" spans="1:71" ht="15.75" customHeight="1" x14ac:dyDescent="0.2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1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0"/>
      <c r="AP337" s="90"/>
      <c r="AQ337" s="92"/>
      <c r="AR337" s="92"/>
      <c r="AS337" s="92"/>
      <c r="AT337" s="92"/>
      <c r="AU337" s="92"/>
      <c r="AV337" s="92"/>
      <c r="AW337" s="92"/>
      <c r="AX337" s="92"/>
      <c r="AY337" s="92"/>
      <c r="AZ337" s="58"/>
      <c r="BA337" s="58"/>
      <c r="BB337" s="58"/>
      <c r="BC337" s="58"/>
      <c r="BD337" s="58"/>
      <c r="BE337" s="58"/>
      <c r="BF337" s="58"/>
      <c r="BG337" s="58"/>
      <c r="BH337" s="58"/>
      <c r="BI337" s="58"/>
      <c r="BJ337" s="58"/>
      <c r="BK337" s="58"/>
      <c r="BL337" s="58"/>
      <c r="BM337" s="58"/>
      <c r="BN337" s="58"/>
      <c r="BO337" s="58"/>
      <c r="BP337" s="58"/>
      <c r="BQ337" s="58"/>
      <c r="BR337" s="58"/>
      <c r="BS337" s="58"/>
    </row>
    <row r="338" spans="1:71" ht="15.75" customHeight="1" x14ac:dyDescent="0.2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1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2"/>
      <c r="AR338" s="92"/>
      <c r="AS338" s="92"/>
      <c r="AT338" s="92"/>
      <c r="AU338" s="92"/>
      <c r="AV338" s="92"/>
      <c r="AW338" s="92"/>
      <c r="AX338" s="92"/>
      <c r="AY338" s="92"/>
      <c r="AZ338" s="58"/>
      <c r="BA338" s="58"/>
      <c r="BB338" s="58"/>
      <c r="BC338" s="58"/>
      <c r="BD338" s="58"/>
      <c r="BE338" s="58"/>
      <c r="BF338" s="58"/>
      <c r="BG338" s="58"/>
      <c r="BH338" s="58"/>
      <c r="BI338" s="58"/>
      <c r="BJ338" s="58"/>
      <c r="BK338" s="58"/>
      <c r="BL338" s="58"/>
      <c r="BM338" s="58"/>
      <c r="BN338" s="58"/>
      <c r="BO338" s="58"/>
      <c r="BP338" s="58"/>
      <c r="BQ338" s="58"/>
      <c r="BR338" s="58"/>
      <c r="BS338" s="58"/>
    </row>
    <row r="339" spans="1:71" ht="15.75" customHeight="1" x14ac:dyDescent="0.2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1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0"/>
      <c r="AP339" s="90"/>
      <c r="AQ339" s="92"/>
      <c r="AR339" s="92"/>
      <c r="AS339" s="92"/>
      <c r="AT339" s="92"/>
      <c r="AU339" s="92"/>
      <c r="AV339" s="92"/>
      <c r="AW339" s="92"/>
      <c r="AX339" s="92"/>
      <c r="AY339" s="92"/>
      <c r="AZ339" s="58"/>
      <c r="BA339" s="58"/>
      <c r="BB339" s="58"/>
      <c r="BC339" s="58"/>
      <c r="BD339" s="58"/>
      <c r="BE339" s="58"/>
      <c r="BF339" s="58"/>
      <c r="BG339" s="58"/>
      <c r="BH339" s="58"/>
      <c r="BI339" s="58"/>
      <c r="BJ339" s="58"/>
      <c r="BK339" s="58"/>
      <c r="BL339" s="58"/>
      <c r="BM339" s="58"/>
      <c r="BN339" s="58"/>
      <c r="BO339" s="58"/>
      <c r="BP339" s="58"/>
      <c r="BQ339" s="58"/>
      <c r="BR339" s="58"/>
      <c r="BS339" s="58"/>
    </row>
    <row r="340" spans="1:71" ht="15.75" customHeight="1" x14ac:dyDescent="0.2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1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2"/>
      <c r="AR340" s="92"/>
      <c r="AS340" s="92"/>
      <c r="AT340" s="92"/>
      <c r="AU340" s="92"/>
      <c r="AV340" s="92"/>
      <c r="AW340" s="92"/>
      <c r="AX340" s="92"/>
      <c r="AY340" s="92"/>
      <c r="AZ340" s="58"/>
      <c r="BA340" s="58"/>
      <c r="BB340" s="58"/>
      <c r="BC340" s="58"/>
      <c r="BD340" s="58"/>
      <c r="BE340" s="58"/>
      <c r="BF340" s="58"/>
      <c r="BG340" s="58"/>
      <c r="BH340" s="58"/>
      <c r="BI340" s="58"/>
      <c r="BJ340" s="58"/>
      <c r="BK340" s="58"/>
      <c r="BL340" s="58"/>
      <c r="BM340" s="58"/>
      <c r="BN340" s="58"/>
      <c r="BO340" s="58"/>
      <c r="BP340" s="58"/>
      <c r="BQ340" s="58"/>
      <c r="BR340" s="58"/>
      <c r="BS340" s="58"/>
    </row>
    <row r="341" spans="1:71" ht="15.75" customHeight="1" x14ac:dyDescent="0.2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1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0"/>
      <c r="AP341" s="90"/>
      <c r="AQ341" s="92"/>
      <c r="AR341" s="92"/>
      <c r="AS341" s="92"/>
      <c r="AT341" s="92"/>
      <c r="AU341" s="92"/>
      <c r="AV341" s="92"/>
      <c r="AW341" s="92"/>
      <c r="AX341" s="92"/>
      <c r="AY341" s="92"/>
      <c r="AZ341" s="58"/>
      <c r="BA341" s="58"/>
      <c r="BB341" s="58"/>
      <c r="BC341" s="58"/>
      <c r="BD341" s="58"/>
      <c r="BE341" s="58"/>
      <c r="BF341" s="58"/>
      <c r="BG341" s="58"/>
      <c r="BH341" s="58"/>
      <c r="BI341" s="58"/>
      <c r="BJ341" s="58"/>
      <c r="BK341" s="58"/>
      <c r="BL341" s="58"/>
      <c r="BM341" s="58"/>
      <c r="BN341" s="58"/>
      <c r="BO341" s="58"/>
      <c r="BP341" s="58"/>
      <c r="BQ341" s="58"/>
      <c r="BR341" s="58"/>
      <c r="BS341" s="58"/>
    </row>
    <row r="342" spans="1:71" ht="15.75" customHeight="1" x14ac:dyDescent="0.2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1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2"/>
      <c r="AR342" s="92"/>
      <c r="AS342" s="92"/>
      <c r="AT342" s="92"/>
      <c r="AU342" s="92"/>
      <c r="AV342" s="92"/>
      <c r="AW342" s="92"/>
      <c r="AX342" s="92"/>
      <c r="AY342" s="92"/>
      <c r="AZ342" s="58"/>
      <c r="BA342" s="58"/>
      <c r="BB342" s="58"/>
      <c r="BC342" s="58"/>
      <c r="BD342" s="58"/>
      <c r="BE342" s="58"/>
      <c r="BF342" s="58"/>
      <c r="BG342" s="58"/>
      <c r="BH342" s="58"/>
      <c r="BI342" s="58"/>
      <c r="BJ342" s="58"/>
      <c r="BK342" s="58"/>
      <c r="BL342" s="58"/>
      <c r="BM342" s="58"/>
      <c r="BN342" s="58"/>
      <c r="BO342" s="58"/>
      <c r="BP342" s="58"/>
      <c r="BQ342" s="58"/>
      <c r="BR342" s="58"/>
      <c r="BS342" s="58"/>
    </row>
    <row r="343" spans="1:71" ht="15.75" customHeight="1" x14ac:dyDescent="0.2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1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0"/>
      <c r="AP343" s="90"/>
      <c r="AQ343" s="92"/>
      <c r="AR343" s="92"/>
      <c r="AS343" s="92"/>
      <c r="AT343" s="92"/>
      <c r="AU343" s="92"/>
      <c r="AV343" s="92"/>
      <c r="AW343" s="92"/>
      <c r="AX343" s="92"/>
      <c r="AY343" s="92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</row>
    <row r="344" spans="1:71" ht="15.75" customHeight="1" x14ac:dyDescent="0.2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1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2"/>
      <c r="AR344" s="92"/>
      <c r="AS344" s="92"/>
      <c r="AT344" s="92"/>
      <c r="AU344" s="92"/>
      <c r="AV344" s="92"/>
      <c r="AW344" s="92"/>
      <c r="AX344" s="92"/>
      <c r="AY344" s="92"/>
      <c r="AZ344" s="58"/>
      <c r="BA344" s="58"/>
      <c r="BB344" s="58"/>
      <c r="BC344" s="58"/>
      <c r="BD344" s="58"/>
      <c r="BE344" s="58"/>
      <c r="BF344" s="58"/>
      <c r="BG344" s="58"/>
      <c r="BH344" s="58"/>
      <c r="BI344" s="58"/>
      <c r="BJ344" s="58"/>
      <c r="BK344" s="58"/>
      <c r="BL344" s="58"/>
      <c r="BM344" s="58"/>
      <c r="BN344" s="58"/>
      <c r="BO344" s="58"/>
      <c r="BP344" s="58"/>
      <c r="BQ344" s="58"/>
      <c r="BR344" s="58"/>
      <c r="BS344" s="58"/>
    </row>
    <row r="345" spans="1:71" ht="15.75" customHeight="1" x14ac:dyDescent="0.2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1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0"/>
      <c r="AP345" s="90"/>
      <c r="AQ345" s="92"/>
      <c r="AR345" s="92"/>
      <c r="AS345" s="92"/>
      <c r="AT345" s="92"/>
      <c r="AU345" s="92"/>
      <c r="AV345" s="92"/>
      <c r="AW345" s="92"/>
      <c r="AX345" s="92"/>
      <c r="AY345" s="92"/>
      <c r="AZ345" s="58"/>
      <c r="BA345" s="58"/>
      <c r="BB345" s="58"/>
      <c r="BC345" s="58"/>
      <c r="BD345" s="58"/>
      <c r="BE345" s="58"/>
      <c r="BF345" s="58"/>
      <c r="BG345" s="58"/>
      <c r="BH345" s="58"/>
      <c r="BI345" s="58"/>
      <c r="BJ345" s="58"/>
      <c r="BK345" s="58"/>
      <c r="BL345" s="58"/>
      <c r="BM345" s="58"/>
      <c r="BN345" s="58"/>
      <c r="BO345" s="58"/>
      <c r="BP345" s="58"/>
      <c r="BQ345" s="58"/>
      <c r="BR345" s="58"/>
      <c r="BS345" s="58"/>
    </row>
    <row r="346" spans="1:71" ht="15.75" customHeight="1" x14ac:dyDescent="0.2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1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2"/>
      <c r="AR346" s="92"/>
      <c r="AS346" s="92"/>
      <c r="AT346" s="92"/>
      <c r="AU346" s="92"/>
      <c r="AV346" s="92"/>
      <c r="AW346" s="92"/>
      <c r="AX346" s="92"/>
      <c r="AY346" s="92"/>
      <c r="AZ346" s="58"/>
      <c r="BA346" s="58"/>
      <c r="BB346" s="58"/>
      <c r="BC346" s="58"/>
      <c r="BD346" s="58"/>
      <c r="BE346" s="58"/>
      <c r="BF346" s="58"/>
      <c r="BG346" s="58"/>
      <c r="BH346" s="58"/>
      <c r="BI346" s="58"/>
      <c r="BJ346" s="58"/>
      <c r="BK346" s="58"/>
      <c r="BL346" s="58"/>
      <c r="BM346" s="58"/>
      <c r="BN346" s="58"/>
      <c r="BO346" s="58"/>
      <c r="BP346" s="58"/>
      <c r="BQ346" s="58"/>
      <c r="BR346" s="58"/>
      <c r="BS346" s="58"/>
    </row>
    <row r="347" spans="1:71" ht="15.75" customHeight="1" x14ac:dyDescent="0.2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1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0"/>
      <c r="AP347" s="90"/>
      <c r="AQ347" s="92"/>
      <c r="AR347" s="92"/>
      <c r="AS347" s="92"/>
      <c r="AT347" s="92"/>
      <c r="AU347" s="92"/>
      <c r="AV347" s="92"/>
      <c r="AW347" s="92"/>
      <c r="AX347" s="92"/>
      <c r="AY347" s="92"/>
      <c r="AZ347" s="58"/>
      <c r="BA347" s="58"/>
      <c r="BB347" s="58"/>
      <c r="BC347" s="58"/>
      <c r="BD347" s="58"/>
      <c r="BE347" s="58"/>
      <c r="BF347" s="58"/>
      <c r="BG347" s="58"/>
      <c r="BH347" s="58"/>
      <c r="BI347" s="58"/>
      <c r="BJ347" s="58"/>
      <c r="BK347" s="58"/>
      <c r="BL347" s="58"/>
      <c r="BM347" s="58"/>
      <c r="BN347" s="58"/>
      <c r="BO347" s="58"/>
      <c r="BP347" s="58"/>
      <c r="BQ347" s="58"/>
      <c r="BR347" s="58"/>
      <c r="BS347" s="58"/>
    </row>
    <row r="348" spans="1:71" ht="15.75" customHeight="1" x14ac:dyDescent="0.2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1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2"/>
      <c r="AR348" s="92"/>
      <c r="AS348" s="92"/>
      <c r="AT348" s="92"/>
      <c r="AU348" s="92"/>
      <c r="AV348" s="92"/>
      <c r="AW348" s="92"/>
      <c r="AX348" s="92"/>
      <c r="AY348" s="92"/>
      <c r="AZ348" s="58"/>
      <c r="BA348" s="58"/>
      <c r="BB348" s="58"/>
      <c r="BC348" s="58"/>
      <c r="BD348" s="58"/>
      <c r="BE348" s="58"/>
      <c r="BF348" s="58"/>
      <c r="BG348" s="58"/>
      <c r="BH348" s="58"/>
      <c r="BI348" s="58"/>
      <c r="BJ348" s="58"/>
      <c r="BK348" s="58"/>
      <c r="BL348" s="58"/>
      <c r="BM348" s="58"/>
      <c r="BN348" s="58"/>
      <c r="BO348" s="58"/>
      <c r="BP348" s="58"/>
      <c r="BQ348" s="58"/>
      <c r="BR348" s="58"/>
      <c r="BS348" s="58"/>
    </row>
    <row r="349" spans="1:71" ht="15.75" customHeight="1" x14ac:dyDescent="0.2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1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0"/>
      <c r="AP349" s="90"/>
      <c r="AQ349" s="92"/>
      <c r="AR349" s="92"/>
      <c r="AS349" s="92"/>
      <c r="AT349" s="92"/>
      <c r="AU349" s="92"/>
      <c r="AV349" s="92"/>
      <c r="AW349" s="92"/>
      <c r="AX349" s="92"/>
      <c r="AY349" s="92"/>
      <c r="AZ349" s="58"/>
      <c r="BA349" s="58"/>
      <c r="BB349" s="58"/>
      <c r="BC349" s="58"/>
      <c r="BD349" s="58"/>
      <c r="BE349" s="58"/>
      <c r="BF349" s="58"/>
      <c r="BG349" s="58"/>
      <c r="BH349" s="58"/>
      <c r="BI349" s="58"/>
      <c r="BJ349" s="58"/>
      <c r="BK349" s="58"/>
      <c r="BL349" s="58"/>
      <c r="BM349" s="58"/>
      <c r="BN349" s="58"/>
      <c r="BO349" s="58"/>
      <c r="BP349" s="58"/>
      <c r="BQ349" s="58"/>
      <c r="BR349" s="58"/>
      <c r="BS349" s="58"/>
    </row>
    <row r="350" spans="1:71" ht="15.75" customHeight="1" x14ac:dyDescent="0.2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1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2"/>
      <c r="AR350" s="92"/>
      <c r="AS350" s="92"/>
      <c r="AT350" s="92"/>
      <c r="AU350" s="92"/>
      <c r="AV350" s="92"/>
      <c r="AW350" s="92"/>
      <c r="AX350" s="92"/>
      <c r="AY350" s="92"/>
      <c r="AZ350" s="58"/>
      <c r="BA350" s="58"/>
      <c r="BB350" s="58"/>
      <c r="BC350" s="58"/>
      <c r="BD350" s="58"/>
      <c r="BE350" s="58"/>
      <c r="BF350" s="58"/>
      <c r="BG350" s="58"/>
      <c r="BH350" s="58"/>
      <c r="BI350" s="58"/>
      <c r="BJ350" s="58"/>
      <c r="BK350" s="58"/>
      <c r="BL350" s="58"/>
      <c r="BM350" s="58"/>
      <c r="BN350" s="58"/>
      <c r="BO350" s="58"/>
      <c r="BP350" s="58"/>
      <c r="BQ350" s="58"/>
      <c r="BR350" s="58"/>
      <c r="BS350" s="58"/>
    </row>
    <row r="351" spans="1:71" ht="15.75" customHeight="1" x14ac:dyDescent="0.2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1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0"/>
      <c r="AP351" s="90"/>
      <c r="AQ351" s="92"/>
      <c r="AR351" s="92"/>
      <c r="AS351" s="92"/>
      <c r="AT351" s="92"/>
      <c r="AU351" s="92"/>
      <c r="AV351" s="92"/>
      <c r="AW351" s="92"/>
      <c r="AX351" s="92"/>
      <c r="AY351" s="92"/>
      <c r="AZ351" s="58"/>
      <c r="BA351" s="58"/>
      <c r="BB351" s="58"/>
      <c r="BC351" s="58"/>
      <c r="BD351" s="58"/>
      <c r="BE351" s="58"/>
      <c r="BF351" s="58"/>
      <c r="BG351" s="58"/>
      <c r="BH351" s="58"/>
      <c r="BI351" s="58"/>
      <c r="BJ351" s="58"/>
      <c r="BK351" s="58"/>
      <c r="BL351" s="58"/>
      <c r="BM351" s="58"/>
      <c r="BN351" s="58"/>
      <c r="BO351" s="58"/>
      <c r="BP351" s="58"/>
      <c r="BQ351" s="58"/>
      <c r="BR351" s="58"/>
      <c r="BS351" s="58"/>
    </row>
    <row r="352" spans="1:71" ht="15.75" customHeight="1" x14ac:dyDescent="0.2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1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2"/>
      <c r="AR352" s="92"/>
      <c r="AS352" s="92"/>
      <c r="AT352" s="92"/>
      <c r="AU352" s="92"/>
      <c r="AV352" s="92"/>
      <c r="AW352" s="92"/>
      <c r="AX352" s="92"/>
      <c r="AY352" s="92"/>
      <c r="AZ352" s="58"/>
      <c r="BA352" s="58"/>
      <c r="BB352" s="58"/>
      <c r="BC352" s="58"/>
      <c r="BD352" s="58"/>
      <c r="BE352" s="58"/>
      <c r="BF352" s="58"/>
      <c r="BG352" s="58"/>
      <c r="BH352" s="58"/>
      <c r="BI352" s="58"/>
      <c r="BJ352" s="58"/>
      <c r="BK352" s="58"/>
      <c r="BL352" s="58"/>
      <c r="BM352" s="58"/>
      <c r="BN352" s="58"/>
      <c r="BO352" s="58"/>
      <c r="BP352" s="58"/>
      <c r="BQ352" s="58"/>
      <c r="BR352" s="58"/>
      <c r="BS352" s="58"/>
    </row>
    <row r="353" spans="1:71" ht="15.75" customHeight="1" x14ac:dyDescent="0.2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1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0"/>
      <c r="AP353" s="90"/>
      <c r="AQ353" s="92"/>
      <c r="AR353" s="92"/>
      <c r="AS353" s="92"/>
      <c r="AT353" s="92"/>
      <c r="AU353" s="92"/>
      <c r="AV353" s="92"/>
      <c r="AW353" s="92"/>
      <c r="AX353" s="92"/>
      <c r="AY353" s="92"/>
      <c r="AZ353" s="58"/>
      <c r="BA353" s="58"/>
      <c r="BB353" s="58"/>
      <c r="BC353" s="58"/>
      <c r="BD353" s="58"/>
      <c r="BE353" s="58"/>
      <c r="BF353" s="58"/>
      <c r="BG353" s="58"/>
      <c r="BH353" s="58"/>
      <c r="BI353" s="58"/>
      <c r="BJ353" s="58"/>
      <c r="BK353" s="58"/>
      <c r="BL353" s="58"/>
      <c r="BM353" s="58"/>
      <c r="BN353" s="58"/>
      <c r="BO353" s="58"/>
      <c r="BP353" s="58"/>
      <c r="BQ353" s="58"/>
      <c r="BR353" s="58"/>
      <c r="BS353" s="58"/>
    </row>
    <row r="354" spans="1:71" ht="15.75" customHeight="1" x14ac:dyDescent="0.2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1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2"/>
      <c r="AR354" s="92"/>
      <c r="AS354" s="92"/>
      <c r="AT354" s="92"/>
      <c r="AU354" s="92"/>
      <c r="AV354" s="92"/>
      <c r="AW354" s="92"/>
      <c r="AX354" s="92"/>
      <c r="AY354" s="92"/>
      <c r="AZ354" s="58"/>
      <c r="BA354" s="58"/>
      <c r="BB354" s="58"/>
      <c r="BC354" s="58"/>
      <c r="BD354" s="58"/>
      <c r="BE354" s="58"/>
      <c r="BF354" s="58"/>
      <c r="BG354" s="58"/>
      <c r="BH354" s="58"/>
      <c r="BI354" s="58"/>
      <c r="BJ354" s="58"/>
      <c r="BK354" s="58"/>
      <c r="BL354" s="58"/>
      <c r="BM354" s="58"/>
      <c r="BN354" s="58"/>
      <c r="BO354" s="58"/>
      <c r="BP354" s="58"/>
      <c r="BQ354" s="58"/>
      <c r="BR354" s="58"/>
      <c r="BS354" s="58"/>
    </row>
    <row r="355" spans="1:71" ht="15.75" customHeight="1" x14ac:dyDescent="0.2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1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0"/>
      <c r="AP355" s="90"/>
      <c r="AQ355" s="92"/>
      <c r="AR355" s="92"/>
      <c r="AS355" s="92"/>
      <c r="AT355" s="92"/>
      <c r="AU355" s="92"/>
      <c r="AV355" s="92"/>
      <c r="AW355" s="92"/>
      <c r="AX355" s="92"/>
      <c r="AY355" s="92"/>
      <c r="AZ355" s="58"/>
      <c r="BA355" s="58"/>
      <c r="BB355" s="58"/>
      <c r="BC355" s="58"/>
      <c r="BD355" s="58"/>
      <c r="BE355" s="58"/>
      <c r="BF355" s="58"/>
      <c r="BG355" s="58"/>
      <c r="BH355" s="58"/>
      <c r="BI355" s="58"/>
      <c r="BJ355" s="58"/>
      <c r="BK355" s="58"/>
      <c r="BL355" s="58"/>
      <c r="BM355" s="58"/>
      <c r="BN355" s="58"/>
      <c r="BO355" s="58"/>
      <c r="BP355" s="58"/>
      <c r="BQ355" s="58"/>
      <c r="BR355" s="58"/>
      <c r="BS355" s="58"/>
    </row>
    <row r="356" spans="1:71" ht="15.75" customHeight="1" x14ac:dyDescent="0.2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1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2"/>
      <c r="AR356" s="92"/>
      <c r="AS356" s="92"/>
      <c r="AT356" s="92"/>
      <c r="AU356" s="92"/>
      <c r="AV356" s="92"/>
      <c r="AW356" s="92"/>
      <c r="AX356" s="92"/>
      <c r="AY356" s="92"/>
      <c r="AZ356" s="58"/>
      <c r="BA356" s="58"/>
      <c r="BB356" s="58"/>
      <c r="BC356" s="58"/>
      <c r="BD356" s="58"/>
      <c r="BE356" s="58"/>
      <c r="BF356" s="58"/>
      <c r="BG356" s="58"/>
      <c r="BH356" s="58"/>
      <c r="BI356" s="58"/>
      <c r="BJ356" s="58"/>
      <c r="BK356" s="58"/>
      <c r="BL356" s="58"/>
      <c r="BM356" s="58"/>
      <c r="BN356" s="58"/>
      <c r="BO356" s="58"/>
      <c r="BP356" s="58"/>
      <c r="BQ356" s="58"/>
      <c r="BR356" s="58"/>
      <c r="BS356" s="58"/>
    </row>
    <row r="357" spans="1:71" ht="15.75" customHeight="1" x14ac:dyDescent="0.2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1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0"/>
      <c r="AP357" s="90"/>
      <c r="AQ357" s="92"/>
      <c r="AR357" s="92"/>
      <c r="AS357" s="92"/>
      <c r="AT357" s="92"/>
      <c r="AU357" s="92"/>
      <c r="AV357" s="92"/>
      <c r="AW357" s="92"/>
      <c r="AX357" s="92"/>
      <c r="AY357" s="92"/>
      <c r="AZ357" s="58"/>
      <c r="BA357" s="58"/>
      <c r="BB357" s="58"/>
      <c r="BC357" s="58"/>
      <c r="BD357" s="58"/>
      <c r="BE357" s="58"/>
      <c r="BF357" s="58"/>
      <c r="BG357" s="58"/>
      <c r="BH357" s="58"/>
      <c r="BI357" s="58"/>
      <c r="BJ357" s="58"/>
      <c r="BK357" s="58"/>
      <c r="BL357" s="58"/>
      <c r="BM357" s="58"/>
      <c r="BN357" s="58"/>
      <c r="BO357" s="58"/>
      <c r="BP357" s="58"/>
      <c r="BQ357" s="58"/>
      <c r="BR357" s="58"/>
      <c r="BS357" s="58"/>
    </row>
    <row r="358" spans="1:71" ht="15.75" customHeight="1" x14ac:dyDescent="0.2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1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2"/>
      <c r="AR358" s="92"/>
      <c r="AS358" s="92"/>
      <c r="AT358" s="92"/>
      <c r="AU358" s="92"/>
      <c r="AV358" s="92"/>
      <c r="AW358" s="92"/>
      <c r="AX358" s="92"/>
      <c r="AY358" s="92"/>
      <c r="AZ358" s="58"/>
      <c r="BA358" s="58"/>
      <c r="BB358" s="58"/>
      <c r="BC358" s="58"/>
      <c r="BD358" s="58"/>
      <c r="BE358" s="58"/>
      <c r="BF358" s="58"/>
      <c r="BG358" s="58"/>
      <c r="BH358" s="58"/>
      <c r="BI358" s="58"/>
      <c r="BJ358" s="58"/>
      <c r="BK358" s="58"/>
      <c r="BL358" s="58"/>
      <c r="BM358" s="58"/>
      <c r="BN358" s="58"/>
      <c r="BO358" s="58"/>
      <c r="BP358" s="58"/>
      <c r="BQ358" s="58"/>
      <c r="BR358" s="58"/>
      <c r="BS358" s="58"/>
    </row>
    <row r="359" spans="1:71" ht="15.75" customHeight="1" x14ac:dyDescent="0.2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1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0"/>
      <c r="AP359" s="90"/>
      <c r="AQ359" s="92"/>
      <c r="AR359" s="92"/>
      <c r="AS359" s="92"/>
      <c r="AT359" s="92"/>
      <c r="AU359" s="92"/>
      <c r="AV359" s="92"/>
      <c r="AW359" s="92"/>
      <c r="AX359" s="92"/>
      <c r="AY359" s="92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</row>
    <row r="360" spans="1:71" ht="15.75" customHeight="1" x14ac:dyDescent="0.2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1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2"/>
      <c r="AR360" s="92"/>
      <c r="AS360" s="92"/>
      <c r="AT360" s="92"/>
      <c r="AU360" s="92"/>
      <c r="AV360" s="92"/>
      <c r="AW360" s="92"/>
      <c r="AX360" s="92"/>
      <c r="AY360" s="92"/>
      <c r="AZ360" s="58"/>
      <c r="BA360" s="58"/>
      <c r="BB360" s="58"/>
      <c r="BC360" s="58"/>
      <c r="BD360" s="58"/>
      <c r="BE360" s="58"/>
      <c r="BF360" s="58"/>
      <c r="BG360" s="58"/>
      <c r="BH360" s="58"/>
      <c r="BI360" s="58"/>
      <c r="BJ360" s="58"/>
      <c r="BK360" s="58"/>
      <c r="BL360" s="58"/>
      <c r="BM360" s="58"/>
      <c r="BN360" s="58"/>
      <c r="BO360" s="58"/>
      <c r="BP360" s="58"/>
      <c r="BQ360" s="58"/>
      <c r="BR360" s="58"/>
      <c r="BS360" s="58"/>
    </row>
    <row r="361" spans="1:71" ht="15.75" customHeight="1" x14ac:dyDescent="0.2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1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0"/>
      <c r="AP361" s="90"/>
      <c r="AQ361" s="92"/>
      <c r="AR361" s="92"/>
      <c r="AS361" s="92"/>
      <c r="AT361" s="92"/>
      <c r="AU361" s="92"/>
      <c r="AV361" s="92"/>
      <c r="AW361" s="92"/>
      <c r="AX361" s="92"/>
      <c r="AY361" s="92"/>
      <c r="AZ361" s="58"/>
      <c r="BA361" s="58"/>
      <c r="BB361" s="58"/>
      <c r="BC361" s="58"/>
      <c r="BD361" s="58"/>
      <c r="BE361" s="58"/>
      <c r="BF361" s="58"/>
      <c r="BG361" s="58"/>
      <c r="BH361" s="58"/>
      <c r="BI361" s="58"/>
      <c r="BJ361" s="58"/>
      <c r="BK361" s="58"/>
      <c r="BL361" s="58"/>
      <c r="BM361" s="58"/>
      <c r="BN361" s="58"/>
      <c r="BO361" s="58"/>
      <c r="BP361" s="58"/>
      <c r="BQ361" s="58"/>
      <c r="BR361" s="58"/>
      <c r="BS361" s="58"/>
    </row>
    <row r="362" spans="1:71" ht="15.75" customHeight="1" x14ac:dyDescent="0.2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1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2"/>
      <c r="AR362" s="92"/>
      <c r="AS362" s="92"/>
      <c r="AT362" s="92"/>
      <c r="AU362" s="92"/>
      <c r="AV362" s="92"/>
      <c r="AW362" s="92"/>
      <c r="AX362" s="92"/>
      <c r="AY362" s="92"/>
      <c r="AZ362" s="58"/>
      <c r="BA362" s="58"/>
      <c r="BB362" s="58"/>
      <c r="BC362" s="58"/>
      <c r="BD362" s="58"/>
      <c r="BE362" s="58"/>
      <c r="BF362" s="58"/>
      <c r="BG362" s="58"/>
      <c r="BH362" s="58"/>
      <c r="BI362" s="58"/>
      <c r="BJ362" s="58"/>
      <c r="BK362" s="58"/>
      <c r="BL362" s="58"/>
      <c r="BM362" s="58"/>
      <c r="BN362" s="58"/>
      <c r="BO362" s="58"/>
      <c r="BP362" s="58"/>
      <c r="BQ362" s="58"/>
      <c r="BR362" s="58"/>
      <c r="BS362" s="58"/>
    </row>
    <row r="363" spans="1:71" ht="15.75" customHeight="1" x14ac:dyDescent="0.2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1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0"/>
      <c r="AP363" s="90"/>
      <c r="AQ363" s="92"/>
      <c r="AR363" s="92"/>
      <c r="AS363" s="92"/>
      <c r="AT363" s="92"/>
      <c r="AU363" s="92"/>
      <c r="AV363" s="92"/>
      <c r="AW363" s="92"/>
      <c r="AX363" s="92"/>
      <c r="AY363" s="92"/>
      <c r="AZ363" s="58"/>
      <c r="BA363" s="58"/>
      <c r="BB363" s="58"/>
      <c r="BC363" s="58"/>
      <c r="BD363" s="58"/>
      <c r="BE363" s="58"/>
      <c r="BF363" s="58"/>
      <c r="BG363" s="58"/>
      <c r="BH363" s="58"/>
      <c r="BI363" s="58"/>
      <c r="BJ363" s="58"/>
      <c r="BK363" s="58"/>
      <c r="BL363" s="58"/>
      <c r="BM363" s="58"/>
      <c r="BN363" s="58"/>
      <c r="BO363" s="58"/>
      <c r="BP363" s="58"/>
      <c r="BQ363" s="58"/>
      <c r="BR363" s="58"/>
      <c r="BS363" s="58"/>
    </row>
    <row r="364" spans="1:71" ht="15.75" customHeight="1" x14ac:dyDescent="0.2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1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2"/>
      <c r="AR364" s="92"/>
      <c r="AS364" s="92"/>
      <c r="AT364" s="92"/>
      <c r="AU364" s="92"/>
      <c r="AV364" s="92"/>
      <c r="AW364" s="92"/>
      <c r="AX364" s="92"/>
      <c r="AY364" s="92"/>
      <c r="AZ364" s="58"/>
      <c r="BA364" s="58"/>
      <c r="BB364" s="58"/>
      <c r="BC364" s="58"/>
      <c r="BD364" s="58"/>
      <c r="BE364" s="58"/>
      <c r="BF364" s="58"/>
      <c r="BG364" s="58"/>
      <c r="BH364" s="58"/>
      <c r="BI364" s="58"/>
      <c r="BJ364" s="58"/>
      <c r="BK364" s="58"/>
      <c r="BL364" s="58"/>
      <c r="BM364" s="58"/>
      <c r="BN364" s="58"/>
      <c r="BO364" s="58"/>
      <c r="BP364" s="58"/>
      <c r="BQ364" s="58"/>
      <c r="BR364" s="58"/>
      <c r="BS364" s="58"/>
    </row>
    <row r="365" spans="1:71" ht="15.75" customHeight="1" x14ac:dyDescent="0.2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1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0"/>
      <c r="AP365" s="90"/>
      <c r="AQ365" s="92"/>
      <c r="AR365" s="92"/>
      <c r="AS365" s="92"/>
      <c r="AT365" s="92"/>
      <c r="AU365" s="92"/>
      <c r="AV365" s="92"/>
      <c r="AW365" s="92"/>
      <c r="AX365" s="92"/>
      <c r="AY365" s="92"/>
      <c r="AZ365" s="58"/>
      <c r="BA365" s="58"/>
      <c r="BB365" s="58"/>
      <c r="BC365" s="58"/>
      <c r="BD365" s="58"/>
      <c r="BE365" s="58"/>
      <c r="BF365" s="58"/>
      <c r="BG365" s="58"/>
      <c r="BH365" s="58"/>
      <c r="BI365" s="58"/>
      <c r="BJ365" s="58"/>
      <c r="BK365" s="58"/>
      <c r="BL365" s="58"/>
      <c r="BM365" s="58"/>
      <c r="BN365" s="58"/>
      <c r="BO365" s="58"/>
      <c r="BP365" s="58"/>
      <c r="BQ365" s="58"/>
      <c r="BR365" s="58"/>
      <c r="BS365" s="58"/>
    </row>
    <row r="366" spans="1:71" ht="15.75" customHeight="1" x14ac:dyDescent="0.2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1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2"/>
      <c r="AR366" s="92"/>
      <c r="AS366" s="92"/>
      <c r="AT366" s="92"/>
      <c r="AU366" s="92"/>
      <c r="AV366" s="92"/>
      <c r="AW366" s="92"/>
      <c r="AX366" s="92"/>
      <c r="AY366" s="92"/>
      <c r="AZ366" s="58"/>
      <c r="BA366" s="58"/>
      <c r="BB366" s="58"/>
      <c r="BC366" s="58"/>
      <c r="BD366" s="58"/>
      <c r="BE366" s="58"/>
      <c r="BF366" s="58"/>
      <c r="BG366" s="58"/>
      <c r="BH366" s="58"/>
      <c r="BI366" s="58"/>
      <c r="BJ366" s="58"/>
      <c r="BK366" s="58"/>
      <c r="BL366" s="58"/>
      <c r="BM366" s="58"/>
      <c r="BN366" s="58"/>
      <c r="BO366" s="58"/>
      <c r="BP366" s="58"/>
      <c r="BQ366" s="58"/>
      <c r="BR366" s="58"/>
      <c r="BS366" s="58"/>
    </row>
    <row r="367" spans="1:71" ht="15.75" customHeight="1" x14ac:dyDescent="0.2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1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0"/>
      <c r="AP367" s="90"/>
      <c r="AQ367" s="92"/>
      <c r="AR367" s="92"/>
      <c r="AS367" s="92"/>
      <c r="AT367" s="92"/>
      <c r="AU367" s="92"/>
      <c r="AV367" s="92"/>
      <c r="AW367" s="92"/>
      <c r="AX367" s="92"/>
      <c r="AY367" s="92"/>
      <c r="AZ367" s="58"/>
      <c r="BA367" s="58"/>
      <c r="BB367" s="58"/>
      <c r="BC367" s="58"/>
      <c r="BD367" s="58"/>
      <c r="BE367" s="58"/>
      <c r="BF367" s="58"/>
      <c r="BG367" s="58"/>
      <c r="BH367" s="58"/>
      <c r="BI367" s="58"/>
      <c r="BJ367" s="58"/>
      <c r="BK367" s="58"/>
      <c r="BL367" s="58"/>
      <c r="BM367" s="58"/>
      <c r="BN367" s="58"/>
      <c r="BO367" s="58"/>
      <c r="BP367" s="58"/>
      <c r="BQ367" s="58"/>
      <c r="BR367" s="58"/>
      <c r="BS367" s="58"/>
    </row>
    <row r="368" spans="1:71" ht="15.75" customHeight="1" x14ac:dyDescent="0.2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1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2"/>
      <c r="AR368" s="92"/>
      <c r="AS368" s="92"/>
      <c r="AT368" s="92"/>
      <c r="AU368" s="92"/>
      <c r="AV368" s="92"/>
      <c r="AW368" s="92"/>
      <c r="AX368" s="92"/>
      <c r="AY368" s="92"/>
      <c r="AZ368" s="58"/>
      <c r="BA368" s="58"/>
      <c r="BB368" s="58"/>
      <c r="BC368" s="58"/>
      <c r="BD368" s="58"/>
      <c r="BE368" s="58"/>
      <c r="BF368" s="58"/>
      <c r="BG368" s="58"/>
      <c r="BH368" s="58"/>
      <c r="BI368" s="58"/>
      <c r="BJ368" s="58"/>
      <c r="BK368" s="58"/>
      <c r="BL368" s="58"/>
      <c r="BM368" s="58"/>
      <c r="BN368" s="58"/>
      <c r="BO368" s="58"/>
      <c r="BP368" s="58"/>
      <c r="BQ368" s="58"/>
      <c r="BR368" s="58"/>
      <c r="BS368" s="58"/>
    </row>
    <row r="369" spans="1:71" ht="15.75" customHeight="1" x14ac:dyDescent="0.2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1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0"/>
      <c r="AP369" s="90"/>
      <c r="AQ369" s="92"/>
      <c r="AR369" s="92"/>
      <c r="AS369" s="92"/>
      <c r="AT369" s="92"/>
      <c r="AU369" s="92"/>
      <c r="AV369" s="92"/>
      <c r="AW369" s="92"/>
      <c r="AX369" s="92"/>
      <c r="AY369" s="92"/>
      <c r="AZ369" s="58"/>
      <c r="BA369" s="58"/>
      <c r="BB369" s="58"/>
      <c r="BC369" s="58"/>
      <c r="BD369" s="58"/>
      <c r="BE369" s="58"/>
      <c r="BF369" s="58"/>
      <c r="BG369" s="58"/>
      <c r="BH369" s="58"/>
      <c r="BI369" s="58"/>
      <c r="BJ369" s="58"/>
      <c r="BK369" s="58"/>
      <c r="BL369" s="58"/>
      <c r="BM369" s="58"/>
      <c r="BN369" s="58"/>
      <c r="BO369" s="58"/>
      <c r="BP369" s="58"/>
      <c r="BQ369" s="58"/>
      <c r="BR369" s="58"/>
      <c r="BS369" s="58"/>
    </row>
    <row r="370" spans="1:71" ht="15.75" customHeight="1" x14ac:dyDescent="0.2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1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2"/>
      <c r="AR370" s="92"/>
      <c r="AS370" s="92"/>
      <c r="AT370" s="92"/>
      <c r="AU370" s="92"/>
      <c r="AV370" s="92"/>
      <c r="AW370" s="92"/>
      <c r="AX370" s="92"/>
      <c r="AY370" s="92"/>
      <c r="AZ370" s="58"/>
      <c r="BA370" s="58"/>
      <c r="BB370" s="58"/>
      <c r="BC370" s="58"/>
      <c r="BD370" s="58"/>
      <c r="BE370" s="58"/>
      <c r="BF370" s="58"/>
      <c r="BG370" s="58"/>
      <c r="BH370" s="58"/>
      <c r="BI370" s="58"/>
      <c r="BJ370" s="58"/>
      <c r="BK370" s="58"/>
      <c r="BL370" s="58"/>
      <c r="BM370" s="58"/>
      <c r="BN370" s="58"/>
      <c r="BO370" s="58"/>
      <c r="BP370" s="58"/>
      <c r="BQ370" s="58"/>
      <c r="BR370" s="58"/>
      <c r="BS370" s="58"/>
    </row>
    <row r="371" spans="1:71" ht="15.75" customHeight="1" x14ac:dyDescent="0.2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1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0"/>
      <c r="AP371" s="90"/>
      <c r="AQ371" s="92"/>
      <c r="AR371" s="92"/>
      <c r="AS371" s="92"/>
      <c r="AT371" s="92"/>
      <c r="AU371" s="92"/>
      <c r="AV371" s="92"/>
      <c r="AW371" s="92"/>
      <c r="AX371" s="92"/>
      <c r="AY371" s="92"/>
      <c r="AZ371" s="58"/>
      <c r="BA371" s="58"/>
      <c r="BB371" s="58"/>
      <c r="BC371" s="58"/>
      <c r="BD371" s="58"/>
      <c r="BE371" s="58"/>
      <c r="BF371" s="58"/>
      <c r="BG371" s="58"/>
      <c r="BH371" s="58"/>
      <c r="BI371" s="58"/>
      <c r="BJ371" s="58"/>
      <c r="BK371" s="58"/>
      <c r="BL371" s="58"/>
      <c r="BM371" s="58"/>
      <c r="BN371" s="58"/>
      <c r="BO371" s="58"/>
      <c r="BP371" s="58"/>
      <c r="BQ371" s="58"/>
      <c r="BR371" s="58"/>
      <c r="BS371" s="58"/>
    </row>
    <row r="372" spans="1:71" ht="15.75" customHeight="1" x14ac:dyDescent="0.2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1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2"/>
      <c r="AR372" s="92"/>
      <c r="AS372" s="92"/>
      <c r="AT372" s="92"/>
      <c r="AU372" s="92"/>
      <c r="AV372" s="92"/>
      <c r="AW372" s="92"/>
      <c r="AX372" s="92"/>
      <c r="AY372" s="92"/>
      <c r="AZ372" s="58"/>
      <c r="BA372" s="58"/>
      <c r="BB372" s="58"/>
      <c r="BC372" s="58"/>
      <c r="BD372" s="58"/>
      <c r="BE372" s="58"/>
      <c r="BF372" s="58"/>
      <c r="BG372" s="58"/>
      <c r="BH372" s="58"/>
      <c r="BI372" s="58"/>
      <c r="BJ372" s="58"/>
      <c r="BK372" s="58"/>
      <c r="BL372" s="58"/>
      <c r="BM372" s="58"/>
      <c r="BN372" s="58"/>
      <c r="BO372" s="58"/>
      <c r="BP372" s="58"/>
      <c r="BQ372" s="58"/>
      <c r="BR372" s="58"/>
      <c r="BS372" s="58"/>
    </row>
    <row r="373" spans="1:71" ht="15.75" customHeight="1" x14ac:dyDescent="0.2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1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0"/>
      <c r="AP373" s="90"/>
      <c r="AQ373" s="92"/>
      <c r="AR373" s="92"/>
      <c r="AS373" s="92"/>
      <c r="AT373" s="92"/>
      <c r="AU373" s="92"/>
      <c r="AV373" s="92"/>
      <c r="AW373" s="92"/>
      <c r="AX373" s="92"/>
      <c r="AY373" s="92"/>
      <c r="AZ373" s="58"/>
      <c r="BA373" s="58"/>
      <c r="BB373" s="58"/>
      <c r="BC373" s="58"/>
      <c r="BD373" s="58"/>
      <c r="BE373" s="58"/>
      <c r="BF373" s="58"/>
      <c r="BG373" s="58"/>
      <c r="BH373" s="58"/>
      <c r="BI373" s="58"/>
      <c r="BJ373" s="58"/>
      <c r="BK373" s="58"/>
      <c r="BL373" s="58"/>
      <c r="BM373" s="58"/>
      <c r="BN373" s="58"/>
      <c r="BO373" s="58"/>
      <c r="BP373" s="58"/>
      <c r="BQ373" s="58"/>
      <c r="BR373" s="58"/>
      <c r="BS373" s="58"/>
    </row>
    <row r="374" spans="1:71" ht="15.75" customHeight="1" x14ac:dyDescent="0.2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1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2"/>
      <c r="AR374" s="92"/>
      <c r="AS374" s="92"/>
      <c r="AT374" s="92"/>
      <c r="AU374" s="92"/>
      <c r="AV374" s="92"/>
      <c r="AW374" s="92"/>
      <c r="AX374" s="92"/>
      <c r="AY374" s="92"/>
      <c r="AZ374" s="58"/>
      <c r="BA374" s="58"/>
      <c r="BB374" s="58"/>
      <c r="BC374" s="58"/>
      <c r="BD374" s="58"/>
      <c r="BE374" s="58"/>
      <c r="BF374" s="58"/>
      <c r="BG374" s="58"/>
      <c r="BH374" s="58"/>
      <c r="BI374" s="58"/>
      <c r="BJ374" s="58"/>
      <c r="BK374" s="58"/>
      <c r="BL374" s="58"/>
      <c r="BM374" s="58"/>
      <c r="BN374" s="58"/>
      <c r="BO374" s="58"/>
      <c r="BP374" s="58"/>
      <c r="BQ374" s="58"/>
      <c r="BR374" s="58"/>
      <c r="BS374" s="58"/>
    </row>
    <row r="375" spans="1:71" ht="15.75" customHeight="1" x14ac:dyDescent="0.2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1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0"/>
      <c r="AP375" s="90"/>
      <c r="AQ375" s="92"/>
      <c r="AR375" s="92"/>
      <c r="AS375" s="92"/>
      <c r="AT375" s="92"/>
      <c r="AU375" s="92"/>
      <c r="AV375" s="92"/>
      <c r="AW375" s="92"/>
      <c r="AX375" s="92"/>
      <c r="AY375" s="92"/>
      <c r="AZ375" s="58"/>
      <c r="BA375" s="58"/>
      <c r="BB375" s="58"/>
      <c r="BC375" s="58"/>
      <c r="BD375" s="58"/>
      <c r="BE375" s="58"/>
      <c r="BF375" s="58"/>
      <c r="BG375" s="58"/>
      <c r="BH375" s="58"/>
      <c r="BI375" s="58"/>
      <c r="BJ375" s="58"/>
      <c r="BK375" s="58"/>
      <c r="BL375" s="58"/>
      <c r="BM375" s="58"/>
      <c r="BN375" s="58"/>
      <c r="BO375" s="58"/>
      <c r="BP375" s="58"/>
      <c r="BQ375" s="58"/>
      <c r="BR375" s="58"/>
      <c r="BS375" s="58"/>
    </row>
    <row r="376" spans="1:71" ht="15.75" customHeight="1" x14ac:dyDescent="0.2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1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2"/>
      <c r="AR376" s="92"/>
      <c r="AS376" s="92"/>
      <c r="AT376" s="92"/>
      <c r="AU376" s="92"/>
      <c r="AV376" s="92"/>
      <c r="AW376" s="92"/>
      <c r="AX376" s="92"/>
      <c r="AY376" s="92"/>
      <c r="AZ376" s="58"/>
      <c r="BA376" s="58"/>
      <c r="BB376" s="58"/>
      <c r="BC376" s="58"/>
      <c r="BD376" s="58"/>
      <c r="BE376" s="58"/>
      <c r="BF376" s="58"/>
      <c r="BG376" s="58"/>
      <c r="BH376" s="58"/>
      <c r="BI376" s="58"/>
      <c r="BJ376" s="58"/>
      <c r="BK376" s="58"/>
      <c r="BL376" s="58"/>
      <c r="BM376" s="58"/>
      <c r="BN376" s="58"/>
      <c r="BO376" s="58"/>
      <c r="BP376" s="58"/>
      <c r="BQ376" s="58"/>
      <c r="BR376" s="58"/>
      <c r="BS376" s="58"/>
    </row>
    <row r="377" spans="1:71" ht="15.75" customHeight="1" x14ac:dyDescent="0.2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1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0"/>
      <c r="AP377" s="90"/>
      <c r="AQ377" s="92"/>
      <c r="AR377" s="92"/>
      <c r="AS377" s="92"/>
      <c r="AT377" s="92"/>
      <c r="AU377" s="92"/>
      <c r="AV377" s="92"/>
      <c r="AW377" s="92"/>
      <c r="AX377" s="92"/>
      <c r="AY377" s="92"/>
      <c r="AZ377" s="58"/>
      <c r="BA377" s="58"/>
      <c r="BB377" s="58"/>
      <c r="BC377" s="58"/>
      <c r="BD377" s="58"/>
      <c r="BE377" s="58"/>
      <c r="BF377" s="58"/>
      <c r="BG377" s="58"/>
      <c r="BH377" s="58"/>
      <c r="BI377" s="58"/>
      <c r="BJ377" s="58"/>
      <c r="BK377" s="58"/>
      <c r="BL377" s="58"/>
      <c r="BM377" s="58"/>
      <c r="BN377" s="58"/>
      <c r="BO377" s="58"/>
      <c r="BP377" s="58"/>
      <c r="BQ377" s="58"/>
      <c r="BR377" s="58"/>
      <c r="BS377" s="58"/>
    </row>
    <row r="378" spans="1:71" ht="15.75" customHeight="1" x14ac:dyDescent="0.2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1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2"/>
      <c r="AR378" s="92"/>
      <c r="AS378" s="92"/>
      <c r="AT378" s="92"/>
      <c r="AU378" s="92"/>
      <c r="AV378" s="92"/>
      <c r="AW378" s="92"/>
      <c r="AX378" s="92"/>
      <c r="AY378" s="92"/>
      <c r="AZ378" s="58"/>
      <c r="BA378" s="58"/>
      <c r="BB378" s="58"/>
      <c r="BC378" s="58"/>
      <c r="BD378" s="58"/>
      <c r="BE378" s="58"/>
      <c r="BF378" s="58"/>
      <c r="BG378" s="58"/>
      <c r="BH378" s="58"/>
      <c r="BI378" s="58"/>
      <c r="BJ378" s="58"/>
      <c r="BK378" s="58"/>
      <c r="BL378" s="58"/>
      <c r="BM378" s="58"/>
      <c r="BN378" s="58"/>
      <c r="BO378" s="58"/>
      <c r="BP378" s="58"/>
      <c r="BQ378" s="58"/>
      <c r="BR378" s="58"/>
      <c r="BS378" s="58"/>
    </row>
    <row r="379" spans="1:71" ht="15.75" customHeight="1" x14ac:dyDescent="0.2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1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0"/>
      <c r="AP379" s="90"/>
      <c r="AQ379" s="92"/>
      <c r="AR379" s="92"/>
      <c r="AS379" s="92"/>
      <c r="AT379" s="92"/>
      <c r="AU379" s="92"/>
      <c r="AV379" s="92"/>
      <c r="AW379" s="92"/>
      <c r="AX379" s="92"/>
      <c r="AY379" s="92"/>
      <c r="AZ379" s="58"/>
      <c r="BA379" s="58"/>
      <c r="BB379" s="58"/>
      <c r="BC379" s="58"/>
      <c r="BD379" s="58"/>
      <c r="BE379" s="58"/>
      <c r="BF379" s="58"/>
      <c r="BG379" s="58"/>
      <c r="BH379" s="58"/>
      <c r="BI379" s="58"/>
      <c r="BJ379" s="58"/>
      <c r="BK379" s="58"/>
      <c r="BL379" s="58"/>
      <c r="BM379" s="58"/>
      <c r="BN379" s="58"/>
      <c r="BO379" s="58"/>
      <c r="BP379" s="58"/>
      <c r="BQ379" s="58"/>
      <c r="BR379" s="58"/>
      <c r="BS379" s="58"/>
    </row>
    <row r="380" spans="1:71" ht="15.75" customHeight="1" x14ac:dyDescent="0.2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1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2"/>
      <c r="AR380" s="92"/>
      <c r="AS380" s="92"/>
      <c r="AT380" s="92"/>
      <c r="AU380" s="92"/>
      <c r="AV380" s="92"/>
      <c r="AW380" s="92"/>
      <c r="AX380" s="92"/>
      <c r="AY380" s="92"/>
      <c r="AZ380" s="58"/>
      <c r="BA380" s="58"/>
      <c r="BB380" s="58"/>
      <c r="BC380" s="58"/>
      <c r="BD380" s="58"/>
      <c r="BE380" s="58"/>
      <c r="BF380" s="58"/>
      <c r="BG380" s="58"/>
      <c r="BH380" s="58"/>
      <c r="BI380" s="58"/>
      <c r="BJ380" s="58"/>
      <c r="BK380" s="58"/>
      <c r="BL380" s="58"/>
      <c r="BM380" s="58"/>
      <c r="BN380" s="58"/>
      <c r="BO380" s="58"/>
      <c r="BP380" s="58"/>
      <c r="BQ380" s="58"/>
      <c r="BR380" s="58"/>
      <c r="BS380" s="58"/>
    </row>
    <row r="381" spans="1:71" ht="15.75" customHeight="1" x14ac:dyDescent="0.2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1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  <c r="AP381" s="90"/>
      <c r="AQ381" s="92"/>
      <c r="AR381" s="92"/>
      <c r="AS381" s="92"/>
      <c r="AT381" s="92"/>
      <c r="AU381" s="92"/>
      <c r="AV381" s="92"/>
      <c r="AW381" s="92"/>
      <c r="AX381" s="92"/>
      <c r="AY381" s="92"/>
      <c r="AZ381" s="58"/>
      <c r="BA381" s="58"/>
      <c r="BB381" s="58"/>
      <c r="BC381" s="58"/>
      <c r="BD381" s="58"/>
      <c r="BE381" s="58"/>
      <c r="BF381" s="58"/>
      <c r="BG381" s="58"/>
      <c r="BH381" s="58"/>
      <c r="BI381" s="58"/>
      <c r="BJ381" s="58"/>
      <c r="BK381" s="58"/>
      <c r="BL381" s="58"/>
      <c r="BM381" s="58"/>
      <c r="BN381" s="58"/>
      <c r="BO381" s="58"/>
      <c r="BP381" s="58"/>
      <c r="BQ381" s="58"/>
      <c r="BR381" s="58"/>
      <c r="BS381" s="58"/>
    </row>
    <row r="382" spans="1:71" ht="15.75" customHeight="1" x14ac:dyDescent="0.2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1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2"/>
      <c r="AR382" s="92"/>
      <c r="AS382" s="92"/>
      <c r="AT382" s="92"/>
      <c r="AU382" s="92"/>
      <c r="AV382" s="92"/>
      <c r="AW382" s="92"/>
      <c r="AX382" s="92"/>
      <c r="AY382" s="92"/>
      <c r="AZ382" s="58"/>
      <c r="BA382" s="58"/>
      <c r="BB382" s="58"/>
      <c r="BC382" s="58"/>
      <c r="BD382" s="58"/>
      <c r="BE382" s="58"/>
      <c r="BF382" s="58"/>
      <c r="BG382" s="58"/>
      <c r="BH382" s="58"/>
      <c r="BI382" s="58"/>
      <c r="BJ382" s="58"/>
      <c r="BK382" s="58"/>
      <c r="BL382" s="58"/>
      <c r="BM382" s="58"/>
      <c r="BN382" s="58"/>
      <c r="BO382" s="58"/>
      <c r="BP382" s="58"/>
      <c r="BQ382" s="58"/>
      <c r="BR382" s="58"/>
      <c r="BS382" s="58"/>
    </row>
    <row r="383" spans="1:71" ht="15.75" customHeight="1" x14ac:dyDescent="0.2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1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0"/>
      <c r="AP383" s="90"/>
      <c r="AQ383" s="92"/>
      <c r="AR383" s="92"/>
      <c r="AS383" s="92"/>
      <c r="AT383" s="92"/>
      <c r="AU383" s="92"/>
      <c r="AV383" s="92"/>
      <c r="AW383" s="92"/>
      <c r="AX383" s="92"/>
      <c r="AY383" s="92"/>
      <c r="AZ383" s="58"/>
      <c r="BA383" s="58"/>
      <c r="BB383" s="58"/>
      <c r="BC383" s="58"/>
      <c r="BD383" s="58"/>
      <c r="BE383" s="58"/>
      <c r="BF383" s="58"/>
      <c r="BG383" s="58"/>
      <c r="BH383" s="58"/>
      <c r="BI383" s="58"/>
      <c r="BJ383" s="58"/>
      <c r="BK383" s="58"/>
      <c r="BL383" s="58"/>
      <c r="BM383" s="58"/>
      <c r="BN383" s="58"/>
      <c r="BO383" s="58"/>
      <c r="BP383" s="58"/>
      <c r="BQ383" s="58"/>
      <c r="BR383" s="58"/>
      <c r="BS383" s="58"/>
    </row>
    <row r="384" spans="1:71" ht="15.75" customHeight="1" x14ac:dyDescent="0.2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1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2"/>
      <c r="AR384" s="92"/>
      <c r="AS384" s="92"/>
      <c r="AT384" s="92"/>
      <c r="AU384" s="92"/>
      <c r="AV384" s="92"/>
      <c r="AW384" s="92"/>
      <c r="AX384" s="92"/>
      <c r="AY384" s="92"/>
      <c r="AZ384" s="58"/>
      <c r="BA384" s="58"/>
      <c r="BB384" s="58"/>
      <c r="BC384" s="58"/>
      <c r="BD384" s="58"/>
      <c r="BE384" s="58"/>
      <c r="BF384" s="58"/>
      <c r="BG384" s="58"/>
      <c r="BH384" s="58"/>
      <c r="BI384" s="58"/>
      <c r="BJ384" s="58"/>
      <c r="BK384" s="58"/>
      <c r="BL384" s="58"/>
      <c r="BM384" s="58"/>
      <c r="BN384" s="58"/>
      <c r="BO384" s="58"/>
      <c r="BP384" s="58"/>
      <c r="BQ384" s="58"/>
      <c r="BR384" s="58"/>
      <c r="BS384" s="58"/>
    </row>
    <row r="385" spans="1:71" ht="15.75" customHeight="1" x14ac:dyDescent="0.2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1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0"/>
      <c r="AP385" s="90"/>
      <c r="AQ385" s="92"/>
      <c r="AR385" s="92"/>
      <c r="AS385" s="92"/>
      <c r="AT385" s="92"/>
      <c r="AU385" s="92"/>
      <c r="AV385" s="92"/>
      <c r="AW385" s="92"/>
      <c r="AX385" s="92"/>
      <c r="AY385" s="92"/>
      <c r="AZ385" s="58"/>
      <c r="BA385" s="58"/>
      <c r="BB385" s="58"/>
      <c r="BC385" s="58"/>
      <c r="BD385" s="58"/>
      <c r="BE385" s="58"/>
      <c r="BF385" s="58"/>
      <c r="BG385" s="58"/>
      <c r="BH385" s="58"/>
      <c r="BI385" s="58"/>
      <c r="BJ385" s="58"/>
      <c r="BK385" s="58"/>
      <c r="BL385" s="58"/>
      <c r="BM385" s="58"/>
      <c r="BN385" s="58"/>
      <c r="BO385" s="58"/>
      <c r="BP385" s="58"/>
      <c r="BQ385" s="58"/>
      <c r="BR385" s="58"/>
      <c r="BS385" s="58"/>
    </row>
    <row r="386" spans="1:71" ht="15.75" customHeight="1" x14ac:dyDescent="0.2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1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2"/>
      <c r="AR386" s="92"/>
      <c r="AS386" s="92"/>
      <c r="AT386" s="92"/>
      <c r="AU386" s="92"/>
      <c r="AV386" s="92"/>
      <c r="AW386" s="92"/>
      <c r="AX386" s="92"/>
      <c r="AY386" s="92"/>
      <c r="AZ386" s="58"/>
      <c r="BA386" s="58"/>
      <c r="BB386" s="58"/>
      <c r="BC386" s="58"/>
      <c r="BD386" s="58"/>
      <c r="BE386" s="58"/>
      <c r="BF386" s="58"/>
      <c r="BG386" s="58"/>
      <c r="BH386" s="58"/>
      <c r="BI386" s="58"/>
      <c r="BJ386" s="58"/>
      <c r="BK386" s="58"/>
      <c r="BL386" s="58"/>
      <c r="BM386" s="58"/>
      <c r="BN386" s="58"/>
      <c r="BO386" s="58"/>
      <c r="BP386" s="58"/>
      <c r="BQ386" s="58"/>
      <c r="BR386" s="58"/>
      <c r="BS386" s="58"/>
    </row>
    <row r="387" spans="1:71" ht="15.75" customHeight="1" x14ac:dyDescent="0.2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1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0"/>
      <c r="AP387" s="90"/>
      <c r="AQ387" s="92"/>
      <c r="AR387" s="92"/>
      <c r="AS387" s="92"/>
      <c r="AT387" s="92"/>
      <c r="AU387" s="92"/>
      <c r="AV387" s="92"/>
      <c r="AW387" s="92"/>
      <c r="AX387" s="92"/>
      <c r="AY387" s="92"/>
      <c r="AZ387" s="58"/>
      <c r="BA387" s="58"/>
      <c r="BB387" s="58"/>
      <c r="BC387" s="58"/>
      <c r="BD387" s="58"/>
      <c r="BE387" s="58"/>
      <c r="BF387" s="58"/>
      <c r="BG387" s="58"/>
      <c r="BH387" s="58"/>
      <c r="BI387" s="58"/>
      <c r="BJ387" s="58"/>
      <c r="BK387" s="58"/>
      <c r="BL387" s="58"/>
      <c r="BM387" s="58"/>
      <c r="BN387" s="58"/>
      <c r="BO387" s="58"/>
      <c r="BP387" s="58"/>
      <c r="BQ387" s="58"/>
      <c r="BR387" s="58"/>
      <c r="BS387" s="58"/>
    </row>
    <row r="388" spans="1:71" ht="15.75" customHeight="1" x14ac:dyDescent="0.2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1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2"/>
      <c r="AR388" s="92"/>
      <c r="AS388" s="92"/>
      <c r="AT388" s="92"/>
      <c r="AU388" s="92"/>
      <c r="AV388" s="92"/>
      <c r="AW388" s="92"/>
      <c r="AX388" s="92"/>
      <c r="AY388" s="92"/>
      <c r="AZ388" s="58"/>
      <c r="BA388" s="58"/>
      <c r="BB388" s="58"/>
      <c r="BC388" s="58"/>
      <c r="BD388" s="58"/>
      <c r="BE388" s="58"/>
      <c r="BF388" s="58"/>
      <c r="BG388" s="58"/>
      <c r="BH388" s="58"/>
      <c r="BI388" s="58"/>
      <c r="BJ388" s="58"/>
      <c r="BK388" s="58"/>
      <c r="BL388" s="58"/>
      <c r="BM388" s="58"/>
      <c r="BN388" s="58"/>
      <c r="BO388" s="58"/>
      <c r="BP388" s="58"/>
      <c r="BQ388" s="58"/>
      <c r="BR388" s="58"/>
      <c r="BS388" s="58"/>
    </row>
    <row r="389" spans="1:71" ht="15.75" customHeight="1" x14ac:dyDescent="0.2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1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0"/>
      <c r="AP389" s="90"/>
      <c r="AQ389" s="92"/>
      <c r="AR389" s="92"/>
      <c r="AS389" s="92"/>
      <c r="AT389" s="92"/>
      <c r="AU389" s="92"/>
      <c r="AV389" s="92"/>
      <c r="AW389" s="92"/>
      <c r="AX389" s="92"/>
      <c r="AY389" s="92"/>
      <c r="AZ389" s="58"/>
      <c r="BA389" s="58"/>
      <c r="BB389" s="58"/>
      <c r="BC389" s="58"/>
      <c r="BD389" s="58"/>
      <c r="BE389" s="58"/>
      <c r="BF389" s="58"/>
      <c r="BG389" s="58"/>
      <c r="BH389" s="58"/>
      <c r="BI389" s="58"/>
      <c r="BJ389" s="58"/>
      <c r="BK389" s="58"/>
      <c r="BL389" s="58"/>
      <c r="BM389" s="58"/>
      <c r="BN389" s="58"/>
      <c r="BO389" s="58"/>
      <c r="BP389" s="58"/>
      <c r="BQ389" s="58"/>
      <c r="BR389" s="58"/>
      <c r="BS389" s="58"/>
    </row>
    <row r="390" spans="1:71" ht="15.75" customHeight="1" x14ac:dyDescent="0.2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1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2"/>
      <c r="AR390" s="92"/>
      <c r="AS390" s="92"/>
      <c r="AT390" s="92"/>
      <c r="AU390" s="92"/>
      <c r="AV390" s="92"/>
      <c r="AW390" s="92"/>
      <c r="AX390" s="92"/>
      <c r="AY390" s="92"/>
      <c r="AZ390" s="58"/>
      <c r="BA390" s="58"/>
      <c r="BB390" s="58"/>
      <c r="BC390" s="58"/>
      <c r="BD390" s="58"/>
      <c r="BE390" s="58"/>
      <c r="BF390" s="58"/>
      <c r="BG390" s="58"/>
      <c r="BH390" s="58"/>
      <c r="BI390" s="58"/>
      <c r="BJ390" s="58"/>
      <c r="BK390" s="58"/>
      <c r="BL390" s="58"/>
      <c r="BM390" s="58"/>
      <c r="BN390" s="58"/>
      <c r="BO390" s="58"/>
      <c r="BP390" s="58"/>
      <c r="BQ390" s="58"/>
      <c r="BR390" s="58"/>
      <c r="BS390" s="58"/>
    </row>
    <row r="391" spans="1:71" ht="15.75" customHeight="1" x14ac:dyDescent="0.2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1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0"/>
      <c r="AP391" s="90"/>
      <c r="AQ391" s="92"/>
      <c r="AR391" s="92"/>
      <c r="AS391" s="92"/>
      <c r="AT391" s="92"/>
      <c r="AU391" s="92"/>
      <c r="AV391" s="92"/>
      <c r="AW391" s="92"/>
      <c r="AX391" s="92"/>
      <c r="AY391" s="92"/>
      <c r="AZ391" s="58"/>
      <c r="BA391" s="58"/>
      <c r="BB391" s="58"/>
      <c r="BC391" s="58"/>
      <c r="BD391" s="58"/>
      <c r="BE391" s="58"/>
      <c r="BF391" s="58"/>
      <c r="BG391" s="58"/>
      <c r="BH391" s="58"/>
      <c r="BI391" s="58"/>
      <c r="BJ391" s="58"/>
      <c r="BK391" s="58"/>
      <c r="BL391" s="58"/>
      <c r="BM391" s="58"/>
      <c r="BN391" s="58"/>
      <c r="BO391" s="58"/>
      <c r="BP391" s="58"/>
      <c r="BQ391" s="58"/>
      <c r="BR391" s="58"/>
      <c r="BS391" s="58"/>
    </row>
    <row r="392" spans="1:71" ht="15.75" customHeight="1" x14ac:dyDescent="0.2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1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2"/>
      <c r="AR392" s="92"/>
      <c r="AS392" s="92"/>
      <c r="AT392" s="92"/>
      <c r="AU392" s="92"/>
      <c r="AV392" s="92"/>
      <c r="AW392" s="92"/>
      <c r="AX392" s="92"/>
      <c r="AY392" s="92"/>
      <c r="AZ392" s="58"/>
      <c r="BA392" s="58"/>
      <c r="BB392" s="58"/>
      <c r="BC392" s="58"/>
      <c r="BD392" s="58"/>
      <c r="BE392" s="58"/>
      <c r="BF392" s="58"/>
      <c r="BG392" s="58"/>
      <c r="BH392" s="58"/>
      <c r="BI392" s="58"/>
      <c r="BJ392" s="58"/>
      <c r="BK392" s="58"/>
      <c r="BL392" s="58"/>
      <c r="BM392" s="58"/>
      <c r="BN392" s="58"/>
      <c r="BO392" s="58"/>
      <c r="BP392" s="58"/>
      <c r="BQ392" s="58"/>
      <c r="BR392" s="58"/>
      <c r="BS392" s="58"/>
    </row>
    <row r="393" spans="1:71" ht="15.75" customHeight="1" x14ac:dyDescent="0.2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1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0"/>
      <c r="AP393" s="90"/>
      <c r="AQ393" s="92"/>
      <c r="AR393" s="92"/>
      <c r="AS393" s="92"/>
      <c r="AT393" s="92"/>
      <c r="AU393" s="92"/>
      <c r="AV393" s="92"/>
      <c r="AW393" s="92"/>
      <c r="AX393" s="92"/>
      <c r="AY393" s="92"/>
      <c r="AZ393" s="58"/>
      <c r="BA393" s="58"/>
      <c r="BB393" s="58"/>
      <c r="BC393" s="58"/>
      <c r="BD393" s="58"/>
      <c r="BE393" s="58"/>
      <c r="BF393" s="58"/>
      <c r="BG393" s="58"/>
      <c r="BH393" s="58"/>
      <c r="BI393" s="58"/>
      <c r="BJ393" s="58"/>
      <c r="BK393" s="58"/>
      <c r="BL393" s="58"/>
      <c r="BM393" s="58"/>
      <c r="BN393" s="58"/>
      <c r="BO393" s="58"/>
      <c r="BP393" s="58"/>
      <c r="BQ393" s="58"/>
      <c r="BR393" s="58"/>
      <c r="BS393" s="58"/>
    </row>
    <row r="394" spans="1:71" ht="15.75" customHeight="1" x14ac:dyDescent="0.2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1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2"/>
      <c r="AR394" s="92"/>
      <c r="AS394" s="92"/>
      <c r="AT394" s="92"/>
      <c r="AU394" s="92"/>
      <c r="AV394" s="92"/>
      <c r="AW394" s="92"/>
      <c r="AX394" s="92"/>
      <c r="AY394" s="92"/>
      <c r="AZ394" s="58"/>
      <c r="BA394" s="58"/>
      <c r="BB394" s="58"/>
      <c r="BC394" s="58"/>
      <c r="BD394" s="58"/>
      <c r="BE394" s="58"/>
      <c r="BF394" s="58"/>
      <c r="BG394" s="58"/>
      <c r="BH394" s="58"/>
      <c r="BI394" s="58"/>
      <c r="BJ394" s="58"/>
      <c r="BK394" s="58"/>
      <c r="BL394" s="58"/>
      <c r="BM394" s="58"/>
      <c r="BN394" s="58"/>
      <c r="BO394" s="58"/>
      <c r="BP394" s="58"/>
      <c r="BQ394" s="58"/>
      <c r="BR394" s="58"/>
      <c r="BS394" s="58"/>
    </row>
    <row r="395" spans="1:71" ht="15.75" customHeight="1" x14ac:dyDescent="0.2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1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0"/>
      <c r="AP395" s="90"/>
      <c r="AQ395" s="92"/>
      <c r="AR395" s="92"/>
      <c r="AS395" s="92"/>
      <c r="AT395" s="92"/>
      <c r="AU395" s="92"/>
      <c r="AV395" s="92"/>
      <c r="AW395" s="92"/>
      <c r="AX395" s="92"/>
      <c r="AY395" s="92"/>
      <c r="AZ395" s="58"/>
      <c r="BA395" s="58"/>
      <c r="BB395" s="58"/>
      <c r="BC395" s="58"/>
      <c r="BD395" s="58"/>
      <c r="BE395" s="58"/>
      <c r="BF395" s="58"/>
      <c r="BG395" s="58"/>
      <c r="BH395" s="58"/>
      <c r="BI395" s="58"/>
      <c r="BJ395" s="58"/>
      <c r="BK395" s="58"/>
      <c r="BL395" s="58"/>
      <c r="BM395" s="58"/>
      <c r="BN395" s="58"/>
      <c r="BO395" s="58"/>
      <c r="BP395" s="58"/>
      <c r="BQ395" s="58"/>
      <c r="BR395" s="58"/>
      <c r="BS395" s="58"/>
    </row>
    <row r="396" spans="1:71" ht="15.75" customHeight="1" x14ac:dyDescent="0.2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1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2"/>
      <c r="AR396" s="92"/>
      <c r="AS396" s="92"/>
      <c r="AT396" s="92"/>
      <c r="AU396" s="92"/>
      <c r="AV396" s="92"/>
      <c r="AW396" s="92"/>
      <c r="AX396" s="92"/>
      <c r="AY396" s="92"/>
      <c r="AZ396" s="58"/>
      <c r="BA396" s="58"/>
      <c r="BB396" s="58"/>
      <c r="BC396" s="58"/>
      <c r="BD396" s="58"/>
      <c r="BE396" s="58"/>
      <c r="BF396" s="58"/>
      <c r="BG396" s="58"/>
      <c r="BH396" s="58"/>
      <c r="BI396" s="58"/>
      <c r="BJ396" s="58"/>
      <c r="BK396" s="58"/>
      <c r="BL396" s="58"/>
      <c r="BM396" s="58"/>
      <c r="BN396" s="58"/>
      <c r="BO396" s="58"/>
      <c r="BP396" s="58"/>
      <c r="BQ396" s="58"/>
      <c r="BR396" s="58"/>
      <c r="BS396" s="58"/>
    </row>
    <row r="397" spans="1:71" ht="15.75" customHeight="1" x14ac:dyDescent="0.2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1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0"/>
      <c r="AP397" s="90"/>
      <c r="AQ397" s="92"/>
      <c r="AR397" s="92"/>
      <c r="AS397" s="92"/>
      <c r="AT397" s="92"/>
      <c r="AU397" s="92"/>
      <c r="AV397" s="92"/>
      <c r="AW397" s="92"/>
      <c r="AX397" s="92"/>
      <c r="AY397" s="92"/>
      <c r="AZ397" s="58"/>
      <c r="BA397" s="58"/>
      <c r="BB397" s="58"/>
      <c r="BC397" s="58"/>
      <c r="BD397" s="58"/>
      <c r="BE397" s="58"/>
      <c r="BF397" s="58"/>
      <c r="BG397" s="58"/>
      <c r="BH397" s="58"/>
      <c r="BI397" s="58"/>
      <c r="BJ397" s="58"/>
      <c r="BK397" s="58"/>
      <c r="BL397" s="58"/>
      <c r="BM397" s="58"/>
      <c r="BN397" s="58"/>
      <c r="BO397" s="58"/>
      <c r="BP397" s="58"/>
      <c r="BQ397" s="58"/>
      <c r="BR397" s="58"/>
      <c r="BS397" s="58"/>
    </row>
    <row r="398" spans="1:71" ht="15.75" customHeight="1" x14ac:dyDescent="0.2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1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2"/>
      <c r="AR398" s="92"/>
      <c r="AS398" s="92"/>
      <c r="AT398" s="92"/>
      <c r="AU398" s="92"/>
      <c r="AV398" s="92"/>
      <c r="AW398" s="92"/>
      <c r="AX398" s="92"/>
      <c r="AY398" s="92"/>
      <c r="AZ398" s="58"/>
      <c r="BA398" s="58"/>
      <c r="BB398" s="58"/>
      <c r="BC398" s="58"/>
      <c r="BD398" s="58"/>
      <c r="BE398" s="58"/>
      <c r="BF398" s="58"/>
      <c r="BG398" s="58"/>
      <c r="BH398" s="58"/>
      <c r="BI398" s="58"/>
      <c r="BJ398" s="58"/>
      <c r="BK398" s="58"/>
      <c r="BL398" s="58"/>
      <c r="BM398" s="58"/>
      <c r="BN398" s="58"/>
      <c r="BO398" s="58"/>
      <c r="BP398" s="58"/>
      <c r="BQ398" s="58"/>
      <c r="BR398" s="58"/>
      <c r="BS398" s="58"/>
    </row>
    <row r="399" spans="1:71" ht="15.75" customHeight="1" x14ac:dyDescent="0.2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1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0"/>
      <c r="AP399" s="90"/>
      <c r="AQ399" s="92"/>
      <c r="AR399" s="92"/>
      <c r="AS399" s="92"/>
      <c r="AT399" s="92"/>
      <c r="AU399" s="92"/>
      <c r="AV399" s="92"/>
      <c r="AW399" s="92"/>
      <c r="AX399" s="92"/>
      <c r="AY399" s="92"/>
      <c r="AZ399" s="58"/>
      <c r="BA399" s="58"/>
      <c r="BB399" s="58"/>
      <c r="BC399" s="58"/>
      <c r="BD399" s="58"/>
      <c r="BE399" s="58"/>
      <c r="BF399" s="58"/>
      <c r="BG399" s="58"/>
      <c r="BH399" s="58"/>
      <c r="BI399" s="58"/>
      <c r="BJ399" s="58"/>
      <c r="BK399" s="58"/>
      <c r="BL399" s="58"/>
      <c r="BM399" s="58"/>
      <c r="BN399" s="58"/>
      <c r="BO399" s="58"/>
      <c r="BP399" s="58"/>
      <c r="BQ399" s="58"/>
      <c r="BR399" s="58"/>
      <c r="BS399" s="58"/>
    </row>
    <row r="400" spans="1:71" ht="15.75" customHeight="1" x14ac:dyDescent="0.2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1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2"/>
      <c r="AR400" s="92"/>
      <c r="AS400" s="92"/>
      <c r="AT400" s="92"/>
      <c r="AU400" s="92"/>
      <c r="AV400" s="92"/>
      <c r="AW400" s="92"/>
      <c r="AX400" s="92"/>
      <c r="AY400" s="92"/>
      <c r="AZ400" s="58"/>
      <c r="BA400" s="58"/>
      <c r="BB400" s="58"/>
      <c r="BC400" s="58"/>
      <c r="BD400" s="58"/>
      <c r="BE400" s="58"/>
      <c r="BF400" s="58"/>
      <c r="BG400" s="58"/>
      <c r="BH400" s="58"/>
      <c r="BI400" s="58"/>
      <c r="BJ400" s="58"/>
      <c r="BK400" s="58"/>
      <c r="BL400" s="58"/>
      <c r="BM400" s="58"/>
      <c r="BN400" s="58"/>
      <c r="BO400" s="58"/>
      <c r="BP400" s="58"/>
      <c r="BQ400" s="58"/>
      <c r="BR400" s="58"/>
      <c r="BS400" s="58"/>
    </row>
    <row r="401" spans="1:71" ht="15.75" customHeight="1" x14ac:dyDescent="0.2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1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0"/>
      <c r="AP401" s="90"/>
      <c r="AQ401" s="92"/>
      <c r="AR401" s="92"/>
      <c r="AS401" s="92"/>
      <c r="AT401" s="92"/>
      <c r="AU401" s="92"/>
      <c r="AV401" s="92"/>
      <c r="AW401" s="92"/>
      <c r="AX401" s="92"/>
      <c r="AY401" s="92"/>
      <c r="AZ401" s="58"/>
      <c r="BA401" s="58"/>
      <c r="BB401" s="58"/>
      <c r="BC401" s="58"/>
      <c r="BD401" s="58"/>
      <c r="BE401" s="58"/>
      <c r="BF401" s="58"/>
      <c r="BG401" s="58"/>
      <c r="BH401" s="58"/>
      <c r="BI401" s="58"/>
      <c r="BJ401" s="58"/>
      <c r="BK401" s="58"/>
      <c r="BL401" s="58"/>
      <c r="BM401" s="58"/>
      <c r="BN401" s="58"/>
      <c r="BO401" s="58"/>
      <c r="BP401" s="58"/>
      <c r="BQ401" s="58"/>
      <c r="BR401" s="58"/>
      <c r="BS401" s="58"/>
    </row>
    <row r="402" spans="1:71" ht="15.75" customHeight="1" x14ac:dyDescent="0.2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1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2"/>
      <c r="AR402" s="92"/>
      <c r="AS402" s="92"/>
      <c r="AT402" s="92"/>
      <c r="AU402" s="92"/>
      <c r="AV402" s="92"/>
      <c r="AW402" s="92"/>
      <c r="AX402" s="92"/>
      <c r="AY402" s="92"/>
      <c r="AZ402" s="58"/>
      <c r="BA402" s="58"/>
      <c r="BB402" s="58"/>
      <c r="BC402" s="58"/>
      <c r="BD402" s="58"/>
      <c r="BE402" s="58"/>
      <c r="BF402" s="58"/>
      <c r="BG402" s="58"/>
      <c r="BH402" s="58"/>
      <c r="BI402" s="58"/>
      <c r="BJ402" s="58"/>
      <c r="BK402" s="58"/>
      <c r="BL402" s="58"/>
      <c r="BM402" s="58"/>
      <c r="BN402" s="58"/>
      <c r="BO402" s="58"/>
      <c r="BP402" s="58"/>
      <c r="BQ402" s="58"/>
      <c r="BR402" s="58"/>
      <c r="BS402" s="58"/>
    </row>
    <row r="403" spans="1:71" ht="15.75" customHeight="1" x14ac:dyDescent="0.2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1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0"/>
      <c r="AP403" s="90"/>
      <c r="AQ403" s="92"/>
      <c r="AR403" s="92"/>
      <c r="AS403" s="92"/>
      <c r="AT403" s="92"/>
      <c r="AU403" s="92"/>
      <c r="AV403" s="92"/>
      <c r="AW403" s="92"/>
      <c r="AX403" s="92"/>
      <c r="AY403" s="92"/>
      <c r="AZ403" s="58"/>
      <c r="BA403" s="58"/>
      <c r="BB403" s="58"/>
      <c r="BC403" s="58"/>
      <c r="BD403" s="58"/>
      <c r="BE403" s="58"/>
      <c r="BF403" s="58"/>
      <c r="BG403" s="58"/>
      <c r="BH403" s="58"/>
      <c r="BI403" s="58"/>
      <c r="BJ403" s="58"/>
      <c r="BK403" s="58"/>
      <c r="BL403" s="58"/>
      <c r="BM403" s="58"/>
      <c r="BN403" s="58"/>
      <c r="BO403" s="58"/>
      <c r="BP403" s="58"/>
      <c r="BQ403" s="58"/>
      <c r="BR403" s="58"/>
      <c r="BS403" s="58"/>
    </row>
    <row r="404" spans="1:71" ht="15.75" customHeight="1" x14ac:dyDescent="0.2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1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2"/>
      <c r="AR404" s="92"/>
      <c r="AS404" s="92"/>
      <c r="AT404" s="92"/>
      <c r="AU404" s="92"/>
      <c r="AV404" s="92"/>
      <c r="AW404" s="92"/>
      <c r="AX404" s="92"/>
      <c r="AY404" s="92"/>
      <c r="AZ404" s="58"/>
      <c r="BA404" s="58"/>
      <c r="BB404" s="58"/>
      <c r="BC404" s="58"/>
      <c r="BD404" s="58"/>
      <c r="BE404" s="58"/>
      <c r="BF404" s="58"/>
      <c r="BG404" s="58"/>
      <c r="BH404" s="58"/>
      <c r="BI404" s="58"/>
      <c r="BJ404" s="58"/>
      <c r="BK404" s="58"/>
      <c r="BL404" s="58"/>
      <c r="BM404" s="58"/>
      <c r="BN404" s="58"/>
      <c r="BO404" s="58"/>
      <c r="BP404" s="58"/>
      <c r="BQ404" s="58"/>
      <c r="BR404" s="58"/>
      <c r="BS404" s="58"/>
    </row>
    <row r="405" spans="1:71" ht="15.75" customHeight="1" x14ac:dyDescent="0.2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1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0"/>
      <c r="AP405" s="90"/>
      <c r="AQ405" s="92"/>
      <c r="AR405" s="92"/>
      <c r="AS405" s="92"/>
      <c r="AT405" s="92"/>
      <c r="AU405" s="92"/>
      <c r="AV405" s="92"/>
      <c r="AW405" s="92"/>
      <c r="AX405" s="92"/>
      <c r="AY405" s="92"/>
      <c r="AZ405" s="58"/>
      <c r="BA405" s="58"/>
      <c r="BB405" s="58"/>
      <c r="BC405" s="58"/>
      <c r="BD405" s="58"/>
      <c r="BE405" s="58"/>
      <c r="BF405" s="58"/>
      <c r="BG405" s="58"/>
      <c r="BH405" s="58"/>
      <c r="BI405" s="58"/>
      <c r="BJ405" s="58"/>
      <c r="BK405" s="58"/>
      <c r="BL405" s="58"/>
      <c r="BM405" s="58"/>
      <c r="BN405" s="58"/>
      <c r="BO405" s="58"/>
      <c r="BP405" s="58"/>
      <c r="BQ405" s="58"/>
      <c r="BR405" s="58"/>
      <c r="BS405" s="58"/>
    </row>
    <row r="406" spans="1:71" ht="15.75" customHeight="1" x14ac:dyDescent="0.2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1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2"/>
      <c r="AR406" s="92"/>
      <c r="AS406" s="92"/>
      <c r="AT406" s="92"/>
      <c r="AU406" s="92"/>
      <c r="AV406" s="92"/>
      <c r="AW406" s="92"/>
      <c r="AX406" s="92"/>
      <c r="AY406" s="92"/>
      <c r="AZ406" s="58"/>
      <c r="BA406" s="58"/>
      <c r="BB406" s="58"/>
      <c r="BC406" s="58"/>
      <c r="BD406" s="58"/>
      <c r="BE406" s="58"/>
      <c r="BF406" s="58"/>
      <c r="BG406" s="58"/>
      <c r="BH406" s="58"/>
      <c r="BI406" s="58"/>
      <c r="BJ406" s="58"/>
      <c r="BK406" s="58"/>
      <c r="BL406" s="58"/>
      <c r="BM406" s="58"/>
      <c r="BN406" s="58"/>
      <c r="BO406" s="58"/>
      <c r="BP406" s="58"/>
      <c r="BQ406" s="58"/>
      <c r="BR406" s="58"/>
      <c r="BS406" s="58"/>
    </row>
    <row r="407" spans="1:71" ht="15.75" customHeight="1" x14ac:dyDescent="0.2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1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0"/>
      <c r="AP407" s="90"/>
      <c r="AQ407" s="92"/>
      <c r="AR407" s="92"/>
      <c r="AS407" s="92"/>
      <c r="AT407" s="92"/>
      <c r="AU407" s="92"/>
      <c r="AV407" s="92"/>
      <c r="AW407" s="92"/>
      <c r="AX407" s="92"/>
      <c r="AY407" s="92"/>
      <c r="AZ407" s="58"/>
      <c r="BA407" s="58"/>
      <c r="BB407" s="58"/>
      <c r="BC407" s="58"/>
      <c r="BD407" s="58"/>
      <c r="BE407" s="58"/>
      <c r="BF407" s="58"/>
      <c r="BG407" s="58"/>
      <c r="BH407" s="58"/>
      <c r="BI407" s="58"/>
      <c r="BJ407" s="58"/>
      <c r="BK407" s="58"/>
      <c r="BL407" s="58"/>
      <c r="BM407" s="58"/>
      <c r="BN407" s="58"/>
      <c r="BO407" s="58"/>
      <c r="BP407" s="58"/>
      <c r="BQ407" s="58"/>
      <c r="BR407" s="58"/>
      <c r="BS407" s="58"/>
    </row>
    <row r="408" spans="1:71" ht="15.75" customHeight="1" x14ac:dyDescent="0.2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1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2"/>
      <c r="AR408" s="92"/>
      <c r="AS408" s="92"/>
      <c r="AT408" s="92"/>
      <c r="AU408" s="92"/>
      <c r="AV408" s="92"/>
      <c r="AW408" s="92"/>
      <c r="AX408" s="92"/>
      <c r="AY408" s="92"/>
      <c r="AZ408" s="58"/>
      <c r="BA408" s="58"/>
      <c r="BB408" s="58"/>
      <c r="BC408" s="58"/>
      <c r="BD408" s="58"/>
      <c r="BE408" s="58"/>
      <c r="BF408" s="58"/>
      <c r="BG408" s="58"/>
      <c r="BH408" s="58"/>
      <c r="BI408" s="58"/>
      <c r="BJ408" s="58"/>
      <c r="BK408" s="58"/>
      <c r="BL408" s="58"/>
      <c r="BM408" s="58"/>
      <c r="BN408" s="58"/>
      <c r="BO408" s="58"/>
      <c r="BP408" s="58"/>
      <c r="BQ408" s="58"/>
      <c r="BR408" s="58"/>
      <c r="BS408" s="58"/>
    </row>
    <row r="409" spans="1:71" ht="15.75" customHeight="1" x14ac:dyDescent="0.2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1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0"/>
      <c r="AP409" s="90"/>
      <c r="AQ409" s="92"/>
      <c r="AR409" s="92"/>
      <c r="AS409" s="92"/>
      <c r="AT409" s="92"/>
      <c r="AU409" s="92"/>
      <c r="AV409" s="92"/>
      <c r="AW409" s="92"/>
      <c r="AX409" s="92"/>
      <c r="AY409" s="92"/>
      <c r="AZ409" s="58"/>
      <c r="BA409" s="58"/>
      <c r="BB409" s="58"/>
      <c r="BC409" s="58"/>
      <c r="BD409" s="58"/>
      <c r="BE409" s="58"/>
      <c r="BF409" s="58"/>
      <c r="BG409" s="58"/>
      <c r="BH409" s="58"/>
      <c r="BI409" s="58"/>
      <c r="BJ409" s="58"/>
      <c r="BK409" s="58"/>
      <c r="BL409" s="58"/>
      <c r="BM409" s="58"/>
      <c r="BN409" s="58"/>
      <c r="BO409" s="58"/>
      <c r="BP409" s="58"/>
      <c r="BQ409" s="58"/>
      <c r="BR409" s="58"/>
      <c r="BS409" s="58"/>
    </row>
    <row r="410" spans="1:71" ht="15.75" customHeight="1" x14ac:dyDescent="0.2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1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2"/>
      <c r="AR410" s="92"/>
      <c r="AS410" s="92"/>
      <c r="AT410" s="92"/>
      <c r="AU410" s="92"/>
      <c r="AV410" s="92"/>
      <c r="AW410" s="92"/>
      <c r="AX410" s="92"/>
      <c r="AY410" s="92"/>
      <c r="AZ410" s="58"/>
      <c r="BA410" s="58"/>
      <c r="BB410" s="58"/>
      <c r="BC410" s="58"/>
      <c r="BD410" s="58"/>
      <c r="BE410" s="58"/>
      <c r="BF410" s="58"/>
      <c r="BG410" s="58"/>
      <c r="BH410" s="58"/>
      <c r="BI410" s="58"/>
      <c r="BJ410" s="58"/>
      <c r="BK410" s="58"/>
      <c r="BL410" s="58"/>
      <c r="BM410" s="58"/>
      <c r="BN410" s="58"/>
      <c r="BO410" s="58"/>
      <c r="BP410" s="58"/>
      <c r="BQ410" s="58"/>
      <c r="BR410" s="58"/>
      <c r="BS410" s="58"/>
    </row>
    <row r="411" spans="1:71" ht="15.75" customHeight="1" x14ac:dyDescent="0.2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1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0"/>
      <c r="AP411" s="90"/>
      <c r="AQ411" s="92"/>
      <c r="AR411" s="92"/>
      <c r="AS411" s="92"/>
      <c r="AT411" s="92"/>
      <c r="AU411" s="92"/>
      <c r="AV411" s="92"/>
      <c r="AW411" s="92"/>
      <c r="AX411" s="92"/>
      <c r="AY411" s="92"/>
      <c r="AZ411" s="58"/>
      <c r="BA411" s="58"/>
      <c r="BB411" s="58"/>
      <c r="BC411" s="58"/>
      <c r="BD411" s="58"/>
      <c r="BE411" s="58"/>
      <c r="BF411" s="58"/>
      <c r="BG411" s="58"/>
      <c r="BH411" s="58"/>
      <c r="BI411" s="58"/>
      <c r="BJ411" s="58"/>
      <c r="BK411" s="58"/>
      <c r="BL411" s="58"/>
      <c r="BM411" s="58"/>
      <c r="BN411" s="58"/>
      <c r="BO411" s="58"/>
      <c r="BP411" s="58"/>
      <c r="BQ411" s="58"/>
      <c r="BR411" s="58"/>
      <c r="BS411" s="58"/>
    </row>
    <row r="412" spans="1:71" ht="15.75" customHeight="1" x14ac:dyDescent="0.2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1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2"/>
      <c r="AR412" s="92"/>
      <c r="AS412" s="92"/>
      <c r="AT412" s="92"/>
      <c r="AU412" s="92"/>
      <c r="AV412" s="92"/>
      <c r="AW412" s="92"/>
      <c r="AX412" s="92"/>
      <c r="AY412" s="92"/>
      <c r="AZ412" s="58"/>
      <c r="BA412" s="58"/>
      <c r="BB412" s="58"/>
      <c r="BC412" s="58"/>
      <c r="BD412" s="58"/>
      <c r="BE412" s="58"/>
      <c r="BF412" s="58"/>
      <c r="BG412" s="58"/>
      <c r="BH412" s="58"/>
      <c r="BI412" s="58"/>
      <c r="BJ412" s="58"/>
      <c r="BK412" s="58"/>
      <c r="BL412" s="58"/>
      <c r="BM412" s="58"/>
      <c r="BN412" s="58"/>
      <c r="BO412" s="58"/>
      <c r="BP412" s="58"/>
      <c r="BQ412" s="58"/>
      <c r="BR412" s="58"/>
      <c r="BS412" s="58"/>
    </row>
    <row r="413" spans="1:71" ht="15.75" customHeight="1" x14ac:dyDescent="0.2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1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0"/>
      <c r="AP413" s="90"/>
      <c r="AQ413" s="92"/>
      <c r="AR413" s="92"/>
      <c r="AS413" s="92"/>
      <c r="AT413" s="92"/>
      <c r="AU413" s="92"/>
      <c r="AV413" s="92"/>
      <c r="AW413" s="92"/>
      <c r="AX413" s="92"/>
      <c r="AY413" s="92"/>
      <c r="AZ413" s="58"/>
      <c r="BA413" s="58"/>
      <c r="BB413" s="58"/>
      <c r="BC413" s="58"/>
      <c r="BD413" s="58"/>
      <c r="BE413" s="58"/>
      <c r="BF413" s="58"/>
      <c r="BG413" s="58"/>
      <c r="BH413" s="58"/>
      <c r="BI413" s="58"/>
      <c r="BJ413" s="58"/>
      <c r="BK413" s="58"/>
      <c r="BL413" s="58"/>
      <c r="BM413" s="58"/>
      <c r="BN413" s="58"/>
      <c r="BO413" s="58"/>
      <c r="BP413" s="58"/>
      <c r="BQ413" s="58"/>
      <c r="BR413" s="58"/>
      <c r="BS413" s="58"/>
    </row>
    <row r="414" spans="1:71" ht="15.75" customHeight="1" x14ac:dyDescent="0.2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1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2"/>
      <c r="AR414" s="92"/>
      <c r="AS414" s="92"/>
      <c r="AT414" s="92"/>
      <c r="AU414" s="92"/>
      <c r="AV414" s="92"/>
      <c r="AW414" s="92"/>
      <c r="AX414" s="92"/>
      <c r="AY414" s="92"/>
      <c r="AZ414" s="58"/>
      <c r="BA414" s="58"/>
      <c r="BB414" s="58"/>
      <c r="BC414" s="58"/>
      <c r="BD414" s="58"/>
      <c r="BE414" s="58"/>
      <c r="BF414" s="58"/>
      <c r="BG414" s="58"/>
      <c r="BH414" s="58"/>
      <c r="BI414" s="58"/>
      <c r="BJ414" s="58"/>
      <c r="BK414" s="58"/>
      <c r="BL414" s="58"/>
      <c r="BM414" s="58"/>
      <c r="BN414" s="58"/>
      <c r="BO414" s="58"/>
      <c r="BP414" s="58"/>
      <c r="BQ414" s="58"/>
      <c r="BR414" s="58"/>
      <c r="BS414" s="58"/>
    </row>
    <row r="415" spans="1:71" ht="15.75" customHeight="1" x14ac:dyDescent="0.2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1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0"/>
      <c r="AP415" s="90"/>
      <c r="AQ415" s="92"/>
      <c r="AR415" s="92"/>
      <c r="AS415" s="92"/>
      <c r="AT415" s="92"/>
      <c r="AU415" s="92"/>
      <c r="AV415" s="92"/>
      <c r="AW415" s="92"/>
      <c r="AX415" s="92"/>
      <c r="AY415" s="92"/>
      <c r="AZ415" s="58"/>
      <c r="BA415" s="58"/>
      <c r="BB415" s="58"/>
      <c r="BC415" s="58"/>
      <c r="BD415" s="58"/>
      <c r="BE415" s="58"/>
      <c r="BF415" s="58"/>
      <c r="BG415" s="58"/>
      <c r="BH415" s="58"/>
      <c r="BI415" s="58"/>
      <c r="BJ415" s="58"/>
      <c r="BK415" s="58"/>
      <c r="BL415" s="58"/>
      <c r="BM415" s="58"/>
      <c r="BN415" s="58"/>
      <c r="BO415" s="58"/>
      <c r="BP415" s="58"/>
      <c r="BQ415" s="58"/>
      <c r="BR415" s="58"/>
      <c r="BS415" s="58"/>
    </row>
    <row r="416" spans="1:71" ht="15.75" customHeight="1" x14ac:dyDescent="0.2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1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2"/>
      <c r="AR416" s="92"/>
      <c r="AS416" s="92"/>
      <c r="AT416" s="92"/>
      <c r="AU416" s="92"/>
      <c r="AV416" s="92"/>
      <c r="AW416" s="92"/>
      <c r="AX416" s="92"/>
      <c r="AY416" s="92"/>
      <c r="AZ416" s="58"/>
      <c r="BA416" s="58"/>
      <c r="BB416" s="58"/>
      <c r="BC416" s="58"/>
      <c r="BD416" s="58"/>
      <c r="BE416" s="58"/>
      <c r="BF416" s="58"/>
      <c r="BG416" s="58"/>
      <c r="BH416" s="58"/>
      <c r="BI416" s="58"/>
      <c r="BJ416" s="58"/>
      <c r="BK416" s="58"/>
      <c r="BL416" s="58"/>
      <c r="BM416" s="58"/>
      <c r="BN416" s="58"/>
      <c r="BO416" s="58"/>
      <c r="BP416" s="58"/>
      <c r="BQ416" s="58"/>
      <c r="BR416" s="58"/>
      <c r="BS416" s="58"/>
    </row>
    <row r="417" spans="1:71" ht="15.75" customHeight="1" x14ac:dyDescent="0.2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1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0"/>
      <c r="AP417" s="90"/>
      <c r="AQ417" s="92"/>
      <c r="AR417" s="92"/>
      <c r="AS417" s="92"/>
      <c r="AT417" s="92"/>
      <c r="AU417" s="92"/>
      <c r="AV417" s="92"/>
      <c r="AW417" s="92"/>
      <c r="AX417" s="92"/>
      <c r="AY417" s="92"/>
      <c r="AZ417" s="58"/>
      <c r="BA417" s="58"/>
      <c r="BB417" s="58"/>
      <c r="BC417" s="58"/>
      <c r="BD417" s="58"/>
      <c r="BE417" s="58"/>
      <c r="BF417" s="58"/>
      <c r="BG417" s="58"/>
      <c r="BH417" s="58"/>
      <c r="BI417" s="58"/>
      <c r="BJ417" s="58"/>
      <c r="BK417" s="58"/>
      <c r="BL417" s="58"/>
      <c r="BM417" s="58"/>
      <c r="BN417" s="58"/>
      <c r="BO417" s="58"/>
      <c r="BP417" s="58"/>
      <c r="BQ417" s="58"/>
      <c r="BR417" s="58"/>
      <c r="BS417" s="58"/>
    </row>
    <row r="418" spans="1:71" ht="15.75" customHeight="1" x14ac:dyDescent="0.2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1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2"/>
      <c r="AR418" s="92"/>
      <c r="AS418" s="92"/>
      <c r="AT418" s="92"/>
      <c r="AU418" s="92"/>
      <c r="AV418" s="92"/>
      <c r="AW418" s="92"/>
      <c r="AX418" s="92"/>
      <c r="AY418" s="92"/>
      <c r="AZ418" s="58"/>
      <c r="BA418" s="58"/>
      <c r="BB418" s="58"/>
      <c r="BC418" s="58"/>
      <c r="BD418" s="58"/>
      <c r="BE418" s="58"/>
      <c r="BF418" s="58"/>
      <c r="BG418" s="58"/>
      <c r="BH418" s="58"/>
      <c r="BI418" s="58"/>
      <c r="BJ418" s="58"/>
      <c r="BK418" s="58"/>
      <c r="BL418" s="58"/>
      <c r="BM418" s="58"/>
      <c r="BN418" s="58"/>
      <c r="BO418" s="58"/>
      <c r="BP418" s="58"/>
      <c r="BQ418" s="58"/>
      <c r="BR418" s="58"/>
      <c r="BS418" s="58"/>
    </row>
    <row r="419" spans="1:71" ht="15.75" customHeight="1" x14ac:dyDescent="0.2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1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0"/>
      <c r="AP419" s="90"/>
      <c r="AQ419" s="92"/>
      <c r="AR419" s="92"/>
      <c r="AS419" s="92"/>
      <c r="AT419" s="92"/>
      <c r="AU419" s="92"/>
      <c r="AV419" s="92"/>
      <c r="AW419" s="92"/>
      <c r="AX419" s="92"/>
      <c r="AY419" s="92"/>
      <c r="AZ419" s="58"/>
      <c r="BA419" s="58"/>
      <c r="BB419" s="58"/>
      <c r="BC419" s="58"/>
      <c r="BD419" s="58"/>
      <c r="BE419" s="58"/>
      <c r="BF419" s="58"/>
      <c r="BG419" s="58"/>
      <c r="BH419" s="58"/>
      <c r="BI419" s="58"/>
      <c r="BJ419" s="58"/>
      <c r="BK419" s="58"/>
      <c r="BL419" s="58"/>
      <c r="BM419" s="58"/>
      <c r="BN419" s="58"/>
      <c r="BO419" s="58"/>
      <c r="BP419" s="58"/>
      <c r="BQ419" s="58"/>
      <c r="BR419" s="58"/>
      <c r="BS419" s="58"/>
    </row>
    <row r="420" spans="1:71" ht="15.75" customHeight="1" x14ac:dyDescent="0.2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1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2"/>
      <c r="AR420" s="92"/>
      <c r="AS420" s="92"/>
      <c r="AT420" s="92"/>
      <c r="AU420" s="92"/>
      <c r="AV420" s="92"/>
      <c r="AW420" s="92"/>
      <c r="AX420" s="92"/>
      <c r="AY420" s="92"/>
      <c r="AZ420" s="58"/>
      <c r="BA420" s="58"/>
      <c r="BB420" s="58"/>
      <c r="BC420" s="58"/>
      <c r="BD420" s="58"/>
      <c r="BE420" s="58"/>
      <c r="BF420" s="58"/>
      <c r="BG420" s="58"/>
      <c r="BH420" s="58"/>
      <c r="BI420" s="58"/>
      <c r="BJ420" s="58"/>
      <c r="BK420" s="58"/>
      <c r="BL420" s="58"/>
      <c r="BM420" s="58"/>
      <c r="BN420" s="58"/>
      <c r="BO420" s="58"/>
      <c r="BP420" s="58"/>
      <c r="BQ420" s="58"/>
      <c r="BR420" s="58"/>
      <c r="BS420" s="58"/>
    </row>
    <row r="421" spans="1:71" ht="15.75" customHeight="1" x14ac:dyDescent="0.2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1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0"/>
      <c r="AP421" s="90"/>
      <c r="AQ421" s="92"/>
      <c r="AR421" s="92"/>
      <c r="AS421" s="92"/>
      <c r="AT421" s="92"/>
      <c r="AU421" s="92"/>
      <c r="AV421" s="92"/>
      <c r="AW421" s="92"/>
      <c r="AX421" s="92"/>
      <c r="AY421" s="92"/>
      <c r="AZ421" s="58"/>
      <c r="BA421" s="58"/>
      <c r="BB421" s="58"/>
      <c r="BC421" s="58"/>
      <c r="BD421" s="58"/>
      <c r="BE421" s="58"/>
      <c r="BF421" s="58"/>
      <c r="BG421" s="58"/>
      <c r="BH421" s="58"/>
      <c r="BI421" s="58"/>
      <c r="BJ421" s="58"/>
      <c r="BK421" s="58"/>
      <c r="BL421" s="58"/>
      <c r="BM421" s="58"/>
      <c r="BN421" s="58"/>
      <c r="BO421" s="58"/>
      <c r="BP421" s="58"/>
      <c r="BQ421" s="58"/>
      <c r="BR421" s="58"/>
      <c r="BS421" s="58"/>
    </row>
    <row r="422" spans="1:71" ht="15.75" customHeight="1" x14ac:dyDescent="0.2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1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2"/>
      <c r="AR422" s="92"/>
      <c r="AS422" s="92"/>
      <c r="AT422" s="92"/>
      <c r="AU422" s="92"/>
      <c r="AV422" s="92"/>
      <c r="AW422" s="92"/>
      <c r="AX422" s="92"/>
      <c r="AY422" s="92"/>
      <c r="AZ422" s="58"/>
      <c r="BA422" s="58"/>
      <c r="BB422" s="58"/>
      <c r="BC422" s="58"/>
      <c r="BD422" s="58"/>
      <c r="BE422" s="58"/>
      <c r="BF422" s="58"/>
      <c r="BG422" s="58"/>
      <c r="BH422" s="58"/>
      <c r="BI422" s="58"/>
      <c r="BJ422" s="58"/>
      <c r="BK422" s="58"/>
      <c r="BL422" s="58"/>
      <c r="BM422" s="58"/>
      <c r="BN422" s="58"/>
      <c r="BO422" s="58"/>
      <c r="BP422" s="58"/>
      <c r="BQ422" s="58"/>
      <c r="BR422" s="58"/>
      <c r="BS422" s="58"/>
    </row>
    <row r="423" spans="1:71" ht="15.75" customHeight="1" x14ac:dyDescent="0.2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1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0"/>
      <c r="AP423" s="90"/>
      <c r="AQ423" s="92"/>
      <c r="AR423" s="92"/>
      <c r="AS423" s="92"/>
      <c r="AT423" s="92"/>
      <c r="AU423" s="92"/>
      <c r="AV423" s="92"/>
      <c r="AW423" s="92"/>
      <c r="AX423" s="92"/>
      <c r="AY423" s="92"/>
      <c r="AZ423" s="58"/>
      <c r="BA423" s="58"/>
      <c r="BB423" s="58"/>
      <c r="BC423" s="58"/>
      <c r="BD423" s="58"/>
      <c r="BE423" s="58"/>
      <c r="BF423" s="58"/>
      <c r="BG423" s="58"/>
      <c r="BH423" s="58"/>
      <c r="BI423" s="58"/>
      <c r="BJ423" s="58"/>
      <c r="BK423" s="58"/>
      <c r="BL423" s="58"/>
      <c r="BM423" s="58"/>
      <c r="BN423" s="58"/>
      <c r="BO423" s="58"/>
      <c r="BP423" s="58"/>
      <c r="BQ423" s="58"/>
      <c r="BR423" s="58"/>
      <c r="BS423" s="58"/>
    </row>
    <row r="424" spans="1:71" ht="15.75" customHeight="1" x14ac:dyDescent="0.2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1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2"/>
      <c r="AR424" s="92"/>
      <c r="AS424" s="92"/>
      <c r="AT424" s="92"/>
      <c r="AU424" s="92"/>
      <c r="AV424" s="92"/>
      <c r="AW424" s="92"/>
      <c r="AX424" s="92"/>
      <c r="AY424" s="92"/>
      <c r="AZ424" s="58"/>
      <c r="BA424" s="58"/>
      <c r="BB424" s="58"/>
      <c r="BC424" s="58"/>
      <c r="BD424" s="58"/>
      <c r="BE424" s="58"/>
      <c r="BF424" s="58"/>
      <c r="BG424" s="58"/>
      <c r="BH424" s="58"/>
      <c r="BI424" s="58"/>
      <c r="BJ424" s="58"/>
      <c r="BK424" s="58"/>
      <c r="BL424" s="58"/>
      <c r="BM424" s="58"/>
      <c r="BN424" s="58"/>
      <c r="BO424" s="58"/>
      <c r="BP424" s="58"/>
      <c r="BQ424" s="58"/>
      <c r="BR424" s="58"/>
      <c r="BS424" s="58"/>
    </row>
    <row r="425" spans="1:71" ht="15.75" customHeight="1" x14ac:dyDescent="0.2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1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0"/>
      <c r="AP425" s="90"/>
      <c r="AQ425" s="92"/>
      <c r="AR425" s="92"/>
      <c r="AS425" s="92"/>
      <c r="AT425" s="92"/>
      <c r="AU425" s="92"/>
      <c r="AV425" s="92"/>
      <c r="AW425" s="92"/>
      <c r="AX425" s="92"/>
      <c r="AY425" s="92"/>
      <c r="AZ425" s="58"/>
      <c r="BA425" s="58"/>
      <c r="BB425" s="58"/>
      <c r="BC425" s="58"/>
      <c r="BD425" s="58"/>
      <c r="BE425" s="58"/>
      <c r="BF425" s="58"/>
      <c r="BG425" s="58"/>
      <c r="BH425" s="58"/>
      <c r="BI425" s="58"/>
      <c r="BJ425" s="58"/>
      <c r="BK425" s="58"/>
      <c r="BL425" s="58"/>
      <c r="BM425" s="58"/>
      <c r="BN425" s="58"/>
      <c r="BO425" s="58"/>
      <c r="BP425" s="58"/>
      <c r="BQ425" s="58"/>
      <c r="BR425" s="58"/>
      <c r="BS425" s="58"/>
    </row>
    <row r="426" spans="1:71" ht="15.75" customHeight="1" x14ac:dyDescent="0.2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1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2"/>
      <c r="AR426" s="92"/>
      <c r="AS426" s="92"/>
      <c r="AT426" s="92"/>
      <c r="AU426" s="92"/>
      <c r="AV426" s="92"/>
      <c r="AW426" s="92"/>
      <c r="AX426" s="92"/>
      <c r="AY426" s="92"/>
      <c r="AZ426" s="58"/>
      <c r="BA426" s="58"/>
      <c r="BB426" s="58"/>
      <c r="BC426" s="58"/>
      <c r="BD426" s="58"/>
      <c r="BE426" s="58"/>
      <c r="BF426" s="58"/>
      <c r="BG426" s="58"/>
      <c r="BH426" s="58"/>
      <c r="BI426" s="58"/>
      <c r="BJ426" s="58"/>
      <c r="BK426" s="58"/>
      <c r="BL426" s="58"/>
      <c r="BM426" s="58"/>
      <c r="BN426" s="58"/>
      <c r="BO426" s="58"/>
      <c r="BP426" s="58"/>
      <c r="BQ426" s="58"/>
      <c r="BR426" s="58"/>
      <c r="BS426" s="58"/>
    </row>
    <row r="427" spans="1:71" ht="15.75" customHeight="1" x14ac:dyDescent="0.2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1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0"/>
      <c r="AP427" s="90"/>
      <c r="AQ427" s="92"/>
      <c r="AR427" s="92"/>
      <c r="AS427" s="92"/>
      <c r="AT427" s="92"/>
      <c r="AU427" s="92"/>
      <c r="AV427" s="92"/>
      <c r="AW427" s="92"/>
      <c r="AX427" s="92"/>
      <c r="AY427" s="92"/>
      <c r="AZ427" s="58"/>
      <c r="BA427" s="58"/>
      <c r="BB427" s="58"/>
      <c r="BC427" s="58"/>
      <c r="BD427" s="58"/>
      <c r="BE427" s="58"/>
      <c r="BF427" s="58"/>
      <c r="BG427" s="58"/>
      <c r="BH427" s="58"/>
      <c r="BI427" s="58"/>
      <c r="BJ427" s="58"/>
      <c r="BK427" s="58"/>
      <c r="BL427" s="58"/>
      <c r="BM427" s="58"/>
      <c r="BN427" s="58"/>
      <c r="BO427" s="58"/>
      <c r="BP427" s="58"/>
      <c r="BQ427" s="58"/>
      <c r="BR427" s="58"/>
      <c r="BS427" s="58"/>
    </row>
    <row r="428" spans="1:71" ht="15.75" customHeight="1" x14ac:dyDescent="0.2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1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2"/>
      <c r="AR428" s="92"/>
      <c r="AS428" s="92"/>
      <c r="AT428" s="92"/>
      <c r="AU428" s="92"/>
      <c r="AV428" s="92"/>
      <c r="AW428" s="92"/>
      <c r="AX428" s="92"/>
      <c r="AY428" s="92"/>
      <c r="AZ428" s="58"/>
      <c r="BA428" s="58"/>
      <c r="BB428" s="58"/>
      <c r="BC428" s="58"/>
      <c r="BD428" s="58"/>
      <c r="BE428" s="58"/>
      <c r="BF428" s="58"/>
      <c r="BG428" s="58"/>
      <c r="BH428" s="58"/>
      <c r="BI428" s="58"/>
      <c r="BJ428" s="58"/>
      <c r="BK428" s="58"/>
      <c r="BL428" s="58"/>
      <c r="BM428" s="58"/>
      <c r="BN428" s="58"/>
      <c r="BO428" s="58"/>
      <c r="BP428" s="58"/>
      <c r="BQ428" s="58"/>
      <c r="BR428" s="58"/>
      <c r="BS428" s="58"/>
    </row>
    <row r="429" spans="1:71" ht="15.75" customHeight="1" x14ac:dyDescent="0.2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1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0"/>
      <c r="AP429" s="90"/>
      <c r="AQ429" s="92"/>
      <c r="AR429" s="92"/>
      <c r="AS429" s="92"/>
      <c r="AT429" s="92"/>
      <c r="AU429" s="92"/>
      <c r="AV429" s="92"/>
      <c r="AW429" s="92"/>
      <c r="AX429" s="92"/>
      <c r="AY429" s="92"/>
      <c r="AZ429" s="58"/>
      <c r="BA429" s="58"/>
      <c r="BB429" s="58"/>
      <c r="BC429" s="58"/>
      <c r="BD429" s="58"/>
      <c r="BE429" s="58"/>
      <c r="BF429" s="58"/>
      <c r="BG429" s="58"/>
      <c r="BH429" s="58"/>
      <c r="BI429" s="58"/>
      <c r="BJ429" s="58"/>
      <c r="BK429" s="58"/>
      <c r="BL429" s="58"/>
      <c r="BM429" s="58"/>
      <c r="BN429" s="58"/>
      <c r="BO429" s="58"/>
      <c r="BP429" s="58"/>
      <c r="BQ429" s="58"/>
      <c r="BR429" s="58"/>
      <c r="BS429" s="58"/>
    </row>
    <row r="430" spans="1:71" ht="15.75" customHeight="1" x14ac:dyDescent="0.2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1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2"/>
      <c r="AR430" s="92"/>
      <c r="AS430" s="92"/>
      <c r="AT430" s="92"/>
      <c r="AU430" s="92"/>
      <c r="AV430" s="92"/>
      <c r="AW430" s="92"/>
      <c r="AX430" s="92"/>
      <c r="AY430" s="92"/>
      <c r="AZ430" s="58"/>
      <c r="BA430" s="58"/>
      <c r="BB430" s="58"/>
      <c r="BC430" s="58"/>
      <c r="BD430" s="58"/>
      <c r="BE430" s="58"/>
      <c r="BF430" s="58"/>
      <c r="BG430" s="58"/>
      <c r="BH430" s="58"/>
      <c r="BI430" s="58"/>
      <c r="BJ430" s="58"/>
      <c r="BK430" s="58"/>
      <c r="BL430" s="58"/>
      <c r="BM430" s="58"/>
      <c r="BN430" s="58"/>
      <c r="BO430" s="58"/>
      <c r="BP430" s="58"/>
      <c r="BQ430" s="58"/>
      <c r="BR430" s="58"/>
      <c r="BS430" s="58"/>
    </row>
    <row r="431" spans="1:71" ht="15.75" customHeight="1" x14ac:dyDescent="0.2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1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0"/>
      <c r="AP431" s="90"/>
      <c r="AQ431" s="92"/>
      <c r="AR431" s="92"/>
      <c r="AS431" s="92"/>
      <c r="AT431" s="92"/>
      <c r="AU431" s="92"/>
      <c r="AV431" s="92"/>
      <c r="AW431" s="92"/>
      <c r="AX431" s="92"/>
      <c r="AY431" s="92"/>
      <c r="AZ431" s="58"/>
      <c r="BA431" s="58"/>
      <c r="BB431" s="58"/>
      <c r="BC431" s="58"/>
      <c r="BD431" s="58"/>
      <c r="BE431" s="58"/>
      <c r="BF431" s="58"/>
      <c r="BG431" s="58"/>
      <c r="BH431" s="58"/>
      <c r="BI431" s="58"/>
      <c r="BJ431" s="58"/>
      <c r="BK431" s="58"/>
      <c r="BL431" s="58"/>
      <c r="BM431" s="58"/>
      <c r="BN431" s="58"/>
      <c r="BO431" s="58"/>
      <c r="BP431" s="58"/>
      <c r="BQ431" s="58"/>
      <c r="BR431" s="58"/>
      <c r="BS431" s="58"/>
    </row>
    <row r="432" spans="1:71" ht="15.75" customHeight="1" x14ac:dyDescent="0.2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1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2"/>
      <c r="AR432" s="92"/>
      <c r="AS432" s="92"/>
      <c r="AT432" s="92"/>
      <c r="AU432" s="92"/>
      <c r="AV432" s="92"/>
      <c r="AW432" s="92"/>
      <c r="AX432" s="92"/>
      <c r="AY432" s="92"/>
      <c r="AZ432" s="58"/>
      <c r="BA432" s="58"/>
      <c r="BB432" s="58"/>
      <c r="BC432" s="58"/>
      <c r="BD432" s="58"/>
      <c r="BE432" s="58"/>
      <c r="BF432" s="58"/>
      <c r="BG432" s="58"/>
      <c r="BH432" s="58"/>
      <c r="BI432" s="58"/>
      <c r="BJ432" s="58"/>
      <c r="BK432" s="58"/>
      <c r="BL432" s="58"/>
      <c r="BM432" s="58"/>
      <c r="BN432" s="58"/>
      <c r="BO432" s="58"/>
      <c r="BP432" s="58"/>
      <c r="BQ432" s="58"/>
      <c r="BR432" s="58"/>
      <c r="BS432" s="58"/>
    </row>
    <row r="433" spans="1:71" ht="15.75" customHeight="1" x14ac:dyDescent="0.2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1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0"/>
      <c r="AP433" s="90"/>
      <c r="AQ433" s="92"/>
      <c r="AR433" s="92"/>
      <c r="AS433" s="92"/>
      <c r="AT433" s="92"/>
      <c r="AU433" s="92"/>
      <c r="AV433" s="92"/>
      <c r="AW433" s="92"/>
      <c r="AX433" s="92"/>
      <c r="AY433" s="92"/>
      <c r="AZ433" s="58"/>
      <c r="BA433" s="58"/>
      <c r="BB433" s="58"/>
      <c r="BC433" s="58"/>
      <c r="BD433" s="58"/>
      <c r="BE433" s="58"/>
      <c r="BF433" s="58"/>
      <c r="BG433" s="58"/>
      <c r="BH433" s="58"/>
      <c r="BI433" s="58"/>
      <c r="BJ433" s="58"/>
      <c r="BK433" s="58"/>
      <c r="BL433" s="58"/>
      <c r="BM433" s="58"/>
      <c r="BN433" s="58"/>
      <c r="BO433" s="58"/>
      <c r="BP433" s="58"/>
      <c r="BQ433" s="58"/>
      <c r="BR433" s="58"/>
      <c r="BS433" s="58"/>
    </row>
    <row r="434" spans="1:71" ht="15.75" customHeight="1" x14ac:dyDescent="0.2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1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2"/>
      <c r="AR434" s="92"/>
      <c r="AS434" s="92"/>
      <c r="AT434" s="92"/>
      <c r="AU434" s="92"/>
      <c r="AV434" s="92"/>
      <c r="AW434" s="92"/>
      <c r="AX434" s="92"/>
      <c r="AY434" s="92"/>
      <c r="AZ434" s="58"/>
      <c r="BA434" s="58"/>
      <c r="BB434" s="58"/>
      <c r="BC434" s="58"/>
      <c r="BD434" s="58"/>
      <c r="BE434" s="58"/>
      <c r="BF434" s="58"/>
      <c r="BG434" s="58"/>
      <c r="BH434" s="58"/>
      <c r="BI434" s="58"/>
      <c r="BJ434" s="58"/>
      <c r="BK434" s="58"/>
      <c r="BL434" s="58"/>
      <c r="BM434" s="58"/>
      <c r="BN434" s="58"/>
      <c r="BO434" s="58"/>
      <c r="BP434" s="58"/>
      <c r="BQ434" s="58"/>
      <c r="BR434" s="58"/>
      <c r="BS434" s="58"/>
    </row>
    <row r="435" spans="1:71" ht="15.75" customHeight="1" x14ac:dyDescent="0.2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1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0"/>
      <c r="AP435" s="90"/>
      <c r="AQ435" s="92"/>
      <c r="AR435" s="92"/>
      <c r="AS435" s="92"/>
      <c r="AT435" s="92"/>
      <c r="AU435" s="92"/>
      <c r="AV435" s="92"/>
      <c r="AW435" s="92"/>
      <c r="AX435" s="92"/>
      <c r="AY435" s="92"/>
      <c r="AZ435" s="58"/>
      <c r="BA435" s="58"/>
      <c r="BB435" s="58"/>
      <c r="BC435" s="58"/>
      <c r="BD435" s="58"/>
      <c r="BE435" s="58"/>
      <c r="BF435" s="58"/>
      <c r="BG435" s="58"/>
      <c r="BH435" s="58"/>
      <c r="BI435" s="58"/>
      <c r="BJ435" s="58"/>
      <c r="BK435" s="58"/>
      <c r="BL435" s="58"/>
      <c r="BM435" s="58"/>
      <c r="BN435" s="58"/>
      <c r="BO435" s="58"/>
      <c r="BP435" s="58"/>
      <c r="BQ435" s="58"/>
      <c r="BR435" s="58"/>
      <c r="BS435" s="58"/>
    </row>
    <row r="436" spans="1:71" ht="15.75" customHeight="1" x14ac:dyDescent="0.2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1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2"/>
      <c r="AR436" s="92"/>
      <c r="AS436" s="92"/>
      <c r="AT436" s="92"/>
      <c r="AU436" s="92"/>
      <c r="AV436" s="92"/>
      <c r="AW436" s="92"/>
      <c r="AX436" s="92"/>
      <c r="AY436" s="92"/>
      <c r="AZ436" s="58"/>
      <c r="BA436" s="58"/>
      <c r="BB436" s="58"/>
      <c r="BC436" s="58"/>
      <c r="BD436" s="58"/>
      <c r="BE436" s="58"/>
      <c r="BF436" s="58"/>
      <c r="BG436" s="58"/>
      <c r="BH436" s="58"/>
      <c r="BI436" s="58"/>
      <c r="BJ436" s="58"/>
      <c r="BK436" s="58"/>
      <c r="BL436" s="58"/>
      <c r="BM436" s="58"/>
      <c r="BN436" s="58"/>
      <c r="BO436" s="58"/>
      <c r="BP436" s="58"/>
      <c r="BQ436" s="58"/>
      <c r="BR436" s="58"/>
      <c r="BS436" s="58"/>
    </row>
    <row r="437" spans="1:71" ht="15.75" customHeight="1" x14ac:dyDescent="0.2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1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0"/>
      <c r="AP437" s="90"/>
      <c r="AQ437" s="92"/>
      <c r="AR437" s="92"/>
      <c r="AS437" s="92"/>
      <c r="AT437" s="92"/>
      <c r="AU437" s="92"/>
      <c r="AV437" s="92"/>
      <c r="AW437" s="92"/>
      <c r="AX437" s="92"/>
      <c r="AY437" s="92"/>
      <c r="AZ437" s="58"/>
      <c r="BA437" s="58"/>
      <c r="BB437" s="58"/>
      <c r="BC437" s="58"/>
      <c r="BD437" s="58"/>
      <c r="BE437" s="58"/>
      <c r="BF437" s="58"/>
      <c r="BG437" s="58"/>
      <c r="BH437" s="58"/>
      <c r="BI437" s="58"/>
      <c r="BJ437" s="58"/>
      <c r="BK437" s="58"/>
      <c r="BL437" s="58"/>
      <c r="BM437" s="58"/>
      <c r="BN437" s="58"/>
      <c r="BO437" s="58"/>
      <c r="BP437" s="58"/>
      <c r="BQ437" s="58"/>
      <c r="BR437" s="58"/>
      <c r="BS437" s="58"/>
    </row>
    <row r="438" spans="1:71" ht="15.75" customHeight="1" x14ac:dyDescent="0.2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1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2"/>
      <c r="AR438" s="92"/>
      <c r="AS438" s="92"/>
      <c r="AT438" s="92"/>
      <c r="AU438" s="92"/>
      <c r="AV438" s="92"/>
      <c r="AW438" s="92"/>
      <c r="AX438" s="92"/>
      <c r="AY438" s="92"/>
      <c r="AZ438" s="58"/>
      <c r="BA438" s="58"/>
      <c r="BB438" s="58"/>
      <c r="BC438" s="58"/>
      <c r="BD438" s="58"/>
      <c r="BE438" s="58"/>
      <c r="BF438" s="58"/>
      <c r="BG438" s="58"/>
      <c r="BH438" s="58"/>
      <c r="BI438" s="58"/>
      <c r="BJ438" s="58"/>
      <c r="BK438" s="58"/>
      <c r="BL438" s="58"/>
      <c r="BM438" s="58"/>
      <c r="BN438" s="58"/>
      <c r="BO438" s="58"/>
      <c r="BP438" s="58"/>
      <c r="BQ438" s="58"/>
      <c r="BR438" s="58"/>
      <c r="BS438" s="58"/>
    </row>
    <row r="439" spans="1:71" ht="15.75" customHeight="1" x14ac:dyDescent="0.2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1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0"/>
      <c r="AP439" s="90"/>
      <c r="AQ439" s="92"/>
      <c r="AR439" s="92"/>
      <c r="AS439" s="92"/>
      <c r="AT439" s="92"/>
      <c r="AU439" s="92"/>
      <c r="AV439" s="92"/>
      <c r="AW439" s="92"/>
      <c r="AX439" s="92"/>
      <c r="AY439" s="92"/>
      <c r="AZ439" s="58"/>
      <c r="BA439" s="58"/>
      <c r="BB439" s="58"/>
      <c r="BC439" s="58"/>
      <c r="BD439" s="58"/>
      <c r="BE439" s="58"/>
      <c r="BF439" s="58"/>
      <c r="BG439" s="58"/>
      <c r="BH439" s="58"/>
      <c r="BI439" s="58"/>
      <c r="BJ439" s="58"/>
      <c r="BK439" s="58"/>
      <c r="BL439" s="58"/>
      <c r="BM439" s="58"/>
      <c r="BN439" s="58"/>
      <c r="BO439" s="58"/>
      <c r="BP439" s="58"/>
      <c r="BQ439" s="58"/>
      <c r="BR439" s="58"/>
      <c r="BS439" s="58"/>
    </row>
    <row r="440" spans="1:71" ht="15.75" customHeight="1" x14ac:dyDescent="0.2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1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2"/>
      <c r="AR440" s="92"/>
      <c r="AS440" s="92"/>
      <c r="AT440" s="92"/>
      <c r="AU440" s="92"/>
      <c r="AV440" s="92"/>
      <c r="AW440" s="92"/>
      <c r="AX440" s="92"/>
      <c r="AY440" s="92"/>
      <c r="AZ440" s="58"/>
      <c r="BA440" s="58"/>
      <c r="BB440" s="58"/>
      <c r="BC440" s="58"/>
      <c r="BD440" s="58"/>
      <c r="BE440" s="58"/>
      <c r="BF440" s="58"/>
      <c r="BG440" s="58"/>
      <c r="BH440" s="58"/>
      <c r="BI440" s="58"/>
      <c r="BJ440" s="58"/>
      <c r="BK440" s="58"/>
      <c r="BL440" s="58"/>
      <c r="BM440" s="58"/>
      <c r="BN440" s="58"/>
      <c r="BO440" s="58"/>
      <c r="BP440" s="58"/>
      <c r="BQ440" s="58"/>
      <c r="BR440" s="58"/>
      <c r="BS440" s="58"/>
    </row>
    <row r="441" spans="1:71" ht="15.75" customHeight="1" x14ac:dyDescent="0.2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1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0"/>
      <c r="AP441" s="90"/>
      <c r="AQ441" s="92"/>
      <c r="AR441" s="92"/>
      <c r="AS441" s="92"/>
      <c r="AT441" s="92"/>
      <c r="AU441" s="92"/>
      <c r="AV441" s="92"/>
      <c r="AW441" s="92"/>
      <c r="AX441" s="92"/>
      <c r="AY441" s="92"/>
      <c r="AZ441" s="58"/>
      <c r="BA441" s="58"/>
      <c r="BB441" s="58"/>
      <c r="BC441" s="58"/>
      <c r="BD441" s="58"/>
      <c r="BE441" s="58"/>
      <c r="BF441" s="58"/>
      <c r="BG441" s="58"/>
      <c r="BH441" s="58"/>
      <c r="BI441" s="58"/>
      <c r="BJ441" s="58"/>
      <c r="BK441" s="58"/>
      <c r="BL441" s="58"/>
      <c r="BM441" s="58"/>
      <c r="BN441" s="58"/>
      <c r="BO441" s="58"/>
      <c r="BP441" s="58"/>
      <c r="BQ441" s="58"/>
      <c r="BR441" s="58"/>
      <c r="BS441" s="58"/>
    </row>
    <row r="442" spans="1:71" ht="15.75" customHeight="1" x14ac:dyDescent="0.2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1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2"/>
      <c r="AR442" s="92"/>
      <c r="AS442" s="92"/>
      <c r="AT442" s="92"/>
      <c r="AU442" s="92"/>
      <c r="AV442" s="92"/>
      <c r="AW442" s="92"/>
      <c r="AX442" s="92"/>
      <c r="AY442" s="92"/>
      <c r="AZ442" s="58"/>
      <c r="BA442" s="58"/>
      <c r="BB442" s="58"/>
      <c r="BC442" s="58"/>
      <c r="BD442" s="58"/>
      <c r="BE442" s="58"/>
      <c r="BF442" s="58"/>
      <c r="BG442" s="58"/>
      <c r="BH442" s="58"/>
      <c r="BI442" s="58"/>
      <c r="BJ442" s="58"/>
      <c r="BK442" s="58"/>
      <c r="BL442" s="58"/>
      <c r="BM442" s="58"/>
      <c r="BN442" s="58"/>
      <c r="BO442" s="58"/>
      <c r="BP442" s="58"/>
      <c r="BQ442" s="58"/>
      <c r="BR442" s="58"/>
      <c r="BS442" s="58"/>
    </row>
    <row r="443" spans="1:71" ht="15.75" customHeight="1" x14ac:dyDescent="0.2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1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0"/>
      <c r="AP443" s="90"/>
      <c r="AQ443" s="92"/>
      <c r="AR443" s="92"/>
      <c r="AS443" s="92"/>
      <c r="AT443" s="92"/>
      <c r="AU443" s="92"/>
      <c r="AV443" s="92"/>
      <c r="AW443" s="92"/>
      <c r="AX443" s="92"/>
      <c r="AY443" s="92"/>
      <c r="AZ443" s="58"/>
      <c r="BA443" s="58"/>
      <c r="BB443" s="58"/>
      <c r="BC443" s="58"/>
      <c r="BD443" s="58"/>
      <c r="BE443" s="58"/>
      <c r="BF443" s="58"/>
      <c r="BG443" s="58"/>
      <c r="BH443" s="58"/>
      <c r="BI443" s="58"/>
      <c r="BJ443" s="58"/>
      <c r="BK443" s="58"/>
      <c r="BL443" s="58"/>
      <c r="BM443" s="58"/>
      <c r="BN443" s="58"/>
      <c r="BO443" s="58"/>
      <c r="BP443" s="58"/>
      <c r="BQ443" s="58"/>
      <c r="BR443" s="58"/>
      <c r="BS443" s="58"/>
    </row>
    <row r="444" spans="1:71" ht="15.75" customHeight="1" x14ac:dyDescent="0.2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1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2"/>
      <c r="AR444" s="92"/>
      <c r="AS444" s="92"/>
      <c r="AT444" s="92"/>
      <c r="AU444" s="92"/>
      <c r="AV444" s="92"/>
      <c r="AW444" s="92"/>
      <c r="AX444" s="92"/>
      <c r="AY444" s="92"/>
      <c r="AZ444" s="58"/>
      <c r="BA444" s="58"/>
      <c r="BB444" s="58"/>
      <c r="BC444" s="58"/>
      <c r="BD444" s="58"/>
      <c r="BE444" s="58"/>
      <c r="BF444" s="58"/>
      <c r="BG444" s="58"/>
      <c r="BH444" s="58"/>
      <c r="BI444" s="58"/>
      <c r="BJ444" s="58"/>
      <c r="BK444" s="58"/>
      <c r="BL444" s="58"/>
      <c r="BM444" s="58"/>
      <c r="BN444" s="58"/>
      <c r="BO444" s="58"/>
      <c r="BP444" s="58"/>
      <c r="BQ444" s="58"/>
      <c r="BR444" s="58"/>
      <c r="BS444" s="58"/>
    </row>
    <row r="445" spans="1:71" ht="15.75" customHeight="1" x14ac:dyDescent="0.2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1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  <c r="AP445" s="90"/>
      <c r="AQ445" s="92"/>
      <c r="AR445" s="92"/>
      <c r="AS445" s="92"/>
      <c r="AT445" s="92"/>
      <c r="AU445" s="92"/>
      <c r="AV445" s="92"/>
      <c r="AW445" s="92"/>
      <c r="AX445" s="92"/>
      <c r="AY445" s="92"/>
      <c r="AZ445" s="58"/>
      <c r="BA445" s="58"/>
      <c r="BB445" s="58"/>
      <c r="BC445" s="58"/>
      <c r="BD445" s="58"/>
      <c r="BE445" s="58"/>
      <c r="BF445" s="58"/>
      <c r="BG445" s="58"/>
      <c r="BH445" s="58"/>
      <c r="BI445" s="58"/>
      <c r="BJ445" s="58"/>
      <c r="BK445" s="58"/>
      <c r="BL445" s="58"/>
      <c r="BM445" s="58"/>
      <c r="BN445" s="58"/>
      <c r="BO445" s="58"/>
      <c r="BP445" s="58"/>
      <c r="BQ445" s="58"/>
      <c r="BR445" s="58"/>
      <c r="BS445" s="58"/>
    </row>
    <row r="446" spans="1:71" ht="15.75" customHeight="1" x14ac:dyDescent="0.2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1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2"/>
      <c r="AR446" s="92"/>
      <c r="AS446" s="92"/>
      <c r="AT446" s="92"/>
      <c r="AU446" s="92"/>
      <c r="AV446" s="92"/>
      <c r="AW446" s="92"/>
      <c r="AX446" s="92"/>
      <c r="AY446" s="92"/>
      <c r="AZ446" s="58"/>
      <c r="BA446" s="58"/>
      <c r="BB446" s="58"/>
      <c r="BC446" s="58"/>
      <c r="BD446" s="58"/>
      <c r="BE446" s="58"/>
      <c r="BF446" s="58"/>
      <c r="BG446" s="58"/>
      <c r="BH446" s="58"/>
      <c r="BI446" s="58"/>
      <c r="BJ446" s="58"/>
      <c r="BK446" s="58"/>
      <c r="BL446" s="58"/>
      <c r="BM446" s="58"/>
      <c r="BN446" s="58"/>
      <c r="BO446" s="58"/>
      <c r="BP446" s="58"/>
      <c r="BQ446" s="58"/>
      <c r="BR446" s="58"/>
      <c r="BS446" s="58"/>
    </row>
    <row r="447" spans="1:71" ht="15.75" customHeight="1" x14ac:dyDescent="0.2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1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0"/>
      <c r="AP447" s="90"/>
      <c r="AQ447" s="92"/>
      <c r="AR447" s="92"/>
      <c r="AS447" s="92"/>
      <c r="AT447" s="92"/>
      <c r="AU447" s="92"/>
      <c r="AV447" s="92"/>
      <c r="AW447" s="92"/>
      <c r="AX447" s="92"/>
      <c r="AY447" s="92"/>
      <c r="AZ447" s="58"/>
      <c r="BA447" s="58"/>
      <c r="BB447" s="58"/>
      <c r="BC447" s="58"/>
      <c r="BD447" s="58"/>
      <c r="BE447" s="58"/>
      <c r="BF447" s="58"/>
      <c r="BG447" s="58"/>
      <c r="BH447" s="58"/>
      <c r="BI447" s="58"/>
      <c r="BJ447" s="58"/>
      <c r="BK447" s="58"/>
      <c r="BL447" s="58"/>
      <c r="BM447" s="58"/>
      <c r="BN447" s="58"/>
      <c r="BO447" s="58"/>
      <c r="BP447" s="58"/>
      <c r="BQ447" s="58"/>
      <c r="BR447" s="58"/>
      <c r="BS447" s="58"/>
    </row>
    <row r="448" spans="1:71" ht="15.75" customHeight="1" x14ac:dyDescent="0.2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1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2"/>
      <c r="AR448" s="92"/>
      <c r="AS448" s="92"/>
      <c r="AT448" s="92"/>
      <c r="AU448" s="92"/>
      <c r="AV448" s="92"/>
      <c r="AW448" s="92"/>
      <c r="AX448" s="92"/>
      <c r="AY448" s="92"/>
      <c r="AZ448" s="58"/>
      <c r="BA448" s="58"/>
      <c r="BB448" s="58"/>
      <c r="BC448" s="58"/>
      <c r="BD448" s="58"/>
      <c r="BE448" s="58"/>
      <c r="BF448" s="58"/>
      <c r="BG448" s="58"/>
      <c r="BH448" s="58"/>
      <c r="BI448" s="58"/>
      <c r="BJ448" s="58"/>
      <c r="BK448" s="58"/>
      <c r="BL448" s="58"/>
      <c r="BM448" s="58"/>
      <c r="BN448" s="58"/>
      <c r="BO448" s="58"/>
      <c r="BP448" s="58"/>
      <c r="BQ448" s="58"/>
      <c r="BR448" s="58"/>
      <c r="BS448" s="58"/>
    </row>
    <row r="449" spans="1:71" ht="15.75" customHeight="1" x14ac:dyDescent="0.2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1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  <c r="AP449" s="90"/>
      <c r="AQ449" s="92"/>
      <c r="AR449" s="92"/>
      <c r="AS449" s="92"/>
      <c r="AT449" s="92"/>
      <c r="AU449" s="92"/>
      <c r="AV449" s="92"/>
      <c r="AW449" s="92"/>
      <c r="AX449" s="92"/>
      <c r="AY449" s="92"/>
      <c r="AZ449" s="58"/>
      <c r="BA449" s="58"/>
      <c r="BB449" s="58"/>
      <c r="BC449" s="58"/>
      <c r="BD449" s="58"/>
      <c r="BE449" s="58"/>
      <c r="BF449" s="58"/>
      <c r="BG449" s="58"/>
      <c r="BH449" s="58"/>
      <c r="BI449" s="58"/>
      <c r="BJ449" s="58"/>
      <c r="BK449" s="58"/>
      <c r="BL449" s="58"/>
      <c r="BM449" s="58"/>
      <c r="BN449" s="58"/>
      <c r="BO449" s="58"/>
      <c r="BP449" s="58"/>
      <c r="BQ449" s="58"/>
      <c r="BR449" s="58"/>
      <c r="BS449" s="58"/>
    </row>
    <row r="450" spans="1:71" ht="15.75" customHeight="1" x14ac:dyDescent="0.2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1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2"/>
      <c r="AR450" s="92"/>
      <c r="AS450" s="92"/>
      <c r="AT450" s="92"/>
      <c r="AU450" s="92"/>
      <c r="AV450" s="92"/>
      <c r="AW450" s="92"/>
      <c r="AX450" s="92"/>
      <c r="AY450" s="92"/>
      <c r="AZ450" s="58"/>
      <c r="BA450" s="58"/>
      <c r="BB450" s="58"/>
      <c r="BC450" s="58"/>
      <c r="BD450" s="58"/>
      <c r="BE450" s="58"/>
      <c r="BF450" s="58"/>
      <c r="BG450" s="58"/>
      <c r="BH450" s="58"/>
      <c r="BI450" s="58"/>
      <c r="BJ450" s="58"/>
      <c r="BK450" s="58"/>
      <c r="BL450" s="58"/>
      <c r="BM450" s="58"/>
      <c r="BN450" s="58"/>
      <c r="BO450" s="58"/>
      <c r="BP450" s="58"/>
      <c r="BQ450" s="58"/>
      <c r="BR450" s="58"/>
      <c r="BS450" s="58"/>
    </row>
    <row r="451" spans="1:71" ht="15.75" customHeight="1" x14ac:dyDescent="0.2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1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  <c r="AP451" s="90"/>
      <c r="AQ451" s="92"/>
      <c r="AR451" s="92"/>
      <c r="AS451" s="92"/>
      <c r="AT451" s="92"/>
      <c r="AU451" s="92"/>
      <c r="AV451" s="92"/>
      <c r="AW451" s="92"/>
      <c r="AX451" s="92"/>
      <c r="AY451" s="92"/>
      <c r="AZ451" s="58"/>
      <c r="BA451" s="58"/>
      <c r="BB451" s="58"/>
      <c r="BC451" s="58"/>
      <c r="BD451" s="58"/>
      <c r="BE451" s="58"/>
      <c r="BF451" s="58"/>
      <c r="BG451" s="58"/>
      <c r="BH451" s="58"/>
      <c r="BI451" s="58"/>
      <c r="BJ451" s="58"/>
      <c r="BK451" s="58"/>
      <c r="BL451" s="58"/>
      <c r="BM451" s="58"/>
      <c r="BN451" s="58"/>
      <c r="BO451" s="58"/>
      <c r="BP451" s="58"/>
      <c r="BQ451" s="58"/>
      <c r="BR451" s="58"/>
      <c r="BS451" s="58"/>
    </row>
    <row r="452" spans="1:71" ht="15.75" customHeight="1" x14ac:dyDescent="0.2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1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2"/>
      <c r="AR452" s="92"/>
      <c r="AS452" s="92"/>
      <c r="AT452" s="92"/>
      <c r="AU452" s="92"/>
      <c r="AV452" s="92"/>
      <c r="AW452" s="92"/>
      <c r="AX452" s="92"/>
      <c r="AY452" s="92"/>
      <c r="AZ452" s="58"/>
      <c r="BA452" s="58"/>
      <c r="BB452" s="58"/>
      <c r="BC452" s="58"/>
      <c r="BD452" s="58"/>
      <c r="BE452" s="58"/>
      <c r="BF452" s="58"/>
      <c r="BG452" s="58"/>
      <c r="BH452" s="58"/>
      <c r="BI452" s="58"/>
      <c r="BJ452" s="58"/>
      <c r="BK452" s="58"/>
      <c r="BL452" s="58"/>
      <c r="BM452" s="58"/>
      <c r="BN452" s="58"/>
      <c r="BO452" s="58"/>
      <c r="BP452" s="58"/>
      <c r="BQ452" s="58"/>
      <c r="BR452" s="58"/>
      <c r="BS452" s="58"/>
    </row>
    <row r="453" spans="1:71" ht="15.75" customHeight="1" x14ac:dyDescent="0.2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1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  <c r="AP453" s="90"/>
      <c r="AQ453" s="92"/>
      <c r="AR453" s="92"/>
      <c r="AS453" s="92"/>
      <c r="AT453" s="92"/>
      <c r="AU453" s="92"/>
      <c r="AV453" s="92"/>
      <c r="AW453" s="92"/>
      <c r="AX453" s="92"/>
      <c r="AY453" s="92"/>
      <c r="AZ453" s="58"/>
      <c r="BA453" s="58"/>
      <c r="BB453" s="58"/>
      <c r="BC453" s="58"/>
      <c r="BD453" s="58"/>
      <c r="BE453" s="58"/>
      <c r="BF453" s="58"/>
      <c r="BG453" s="58"/>
      <c r="BH453" s="58"/>
      <c r="BI453" s="58"/>
      <c r="BJ453" s="58"/>
      <c r="BK453" s="58"/>
      <c r="BL453" s="58"/>
      <c r="BM453" s="58"/>
      <c r="BN453" s="58"/>
      <c r="BO453" s="58"/>
      <c r="BP453" s="58"/>
      <c r="BQ453" s="58"/>
      <c r="BR453" s="58"/>
      <c r="BS453" s="58"/>
    </row>
    <row r="454" spans="1:71" ht="15.75" customHeight="1" x14ac:dyDescent="0.2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1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2"/>
      <c r="AR454" s="92"/>
      <c r="AS454" s="92"/>
      <c r="AT454" s="92"/>
      <c r="AU454" s="92"/>
      <c r="AV454" s="92"/>
      <c r="AW454" s="92"/>
      <c r="AX454" s="92"/>
      <c r="AY454" s="92"/>
      <c r="AZ454" s="58"/>
      <c r="BA454" s="58"/>
      <c r="BB454" s="58"/>
      <c r="BC454" s="58"/>
      <c r="BD454" s="58"/>
      <c r="BE454" s="58"/>
      <c r="BF454" s="58"/>
      <c r="BG454" s="58"/>
      <c r="BH454" s="58"/>
      <c r="BI454" s="58"/>
      <c r="BJ454" s="58"/>
      <c r="BK454" s="58"/>
      <c r="BL454" s="58"/>
      <c r="BM454" s="58"/>
      <c r="BN454" s="58"/>
      <c r="BO454" s="58"/>
      <c r="BP454" s="58"/>
      <c r="BQ454" s="58"/>
      <c r="BR454" s="58"/>
      <c r="BS454" s="58"/>
    </row>
    <row r="455" spans="1:71" ht="15.75" customHeight="1" x14ac:dyDescent="0.2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1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0"/>
      <c r="AP455" s="90"/>
      <c r="AQ455" s="92"/>
      <c r="AR455" s="92"/>
      <c r="AS455" s="92"/>
      <c r="AT455" s="92"/>
      <c r="AU455" s="92"/>
      <c r="AV455" s="92"/>
      <c r="AW455" s="92"/>
      <c r="AX455" s="92"/>
      <c r="AY455" s="92"/>
      <c r="AZ455" s="58"/>
      <c r="BA455" s="58"/>
      <c r="BB455" s="58"/>
      <c r="BC455" s="58"/>
      <c r="BD455" s="58"/>
      <c r="BE455" s="58"/>
      <c r="BF455" s="58"/>
      <c r="BG455" s="58"/>
      <c r="BH455" s="58"/>
      <c r="BI455" s="58"/>
      <c r="BJ455" s="58"/>
      <c r="BK455" s="58"/>
      <c r="BL455" s="58"/>
      <c r="BM455" s="58"/>
      <c r="BN455" s="58"/>
      <c r="BO455" s="58"/>
      <c r="BP455" s="58"/>
      <c r="BQ455" s="58"/>
      <c r="BR455" s="58"/>
      <c r="BS455" s="58"/>
    </row>
    <row r="456" spans="1:71" ht="15.75" customHeight="1" x14ac:dyDescent="0.2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1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2"/>
      <c r="AR456" s="92"/>
      <c r="AS456" s="92"/>
      <c r="AT456" s="92"/>
      <c r="AU456" s="92"/>
      <c r="AV456" s="92"/>
      <c r="AW456" s="92"/>
      <c r="AX456" s="92"/>
      <c r="AY456" s="92"/>
      <c r="AZ456" s="58"/>
      <c r="BA456" s="58"/>
      <c r="BB456" s="58"/>
      <c r="BC456" s="58"/>
      <c r="BD456" s="58"/>
      <c r="BE456" s="58"/>
      <c r="BF456" s="58"/>
      <c r="BG456" s="58"/>
      <c r="BH456" s="58"/>
      <c r="BI456" s="58"/>
      <c r="BJ456" s="58"/>
      <c r="BK456" s="58"/>
      <c r="BL456" s="58"/>
      <c r="BM456" s="58"/>
      <c r="BN456" s="58"/>
      <c r="BO456" s="58"/>
      <c r="BP456" s="58"/>
      <c r="BQ456" s="58"/>
      <c r="BR456" s="58"/>
      <c r="BS456" s="58"/>
    </row>
    <row r="457" spans="1:71" ht="15.75" customHeight="1" x14ac:dyDescent="0.2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1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  <c r="AQ457" s="92"/>
      <c r="AR457" s="92"/>
      <c r="AS457" s="92"/>
      <c r="AT457" s="92"/>
      <c r="AU457" s="92"/>
      <c r="AV457" s="92"/>
      <c r="AW457" s="92"/>
      <c r="AX457" s="92"/>
      <c r="AY457" s="92"/>
      <c r="AZ457" s="58"/>
      <c r="BA457" s="58"/>
      <c r="BB457" s="58"/>
      <c r="BC457" s="58"/>
      <c r="BD457" s="58"/>
      <c r="BE457" s="58"/>
      <c r="BF457" s="58"/>
      <c r="BG457" s="58"/>
      <c r="BH457" s="58"/>
      <c r="BI457" s="58"/>
      <c r="BJ457" s="58"/>
      <c r="BK457" s="58"/>
      <c r="BL457" s="58"/>
      <c r="BM457" s="58"/>
      <c r="BN457" s="58"/>
      <c r="BO457" s="58"/>
      <c r="BP457" s="58"/>
      <c r="BQ457" s="58"/>
      <c r="BR457" s="58"/>
      <c r="BS457" s="58"/>
    </row>
    <row r="458" spans="1:71" ht="15.75" customHeight="1" x14ac:dyDescent="0.2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1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2"/>
      <c r="AR458" s="92"/>
      <c r="AS458" s="92"/>
      <c r="AT458" s="92"/>
      <c r="AU458" s="92"/>
      <c r="AV458" s="92"/>
      <c r="AW458" s="92"/>
      <c r="AX458" s="92"/>
      <c r="AY458" s="92"/>
      <c r="AZ458" s="58"/>
      <c r="BA458" s="58"/>
      <c r="BB458" s="58"/>
      <c r="BC458" s="58"/>
      <c r="BD458" s="58"/>
      <c r="BE458" s="58"/>
      <c r="BF458" s="58"/>
      <c r="BG458" s="58"/>
      <c r="BH458" s="58"/>
      <c r="BI458" s="58"/>
      <c r="BJ458" s="58"/>
      <c r="BK458" s="58"/>
      <c r="BL458" s="58"/>
      <c r="BM458" s="58"/>
      <c r="BN458" s="58"/>
      <c r="BO458" s="58"/>
      <c r="BP458" s="58"/>
      <c r="BQ458" s="58"/>
      <c r="BR458" s="58"/>
      <c r="BS458" s="58"/>
    </row>
    <row r="459" spans="1:71" ht="15.75" customHeight="1" x14ac:dyDescent="0.2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1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0"/>
      <c r="AP459" s="90"/>
      <c r="AQ459" s="92"/>
      <c r="AR459" s="92"/>
      <c r="AS459" s="92"/>
      <c r="AT459" s="92"/>
      <c r="AU459" s="92"/>
      <c r="AV459" s="92"/>
      <c r="AW459" s="92"/>
      <c r="AX459" s="92"/>
      <c r="AY459" s="92"/>
      <c r="AZ459" s="58"/>
      <c r="BA459" s="58"/>
      <c r="BB459" s="58"/>
      <c r="BC459" s="58"/>
      <c r="BD459" s="58"/>
      <c r="BE459" s="58"/>
      <c r="BF459" s="58"/>
      <c r="BG459" s="58"/>
      <c r="BH459" s="58"/>
      <c r="BI459" s="58"/>
      <c r="BJ459" s="58"/>
      <c r="BK459" s="58"/>
      <c r="BL459" s="58"/>
      <c r="BM459" s="58"/>
      <c r="BN459" s="58"/>
      <c r="BO459" s="58"/>
      <c r="BP459" s="58"/>
      <c r="BQ459" s="58"/>
      <c r="BR459" s="58"/>
      <c r="BS459" s="58"/>
    </row>
    <row r="460" spans="1:71" ht="15.75" customHeight="1" x14ac:dyDescent="0.2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1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2"/>
      <c r="AR460" s="92"/>
      <c r="AS460" s="92"/>
      <c r="AT460" s="92"/>
      <c r="AU460" s="92"/>
      <c r="AV460" s="92"/>
      <c r="AW460" s="92"/>
      <c r="AX460" s="92"/>
      <c r="AY460" s="92"/>
      <c r="AZ460" s="58"/>
      <c r="BA460" s="58"/>
      <c r="BB460" s="58"/>
      <c r="BC460" s="58"/>
      <c r="BD460" s="58"/>
      <c r="BE460" s="58"/>
      <c r="BF460" s="58"/>
      <c r="BG460" s="58"/>
      <c r="BH460" s="58"/>
      <c r="BI460" s="58"/>
      <c r="BJ460" s="58"/>
      <c r="BK460" s="58"/>
      <c r="BL460" s="58"/>
      <c r="BM460" s="58"/>
      <c r="BN460" s="58"/>
      <c r="BO460" s="58"/>
      <c r="BP460" s="58"/>
      <c r="BQ460" s="58"/>
      <c r="BR460" s="58"/>
      <c r="BS460" s="58"/>
    </row>
    <row r="461" spans="1:71" ht="15.75" customHeight="1" x14ac:dyDescent="0.2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1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0"/>
      <c r="AP461" s="90"/>
      <c r="AQ461" s="92"/>
      <c r="AR461" s="92"/>
      <c r="AS461" s="92"/>
      <c r="AT461" s="92"/>
      <c r="AU461" s="92"/>
      <c r="AV461" s="92"/>
      <c r="AW461" s="92"/>
      <c r="AX461" s="92"/>
      <c r="AY461" s="92"/>
      <c r="AZ461" s="58"/>
      <c r="BA461" s="58"/>
      <c r="BB461" s="58"/>
      <c r="BC461" s="58"/>
      <c r="BD461" s="58"/>
      <c r="BE461" s="58"/>
      <c r="BF461" s="58"/>
      <c r="BG461" s="58"/>
      <c r="BH461" s="58"/>
      <c r="BI461" s="58"/>
      <c r="BJ461" s="58"/>
      <c r="BK461" s="58"/>
      <c r="BL461" s="58"/>
      <c r="BM461" s="58"/>
      <c r="BN461" s="58"/>
      <c r="BO461" s="58"/>
      <c r="BP461" s="58"/>
      <c r="BQ461" s="58"/>
      <c r="BR461" s="58"/>
      <c r="BS461" s="58"/>
    </row>
    <row r="462" spans="1:71" ht="15.75" customHeight="1" x14ac:dyDescent="0.2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1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2"/>
      <c r="AR462" s="92"/>
      <c r="AS462" s="92"/>
      <c r="AT462" s="92"/>
      <c r="AU462" s="92"/>
      <c r="AV462" s="92"/>
      <c r="AW462" s="92"/>
      <c r="AX462" s="92"/>
      <c r="AY462" s="92"/>
      <c r="AZ462" s="58"/>
      <c r="BA462" s="58"/>
      <c r="BB462" s="58"/>
      <c r="BC462" s="58"/>
      <c r="BD462" s="58"/>
      <c r="BE462" s="58"/>
      <c r="BF462" s="58"/>
      <c r="BG462" s="58"/>
      <c r="BH462" s="58"/>
      <c r="BI462" s="58"/>
      <c r="BJ462" s="58"/>
      <c r="BK462" s="58"/>
      <c r="BL462" s="58"/>
      <c r="BM462" s="58"/>
      <c r="BN462" s="58"/>
      <c r="BO462" s="58"/>
      <c r="BP462" s="58"/>
      <c r="BQ462" s="58"/>
      <c r="BR462" s="58"/>
      <c r="BS462" s="58"/>
    </row>
    <row r="463" spans="1:71" ht="15.75" customHeight="1" x14ac:dyDescent="0.2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1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0"/>
      <c r="AP463" s="90"/>
      <c r="AQ463" s="92"/>
      <c r="AR463" s="92"/>
      <c r="AS463" s="92"/>
      <c r="AT463" s="92"/>
      <c r="AU463" s="92"/>
      <c r="AV463" s="92"/>
      <c r="AW463" s="92"/>
      <c r="AX463" s="92"/>
      <c r="AY463" s="92"/>
      <c r="AZ463" s="58"/>
      <c r="BA463" s="58"/>
      <c r="BB463" s="58"/>
      <c r="BC463" s="58"/>
      <c r="BD463" s="58"/>
      <c r="BE463" s="58"/>
      <c r="BF463" s="58"/>
      <c r="BG463" s="58"/>
      <c r="BH463" s="58"/>
      <c r="BI463" s="58"/>
      <c r="BJ463" s="58"/>
      <c r="BK463" s="58"/>
      <c r="BL463" s="58"/>
      <c r="BM463" s="58"/>
      <c r="BN463" s="58"/>
      <c r="BO463" s="58"/>
      <c r="BP463" s="58"/>
      <c r="BQ463" s="58"/>
      <c r="BR463" s="58"/>
      <c r="BS463" s="58"/>
    </row>
    <row r="464" spans="1:71" ht="15.75" customHeight="1" x14ac:dyDescent="0.2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1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2"/>
      <c r="AR464" s="92"/>
      <c r="AS464" s="92"/>
      <c r="AT464" s="92"/>
      <c r="AU464" s="92"/>
      <c r="AV464" s="92"/>
      <c r="AW464" s="92"/>
      <c r="AX464" s="92"/>
      <c r="AY464" s="92"/>
      <c r="AZ464" s="58"/>
      <c r="BA464" s="58"/>
      <c r="BB464" s="58"/>
      <c r="BC464" s="58"/>
      <c r="BD464" s="58"/>
      <c r="BE464" s="58"/>
      <c r="BF464" s="58"/>
      <c r="BG464" s="58"/>
      <c r="BH464" s="58"/>
      <c r="BI464" s="58"/>
      <c r="BJ464" s="58"/>
      <c r="BK464" s="58"/>
      <c r="BL464" s="58"/>
      <c r="BM464" s="58"/>
      <c r="BN464" s="58"/>
      <c r="BO464" s="58"/>
      <c r="BP464" s="58"/>
      <c r="BQ464" s="58"/>
      <c r="BR464" s="58"/>
      <c r="BS464" s="58"/>
    </row>
    <row r="465" spans="1:71" ht="15.75" customHeight="1" x14ac:dyDescent="0.2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1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0"/>
      <c r="AP465" s="90"/>
      <c r="AQ465" s="92"/>
      <c r="AR465" s="92"/>
      <c r="AS465" s="92"/>
      <c r="AT465" s="92"/>
      <c r="AU465" s="92"/>
      <c r="AV465" s="92"/>
      <c r="AW465" s="92"/>
      <c r="AX465" s="92"/>
      <c r="AY465" s="92"/>
      <c r="AZ465" s="58"/>
      <c r="BA465" s="58"/>
      <c r="BB465" s="58"/>
      <c r="BC465" s="58"/>
      <c r="BD465" s="58"/>
      <c r="BE465" s="58"/>
      <c r="BF465" s="58"/>
      <c r="BG465" s="58"/>
      <c r="BH465" s="58"/>
      <c r="BI465" s="58"/>
      <c r="BJ465" s="58"/>
      <c r="BK465" s="58"/>
      <c r="BL465" s="58"/>
      <c r="BM465" s="58"/>
      <c r="BN465" s="58"/>
      <c r="BO465" s="58"/>
      <c r="BP465" s="58"/>
      <c r="BQ465" s="58"/>
      <c r="BR465" s="58"/>
      <c r="BS465" s="58"/>
    </row>
    <row r="466" spans="1:71" ht="15.75" customHeight="1" x14ac:dyDescent="0.2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1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2"/>
      <c r="AR466" s="92"/>
      <c r="AS466" s="92"/>
      <c r="AT466" s="92"/>
      <c r="AU466" s="92"/>
      <c r="AV466" s="92"/>
      <c r="AW466" s="92"/>
      <c r="AX466" s="92"/>
      <c r="AY466" s="92"/>
      <c r="AZ466" s="58"/>
      <c r="BA466" s="58"/>
      <c r="BB466" s="58"/>
      <c r="BC466" s="58"/>
      <c r="BD466" s="58"/>
      <c r="BE466" s="58"/>
      <c r="BF466" s="58"/>
      <c r="BG466" s="58"/>
      <c r="BH466" s="58"/>
      <c r="BI466" s="58"/>
      <c r="BJ466" s="58"/>
      <c r="BK466" s="58"/>
      <c r="BL466" s="58"/>
      <c r="BM466" s="58"/>
      <c r="BN466" s="58"/>
      <c r="BO466" s="58"/>
      <c r="BP466" s="58"/>
      <c r="BQ466" s="58"/>
      <c r="BR466" s="58"/>
      <c r="BS466" s="58"/>
    </row>
    <row r="467" spans="1:71" ht="15.75" customHeight="1" x14ac:dyDescent="0.2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1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0"/>
      <c r="AP467" s="90"/>
      <c r="AQ467" s="92"/>
      <c r="AR467" s="92"/>
      <c r="AS467" s="92"/>
      <c r="AT467" s="92"/>
      <c r="AU467" s="92"/>
      <c r="AV467" s="92"/>
      <c r="AW467" s="92"/>
      <c r="AX467" s="92"/>
      <c r="AY467" s="92"/>
      <c r="AZ467" s="58"/>
      <c r="BA467" s="58"/>
      <c r="BB467" s="58"/>
      <c r="BC467" s="58"/>
      <c r="BD467" s="58"/>
      <c r="BE467" s="58"/>
      <c r="BF467" s="58"/>
      <c r="BG467" s="58"/>
      <c r="BH467" s="58"/>
      <c r="BI467" s="58"/>
      <c r="BJ467" s="58"/>
      <c r="BK467" s="58"/>
      <c r="BL467" s="58"/>
      <c r="BM467" s="58"/>
      <c r="BN467" s="58"/>
      <c r="BO467" s="58"/>
      <c r="BP467" s="58"/>
      <c r="BQ467" s="58"/>
      <c r="BR467" s="58"/>
      <c r="BS467" s="58"/>
    </row>
    <row r="468" spans="1:71" ht="15.75" customHeight="1" x14ac:dyDescent="0.2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1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2"/>
      <c r="AR468" s="92"/>
      <c r="AS468" s="92"/>
      <c r="AT468" s="92"/>
      <c r="AU468" s="92"/>
      <c r="AV468" s="92"/>
      <c r="AW468" s="92"/>
      <c r="AX468" s="92"/>
      <c r="AY468" s="92"/>
      <c r="AZ468" s="58"/>
      <c r="BA468" s="58"/>
      <c r="BB468" s="58"/>
      <c r="BC468" s="58"/>
      <c r="BD468" s="58"/>
      <c r="BE468" s="58"/>
      <c r="BF468" s="58"/>
      <c r="BG468" s="58"/>
      <c r="BH468" s="58"/>
      <c r="BI468" s="58"/>
      <c r="BJ468" s="58"/>
      <c r="BK468" s="58"/>
      <c r="BL468" s="58"/>
      <c r="BM468" s="58"/>
      <c r="BN468" s="58"/>
      <c r="BO468" s="58"/>
      <c r="BP468" s="58"/>
      <c r="BQ468" s="58"/>
      <c r="BR468" s="58"/>
      <c r="BS468" s="58"/>
    </row>
    <row r="469" spans="1:71" ht="15.75" customHeight="1" x14ac:dyDescent="0.2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1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0"/>
      <c r="AP469" s="90"/>
      <c r="AQ469" s="92"/>
      <c r="AR469" s="92"/>
      <c r="AS469" s="92"/>
      <c r="AT469" s="92"/>
      <c r="AU469" s="92"/>
      <c r="AV469" s="92"/>
      <c r="AW469" s="92"/>
      <c r="AX469" s="92"/>
      <c r="AY469" s="92"/>
      <c r="AZ469" s="58"/>
      <c r="BA469" s="58"/>
      <c r="BB469" s="58"/>
      <c r="BC469" s="58"/>
      <c r="BD469" s="58"/>
      <c r="BE469" s="58"/>
      <c r="BF469" s="58"/>
      <c r="BG469" s="58"/>
      <c r="BH469" s="58"/>
      <c r="BI469" s="58"/>
      <c r="BJ469" s="58"/>
      <c r="BK469" s="58"/>
      <c r="BL469" s="58"/>
      <c r="BM469" s="58"/>
      <c r="BN469" s="58"/>
      <c r="BO469" s="58"/>
      <c r="BP469" s="58"/>
      <c r="BQ469" s="58"/>
      <c r="BR469" s="58"/>
      <c r="BS469" s="58"/>
    </row>
    <row r="470" spans="1:71" ht="15.75" customHeight="1" x14ac:dyDescent="0.2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1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2"/>
      <c r="AR470" s="92"/>
      <c r="AS470" s="92"/>
      <c r="AT470" s="92"/>
      <c r="AU470" s="92"/>
      <c r="AV470" s="92"/>
      <c r="AW470" s="92"/>
      <c r="AX470" s="92"/>
      <c r="AY470" s="92"/>
      <c r="AZ470" s="58"/>
      <c r="BA470" s="58"/>
      <c r="BB470" s="58"/>
      <c r="BC470" s="58"/>
      <c r="BD470" s="58"/>
      <c r="BE470" s="58"/>
      <c r="BF470" s="58"/>
      <c r="BG470" s="58"/>
      <c r="BH470" s="58"/>
      <c r="BI470" s="58"/>
      <c r="BJ470" s="58"/>
      <c r="BK470" s="58"/>
      <c r="BL470" s="58"/>
      <c r="BM470" s="58"/>
      <c r="BN470" s="58"/>
      <c r="BO470" s="58"/>
      <c r="BP470" s="58"/>
      <c r="BQ470" s="58"/>
      <c r="BR470" s="58"/>
      <c r="BS470" s="58"/>
    </row>
    <row r="471" spans="1:71" ht="15.75" customHeight="1" x14ac:dyDescent="0.2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1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0"/>
      <c r="AP471" s="90"/>
      <c r="AQ471" s="92"/>
      <c r="AR471" s="92"/>
      <c r="AS471" s="92"/>
      <c r="AT471" s="92"/>
      <c r="AU471" s="92"/>
      <c r="AV471" s="92"/>
      <c r="AW471" s="92"/>
      <c r="AX471" s="92"/>
      <c r="AY471" s="92"/>
      <c r="AZ471" s="58"/>
      <c r="BA471" s="58"/>
      <c r="BB471" s="58"/>
      <c r="BC471" s="58"/>
      <c r="BD471" s="58"/>
      <c r="BE471" s="58"/>
      <c r="BF471" s="58"/>
      <c r="BG471" s="58"/>
      <c r="BH471" s="58"/>
      <c r="BI471" s="58"/>
      <c r="BJ471" s="58"/>
      <c r="BK471" s="58"/>
      <c r="BL471" s="58"/>
      <c r="BM471" s="58"/>
      <c r="BN471" s="58"/>
      <c r="BO471" s="58"/>
      <c r="BP471" s="58"/>
      <c r="BQ471" s="58"/>
      <c r="BR471" s="58"/>
      <c r="BS471" s="58"/>
    </row>
    <row r="472" spans="1:71" ht="15.75" customHeight="1" x14ac:dyDescent="0.2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1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2"/>
      <c r="AR472" s="92"/>
      <c r="AS472" s="92"/>
      <c r="AT472" s="92"/>
      <c r="AU472" s="92"/>
      <c r="AV472" s="92"/>
      <c r="AW472" s="92"/>
      <c r="AX472" s="92"/>
      <c r="AY472" s="92"/>
      <c r="AZ472" s="58"/>
      <c r="BA472" s="58"/>
      <c r="BB472" s="58"/>
      <c r="BC472" s="58"/>
      <c r="BD472" s="58"/>
      <c r="BE472" s="58"/>
      <c r="BF472" s="58"/>
      <c r="BG472" s="58"/>
      <c r="BH472" s="58"/>
      <c r="BI472" s="58"/>
      <c r="BJ472" s="58"/>
      <c r="BK472" s="58"/>
      <c r="BL472" s="58"/>
      <c r="BM472" s="58"/>
      <c r="BN472" s="58"/>
      <c r="BO472" s="58"/>
      <c r="BP472" s="58"/>
      <c r="BQ472" s="58"/>
      <c r="BR472" s="58"/>
      <c r="BS472" s="58"/>
    </row>
    <row r="473" spans="1:71" ht="15.75" customHeight="1" x14ac:dyDescent="0.2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1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0"/>
      <c r="AP473" s="90"/>
      <c r="AQ473" s="92"/>
      <c r="AR473" s="92"/>
      <c r="AS473" s="92"/>
      <c r="AT473" s="92"/>
      <c r="AU473" s="92"/>
      <c r="AV473" s="92"/>
      <c r="AW473" s="92"/>
      <c r="AX473" s="92"/>
      <c r="AY473" s="92"/>
      <c r="AZ473" s="58"/>
      <c r="BA473" s="58"/>
      <c r="BB473" s="58"/>
      <c r="BC473" s="58"/>
      <c r="BD473" s="58"/>
      <c r="BE473" s="58"/>
      <c r="BF473" s="58"/>
      <c r="BG473" s="58"/>
      <c r="BH473" s="58"/>
      <c r="BI473" s="58"/>
      <c r="BJ473" s="58"/>
      <c r="BK473" s="58"/>
      <c r="BL473" s="58"/>
      <c r="BM473" s="58"/>
      <c r="BN473" s="58"/>
      <c r="BO473" s="58"/>
      <c r="BP473" s="58"/>
      <c r="BQ473" s="58"/>
      <c r="BR473" s="58"/>
      <c r="BS473" s="58"/>
    </row>
    <row r="474" spans="1:71" ht="15.75" customHeight="1" x14ac:dyDescent="0.2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1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2"/>
      <c r="AR474" s="92"/>
      <c r="AS474" s="92"/>
      <c r="AT474" s="92"/>
      <c r="AU474" s="92"/>
      <c r="AV474" s="92"/>
      <c r="AW474" s="92"/>
      <c r="AX474" s="92"/>
      <c r="AY474" s="92"/>
      <c r="AZ474" s="58"/>
      <c r="BA474" s="58"/>
      <c r="BB474" s="58"/>
      <c r="BC474" s="58"/>
      <c r="BD474" s="58"/>
      <c r="BE474" s="58"/>
      <c r="BF474" s="58"/>
      <c r="BG474" s="58"/>
      <c r="BH474" s="58"/>
      <c r="BI474" s="58"/>
      <c r="BJ474" s="58"/>
      <c r="BK474" s="58"/>
      <c r="BL474" s="58"/>
      <c r="BM474" s="58"/>
      <c r="BN474" s="58"/>
      <c r="BO474" s="58"/>
      <c r="BP474" s="58"/>
      <c r="BQ474" s="58"/>
      <c r="BR474" s="58"/>
      <c r="BS474" s="58"/>
    </row>
    <row r="475" spans="1:71" ht="15.75" customHeight="1" x14ac:dyDescent="0.2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1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0"/>
      <c r="AP475" s="90"/>
      <c r="AQ475" s="92"/>
      <c r="AR475" s="92"/>
      <c r="AS475" s="92"/>
      <c r="AT475" s="92"/>
      <c r="AU475" s="92"/>
      <c r="AV475" s="92"/>
      <c r="AW475" s="92"/>
      <c r="AX475" s="92"/>
      <c r="AY475" s="92"/>
      <c r="AZ475" s="58"/>
      <c r="BA475" s="58"/>
      <c r="BB475" s="58"/>
      <c r="BC475" s="58"/>
      <c r="BD475" s="58"/>
      <c r="BE475" s="58"/>
      <c r="BF475" s="58"/>
      <c r="BG475" s="58"/>
      <c r="BH475" s="58"/>
      <c r="BI475" s="58"/>
      <c r="BJ475" s="58"/>
      <c r="BK475" s="58"/>
      <c r="BL475" s="58"/>
      <c r="BM475" s="58"/>
      <c r="BN475" s="58"/>
      <c r="BO475" s="58"/>
      <c r="BP475" s="58"/>
      <c r="BQ475" s="58"/>
      <c r="BR475" s="58"/>
      <c r="BS475" s="58"/>
    </row>
    <row r="476" spans="1:71" ht="15.75" customHeight="1" x14ac:dyDescent="0.2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1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2"/>
      <c r="AR476" s="92"/>
      <c r="AS476" s="92"/>
      <c r="AT476" s="92"/>
      <c r="AU476" s="92"/>
      <c r="AV476" s="92"/>
      <c r="AW476" s="92"/>
      <c r="AX476" s="92"/>
      <c r="AY476" s="92"/>
      <c r="AZ476" s="58"/>
      <c r="BA476" s="58"/>
      <c r="BB476" s="58"/>
      <c r="BC476" s="58"/>
      <c r="BD476" s="58"/>
      <c r="BE476" s="58"/>
      <c r="BF476" s="58"/>
      <c r="BG476" s="58"/>
      <c r="BH476" s="58"/>
      <c r="BI476" s="58"/>
      <c r="BJ476" s="58"/>
      <c r="BK476" s="58"/>
      <c r="BL476" s="58"/>
      <c r="BM476" s="58"/>
      <c r="BN476" s="58"/>
      <c r="BO476" s="58"/>
      <c r="BP476" s="58"/>
      <c r="BQ476" s="58"/>
      <c r="BR476" s="58"/>
      <c r="BS476" s="58"/>
    </row>
    <row r="477" spans="1:71" ht="15.75" customHeight="1" x14ac:dyDescent="0.2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1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0"/>
      <c r="AP477" s="90"/>
      <c r="AQ477" s="92"/>
      <c r="AR477" s="92"/>
      <c r="AS477" s="92"/>
      <c r="AT477" s="92"/>
      <c r="AU477" s="92"/>
      <c r="AV477" s="92"/>
      <c r="AW477" s="92"/>
      <c r="AX477" s="92"/>
      <c r="AY477" s="92"/>
      <c r="AZ477" s="58"/>
      <c r="BA477" s="58"/>
      <c r="BB477" s="58"/>
      <c r="BC477" s="58"/>
      <c r="BD477" s="58"/>
      <c r="BE477" s="58"/>
      <c r="BF477" s="58"/>
      <c r="BG477" s="58"/>
      <c r="BH477" s="58"/>
      <c r="BI477" s="58"/>
      <c r="BJ477" s="58"/>
      <c r="BK477" s="58"/>
      <c r="BL477" s="58"/>
      <c r="BM477" s="58"/>
      <c r="BN477" s="58"/>
      <c r="BO477" s="58"/>
      <c r="BP477" s="58"/>
      <c r="BQ477" s="58"/>
      <c r="BR477" s="58"/>
      <c r="BS477" s="58"/>
    </row>
    <row r="478" spans="1:71" ht="15.75" customHeight="1" x14ac:dyDescent="0.2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1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2"/>
      <c r="AR478" s="92"/>
      <c r="AS478" s="92"/>
      <c r="AT478" s="92"/>
      <c r="AU478" s="92"/>
      <c r="AV478" s="92"/>
      <c r="AW478" s="92"/>
      <c r="AX478" s="92"/>
      <c r="AY478" s="92"/>
      <c r="AZ478" s="58"/>
      <c r="BA478" s="58"/>
      <c r="BB478" s="58"/>
      <c r="BC478" s="58"/>
      <c r="BD478" s="58"/>
      <c r="BE478" s="58"/>
      <c r="BF478" s="58"/>
      <c r="BG478" s="58"/>
      <c r="BH478" s="58"/>
      <c r="BI478" s="58"/>
      <c r="BJ478" s="58"/>
      <c r="BK478" s="58"/>
      <c r="BL478" s="58"/>
      <c r="BM478" s="58"/>
      <c r="BN478" s="58"/>
      <c r="BO478" s="58"/>
      <c r="BP478" s="58"/>
      <c r="BQ478" s="58"/>
      <c r="BR478" s="58"/>
      <c r="BS478" s="58"/>
    </row>
    <row r="479" spans="1:71" ht="15.75" customHeight="1" x14ac:dyDescent="0.2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1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  <c r="AQ479" s="92"/>
      <c r="AR479" s="92"/>
      <c r="AS479" s="92"/>
      <c r="AT479" s="92"/>
      <c r="AU479" s="92"/>
      <c r="AV479" s="92"/>
      <c r="AW479" s="92"/>
      <c r="AX479" s="92"/>
      <c r="AY479" s="92"/>
      <c r="AZ479" s="58"/>
      <c r="BA479" s="58"/>
      <c r="BB479" s="58"/>
      <c r="BC479" s="58"/>
      <c r="BD479" s="58"/>
      <c r="BE479" s="58"/>
      <c r="BF479" s="58"/>
      <c r="BG479" s="58"/>
      <c r="BH479" s="58"/>
      <c r="BI479" s="58"/>
      <c r="BJ479" s="58"/>
      <c r="BK479" s="58"/>
      <c r="BL479" s="58"/>
      <c r="BM479" s="58"/>
      <c r="BN479" s="58"/>
      <c r="BO479" s="58"/>
      <c r="BP479" s="58"/>
      <c r="BQ479" s="58"/>
      <c r="BR479" s="58"/>
      <c r="BS479" s="58"/>
    </row>
    <row r="480" spans="1:71" ht="15.75" customHeight="1" x14ac:dyDescent="0.2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1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2"/>
      <c r="AR480" s="92"/>
      <c r="AS480" s="92"/>
      <c r="AT480" s="92"/>
      <c r="AU480" s="92"/>
      <c r="AV480" s="92"/>
      <c r="AW480" s="92"/>
      <c r="AX480" s="92"/>
      <c r="AY480" s="92"/>
      <c r="AZ480" s="58"/>
      <c r="BA480" s="58"/>
      <c r="BB480" s="58"/>
      <c r="BC480" s="58"/>
      <c r="BD480" s="58"/>
      <c r="BE480" s="58"/>
      <c r="BF480" s="58"/>
      <c r="BG480" s="58"/>
      <c r="BH480" s="58"/>
      <c r="BI480" s="58"/>
      <c r="BJ480" s="58"/>
      <c r="BK480" s="58"/>
      <c r="BL480" s="58"/>
      <c r="BM480" s="58"/>
      <c r="BN480" s="58"/>
      <c r="BO480" s="58"/>
      <c r="BP480" s="58"/>
      <c r="BQ480" s="58"/>
      <c r="BR480" s="58"/>
      <c r="BS480" s="58"/>
    </row>
    <row r="481" spans="1:71" ht="15.75" customHeight="1" x14ac:dyDescent="0.2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1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  <c r="AQ481" s="92"/>
      <c r="AR481" s="92"/>
      <c r="AS481" s="92"/>
      <c r="AT481" s="92"/>
      <c r="AU481" s="92"/>
      <c r="AV481" s="92"/>
      <c r="AW481" s="92"/>
      <c r="AX481" s="92"/>
      <c r="AY481" s="92"/>
      <c r="AZ481" s="58"/>
      <c r="BA481" s="58"/>
      <c r="BB481" s="58"/>
      <c r="BC481" s="58"/>
      <c r="BD481" s="58"/>
      <c r="BE481" s="58"/>
      <c r="BF481" s="58"/>
      <c r="BG481" s="58"/>
      <c r="BH481" s="58"/>
      <c r="BI481" s="58"/>
      <c r="BJ481" s="58"/>
      <c r="BK481" s="58"/>
      <c r="BL481" s="58"/>
      <c r="BM481" s="58"/>
      <c r="BN481" s="58"/>
      <c r="BO481" s="58"/>
      <c r="BP481" s="58"/>
      <c r="BQ481" s="58"/>
      <c r="BR481" s="58"/>
      <c r="BS481" s="58"/>
    </row>
    <row r="482" spans="1:71" ht="15.75" customHeight="1" x14ac:dyDescent="0.2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1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2"/>
      <c r="AR482" s="92"/>
      <c r="AS482" s="92"/>
      <c r="AT482" s="92"/>
      <c r="AU482" s="92"/>
      <c r="AV482" s="92"/>
      <c r="AW482" s="92"/>
      <c r="AX482" s="92"/>
      <c r="AY482" s="92"/>
      <c r="AZ482" s="58"/>
      <c r="BA482" s="58"/>
      <c r="BB482" s="58"/>
      <c r="BC482" s="58"/>
      <c r="BD482" s="58"/>
      <c r="BE482" s="58"/>
      <c r="BF482" s="58"/>
      <c r="BG482" s="58"/>
      <c r="BH482" s="58"/>
      <c r="BI482" s="58"/>
      <c r="BJ482" s="58"/>
      <c r="BK482" s="58"/>
      <c r="BL482" s="58"/>
      <c r="BM482" s="58"/>
      <c r="BN482" s="58"/>
      <c r="BO482" s="58"/>
      <c r="BP482" s="58"/>
      <c r="BQ482" s="58"/>
      <c r="BR482" s="58"/>
      <c r="BS482" s="58"/>
    </row>
    <row r="483" spans="1:71" ht="15.75" customHeight="1" x14ac:dyDescent="0.2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1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  <c r="AQ483" s="92"/>
      <c r="AR483" s="92"/>
      <c r="AS483" s="92"/>
      <c r="AT483" s="92"/>
      <c r="AU483" s="92"/>
      <c r="AV483" s="92"/>
      <c r="AW483" s="92"/>
      <c r="AX483" s="92"/>
      <c r="AY483" s="92"/>
      <c r="AZ483" s="58"/>
      <c r="BA483" s="58"/>
      <c r="BB483" s="58"/>
      <c r="BC483" s="58"/>
      <c r="BD483" s="58"/>
      <c r="BE483" s="58"/>
      <c r="BF483" s="58"/>
      <c r="BG483" s="58"/>
      <c r="BH483" s="58"/>
      <c r="BI483" s="58"/>
      <c r="BJ483" s="58"/>
      <c r="BK483" s="58"/>
      <c r="BL483" s="58"/>
      <c r="BM483" s="58"/>
      <c r="BN483" s="58"/>
      <c r="BO483" s="58"/>
      <c r="BP483" s="58"/>
      <c r="BQ483" s="58"/>
      <c r="BR483" s="58"/>
      <c r="BS483" s="58"/>
    </row>
    <row r="484" spans="1:71" ht="15.75" customHeight="1" x14ac:dyDescent="0.2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1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2"/>
      <c r="AR484" s="92"/>
      <c r="AS484" s="92"/>
      <c r="AT484" s="92"/>
      <c r="AU484" s="92"/>
      <c r="AV484" s="92"/>
      <c r="AW484" s="92"/>
      <c r="AX484" s="92"/>
      <c r="AY484" s="92"/>
      <c r="AZ484" s="58"/>
      <c r="BA484" s="58"/>
      <c r="BB484" s="58"/>
      <c r="BC484" s="58"/>
      <c r="BD484" s="58"/>
      <c r="BE484" s="58"/>
      <c r="BF484" s="58"/>
      <c r="BG484" s="58"/>
      <c r="BH484" s="58"/>
      <c r="BI484" s="58"/>
      <c r="BJ484" s="58"/>
      <c r="BK484" s="58"/>
      <c r="BL484" s="58"/>
      <c r="BM484" s="58"/>
      <c r="BN484" s="58"/>
      <c r="BO484" s="58"/>
      <c r="BP484" s="58"/>
      <c r="BQ484" s="58"/>
      <c r="BR484" s="58"/>
      <c r="BS484" s="58"/>
    </row>
    <row r="485" spans="1:71" ht="15.75" customHeight="1" x14ac:dyDescent="0.2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1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  <c r="AQ485" s="92"/>
      <c r="AR485" s="92"/>
      <c r="AS485" s="92"/>
      <c r="AT485" s="92"/>
      <c r="AU485" s="92"/>
      <c r="AV485" s="92"/>
      <c r="AW485" s="92"/>
      <c r="AX485" s="92"/>
      <c r="AY485" s="92"/>
      <c r="AZ485" s="58"/>
      <c r="BA485" s="58"/>
      <c r="BB485" s="58"/>
      <c r="BC485" s="58"/>
      <c r="BD485" s="58"/>
      <c r="BE485" s="58"/>
      <c r="BF485" s="58"/>
      <c r="BG485" s="58"/>
      <c r="BH485" s="58"/>
      <c r="BI485" s="58"/>
      <c r="BJ485" s="58"/>
      <c r="BK485" s="58"/>
      <c r="BL485" s="58"/>
      <c r="BM485" s="58"/>
      <c r="BN485" s="58"/>
      <c r="BO485" s="58"/>
      <c r="BP485" s="58"/>
      <c r="BQ485" s="58"/>
      <c r="BR485" s="58"/>
      <c r="BS485" s="58"/>
    </row>
    <row r="486" spans="1:71" ht="15.75" customHeight="1" x14ac:dyDescent="0.2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1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2"/>
      <c r="AR486" s="92"/>
      <c r="AS486" s="92"/>
      <c r="AT486" s="92"/>
      <c r="AU486" s="92"/>
      <c r="AV486" s="92"/>
      <c r="AW486" s="92"/>
      <c r="AX486" s="92"/>
      <c r="AY486" s="92"/>
      <c r="AZ486" s="58"/>
      <c r="BA486" s="58"/>
      <c r="BB486" s="58"/>
      <c r="BC486" s="58"/>
      <c r="BD486" s="58"/>
      <c r="BE486" s="58"/>
      <c r="BF486" s="58"/>
      <c r="BG486" s="58"/>
      <c r="BH486" s="58"/>
      <c r="BI486" s="58"/>
      <c r="BJ486" s="58"/>
      <c r="BK486" s="58"/>
      <c r="BL486" s="58"/>
      <c r="BM486" s="58"/>
      <c r="BN486" s="58"/>
      <c r="BO486" s="58"/>
      <c r="BP486" s="58"/>
      <c r="BQ486" s="58"/>
      <c r="BR486" s="58"/>
      <c r="BS486" s="58"/>
    </row>
    <row r="487" spans="1:71" ht="15.75" customHeight="1" x14ac:dyDescent="0.2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1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  <c r="AQ487" s="92"/>
      <c r="AR487" s="92"/>
      <c r="AS487" s="92"/>
      <c r="AT487" s="92"/>
      <c r="AU487" s="92"/>
      <c r="AV487" s="92"/>
      <c r="AW487" s="92"/>
      <c r="AX487" s="92"/>
      <c r="AY487" s="92"/>
      <c r="AZ487" s="58"/>
      <c r="BA487" s="58"/>
      <c r="BB487" s="58"/>
      <c r="BC487" s="58"/>
      <c r="BD487" s="58"/>
      <c r="BE487" s="58"/>
      <c r="BF487" s="58"/>
      <c r="BG487" s="58"/>
      <c r="BH487" s="58"/>
      <c r="BI487" s="58"/>
      <c r="BJ487" s="58"/>
      <c r="BK487" s="58"/>
      <c r="BL487" s="58"/>
      <c r="BM487" s="58"/>
      <c r="BN487" s="58"/>
      <c r="BO487" s="58"/>
      <c r="BP487" s="58"/>
      <c r="BQ487" s="58"/>
      <c r="BR487" s="58"/>
      <c r="BS487" s="58"/>
    </row>
    <row r="488" spans="1:71" ht="15.75" customHeight="1" x14ac:dyDescent="0.2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1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2"/>
      <c r="AR488" s="92"/>
      <c r="AS488" s="92"/>
      <c r="AT488" s="92"/>
      <c r="AU488" s="92"/>
      <c r="AV488" s="92"/>
      <c r="AW488" s="92"/>
      <c r="AX488" s="92"/>
      <c r="AY488" s="92"/>
      <c r="AZ488" s="58"/>
      <c r="BA488" s="58"/>
      <c r="BB488" s="58"/>
      <c r="BC488" s="58"/>
      <c r="BD488" s="58"/>
      <c r="BE488" s="58"/>
      <c r="BF488" s="58"/>
      <c r="BG488" s="58"/>
      <c r="BH488" s="58"/>
      <c r="BI488" s="58"/>
      <c r="BJ488" s="58"/>
      <c r="BK488" s="58"/>
      <c r="BL488" s="58"/>
      <c r="BM488" s="58"/>
      <c r="BN488" s="58"/>
      <c r="BO488" s="58"/>
      <c r="BP488" s="58"/>
      <c r="BQ488" s="58"/>
      <c r="BR488" s="58"/>
      <c r="BS488" s="58"/>
    </row>
    <row r="489" spans="1:71" ht="15.75" customHeight="1" x14ac:dyDescent="0.2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1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  <c r="AQ489" s="92"/>
      <c r="AR489" s="92"/>
      <c r="AS489" s="92"/>
      <c r="AT489" s="92"/>
      <c r="AU489" s="92"/>
      <c r="AV489" s="92"/>
      <c r="AW489" s="92"/>
      <c r="AX489" s="92"/>
      <c r="AY489" s="92"/>
      <c r="AZ489" s="58"/>
      <c r="BA489" s="58"/>
      <c r="BB489" s="58"/>
      <c r="BC489" s="58"/>
      <c r="BD489" s="58"/>
      <c r="BE489" s="58"/>
      <c r="BF489" s="58"/>
      <c r="BG489" s="58"/>
      <c r="BH489" s="58"/>
      <c r="BI489" s="58"/>
      <c r="BJ489" s="58"/>
      <c r="BK489" s="58"/>
      <c r="BL489" s="58"/>
      <c r="BM489" s="58"/>
      <c r="BN489" s="58"/>
      <c r="BO489" s="58"/>
      <c r="BP489" s="58"/>
      <c r="BQ489" s="58"/>
      <c r="BR489" s="58"/>
      <c r="BS489" s="58"/>
    </row>
    <row r="490" spans="1:71" ht="15.75" customHeight="1" x14ac:dyDescent="0.2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1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2"/>
      <c r="AR490" s="92"/>
      <c r="AS490" s="92"/>
      <c r="AT490" s="92"/>
      <c r="AU490" s="92"/>
      <c r="AV490" s="92"/>
      <c r="AW490" s="92"/>
      <c r="AX490" s="92"/>
      <c r="AY490" s="92"/>
      <c r="AZ490" s="58"/>
      <c r="BA490" s="58"/>
      <c r="BB490" s="58"/>
      <c r="BC490" s="58"/>
      <c r="BD490" s="58"/>
      <c r="BE490" s="58"/>
      <c r="BF490" s="58"/>
      <c r="BG490" s="58"/>
      <c r="BH490" s="58"/>
      <c r="BI490" s="58"/>
      <c r="BJ490" s="58"/>
      <c r="BK490" s="58"/>
      <c r="BL490" s="58"/>
      <c r="BM490" s="58"/>
      <c r="BN490" s="58"/>
      <c r="BO490" s="58"/>
      <c r="BP490" s="58"/>
      <c r="BQ490" s="58"/>
      <c r="BR490" s="58"/>
      <c r="BS490" s="58"/>
    </row>
    <row r="491" spans="1:71" ht="15.75" customHeight="1" x14ac:dyDescent="0.2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1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  <c r="AQ491" s="92"/>
      <c r="AR491" s="92"/>
      <c r="AS491" s="92"/>
      <c r="AT491" s="92"/>
      <c r="AU491" s="92"/>
      <c r="AV491" s="92"/>
      <c r="AW491" s="92"/>
      <c r="AX491" s="92"/>
      <c r="AY491" s="92"/>
      <c r="AZ491" s="58"/>
      <c r="BA491" s="58"/>
      <c r="BB491" s="58"/>
      <c r="BC491" s="58"/>
      <c r="BD491" s="58"/>
      <c r="BE491" s="58"/>
      <c r="BF491" s="58"/>
      <c r="BG491" s="58"/>
      <c r="BH491" s="58"/>
      <c r="BI491" s="58"/>
      <c r="BJ491" s="58"/>
      <c r="BK491" s="58"/>
      <c r="BL491" s="58"/>
      <c r="BM491" s="58"/>
      <c r="BN491" s="58"/>
      <c r="BO491" s="58"/>
      <c r="BP491" s="58"/>
      <c r="BQ491" s="58"/>
      <c r="BR491" s="58"/>
      <c r="BS491" s="58"/>
    </row>
    <row r="492" spans="1:71" ht="15.75" customHeight="1" x14ac:dyDescent="0.2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1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2"/>
      <c r="AR492" s="92"/>
      <c r="AS492" s="92"/>
      <c r="AT492" s="92"/>
      <c r="AU492" s="92"/>
      <c r="AV492" s="92"/>
      <c r="AW492" s="92"/>
      <c r="AX492" s="92"/>
      <c r="AY492" s="92"/>
      <c r="AZ492" s="58"/>
      <c r="BA492" s="58"/>
      <c r="BB492" s="58"/>
      <c r="BC492" s="58"/>
      <c r="BD492" s="58"/>
      <c r="BE492" s="58"/>
      <c r="BF492" s="58"/>
      <c r="BG492" s="58"/>
      <c r="BH492" s="58"/>
      <c r="BI492" s="58"/>
      <c r="BJ492" s="58"/>
      <c r="BK492" s="58"/>
      <c r="BL492" s="58"/>
      <c r="BM492" s="58"/>
      <c r="BN492" s="58"/>
      <c r="BO492" s="58"/>
      <c r="BP492" s="58"/>
      <c r="BQ492" s="58"/>
      <c r="BR492" s="58"/>
      <c r="BS492" s="58"/>
    </row>
    <row r="493" spans="1:71" ht="15.75" customHeight="1" x14ac:dyDescent="0.2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1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  <c r="AQ493" s="92"/>
      <c r="AR493" s="92"/>
      <c r="AS493" s="92"/>
      <c r="AT493" s="92"/>
      <c r="AU493" s="92"/>
      <c r="AV493" s="92"/>
      <c r="AW493" s="92"/>
      <c r="AX493" s="92"/>
      <c r="AY493" s="92"/>
      <c r="AZ493" s="58"/>
      <c r="BA493" s="58"/>
      <c r="BB493" s="58"/>
      <c r="BC493" s="58"/>
      <c r="BD493" s="58"/>
      <c r="BE493" s="58"/>
      <c r="BF493" s="58"/>
      <c r="BG493" s="58"/>
      <c r="BH493" s="58"/>
      <c r="BI493" s="58"/>
      <c r="BJ493" s="58"/>
      <c r="BK493" s="58"/>
      <c r="BL493" s="58"/>
      <c r="BM493" s="58"/>
      <c r="BN493" s="58"/>
      <c r="BO493" s="58"/>
      <c r="BP493" s="58"/>
      <c r="BQ493" s="58"/>
      <c r="BR493" s="58"/>
      <c r="BS493" s="58"/>
    </row>
    <row r="494" spans="1:71" ht="15.75" customHeight="1" x14ac:dyDescent="0.2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1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2"/>
      <c r="AR494" s="92"/>
      <c r="AS494" s="92"/>
      <c r="AT494" s="92"/>
      <c r="AU494" s="92"/>
      <c r="AV494" s="92"/>
      <c r="AW494" s="92"/>
      <c r="AX494" s="92"/>
      <c r="AY494" s="92"/>
      <c r="AZ494" s="58"/>
      <c r="BA494" s="58"/>
      <c r="BB494" s="58"/>
      <c r="BC494" s="58"/>
      <c r="BD494" s="58"/>
      <c r="BE494" s="58"/>
      <c r="BF494" s="58"/>
      <c r="BG494" s="58"/>
      <c r="BH494" s="58"/>
      <c r="BI494" s="58"/>
      <c r="BJ494" s="58"/>
      <c r="BK494" s="58"/>
      <c r="BL494" s="58"/>
      <c r="BM494" s="58"/>
      <c r="BN494" s="58"/>
      <c r="BO494" s="58"/>
      <c r="BP494" s="58"/>
      <c r="BQ494" s="58"/>
      <c r="BR494" s="58"/>
      <c r="BS494" s="58"/>
    </row>
    <row r="495" spans="1:71" ht="15.75" customHeight="1" x14ac:dyDescent="0.2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1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  <c r="AQ495" s="92"/>
      <c r="AR495" s="92"/>
      <c r="AS495" s="92"/>
      <c r="AT495" s="92"/>
      <c r="AU495" s="92"/>
      <c r="AV495" s="92"/>
      <c r="AW495" s="92"/>
      <c r="AX495" s="92"/>
      <c r="AY495" s="92"/>
      <c r="AZ495" s="58"/>
      <c r="BA495" s="58"/>
      <c r="BB495" s="58"/>
      <c r="BC495" s="58"/>
      <c r="BD495" s="58"/>
      <c r="BE495" s="58"/>
      <c r="BF495" s="58"/>
      <c r="BG495" s="58"/>
      <c r="BH495" s="58"/>
      <c r="BI495" s="58"/>
      <c r="BJ495" s="58"/>
      <c r="BK495" s="58"/>
      <c r="BL495" s="58"/>
      <c r="BM495" s="58"/>
      <c r="BN495" s="58"/>
      <c r="BO495" s="58"/>
      <c r="BP495" s="58"/>
      <c r="BQ495" s="58"/>
      <c r="BR495" s="58"/>
      <c r="BS495" s="58"/>
    </row>
    <row r="496" spans="1:71" ht="15.75" customHeight="1" x14ac:dyDescent="0.2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1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2"/>
      <c r="AR496" s="92"/>
      <c r="AS496" s="92"/>
      <c r="AT496" s="92"/>
      <c r="AU496" s="92"/>
      <c r="AV496" s="92"/>
      <c r="AW496" s="92"/>
      <c r="AX496" s="92"/>
      <c r="AY496" s="92"/>
      <c r="AZ496" s="58"/>
      <c r="BA496" s="58"/>
      <c r="BB496" s="58"/>
      <c r="BC496" s="58"/>
      <c r="BD496" s="58"/>
      <c r="BE496" s="58"/>
      <c r="BF496" s="58"/>
      <c r="BG496" s="58"/>
      <c r="BH496" s="58"/>
      <c r="BI496" s="58"/>
      <c r="BJ496" s="58"/>
      <c r="BK496" s="58"/>
      <c r="BL496" s="58"/>
      <c r="BM496" s="58"/>
      <c r="BN496" s="58"/>
      <c r="BO496" s="58"/>
      <c r="BP496" s="58"/>
      <c r="BQ496" s="58"/>
      <c r="BR496" s="58"/>
      <c r="BS496" s="58"/>
    </row>
    <row r="497" spans="1:71" ht="15.75" customHeight="1" x14ac:dyDescent="0.2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1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  <c r="AQ497" s="92"/>
      <c r="AR497" s="92"/>
      <c r="AS497" s="92"/>
      <c r="AT497" s="92"/>
      <c r="AU497" s="92"/>
      <c r="AV497" s="92"/>
      <c r="AW497" s="92"/>
      <c r="AX497" s="92"/>
      <c r="AY497" s="92"/>
      <c r="AZ497" s="58"/>
      <c r="BA497" s="58"/>
      <c r="BB497" s="58"/>
      <c r="BC497" s="58"/>
      <c r="BD497" s="58"/>
      <c r="BE497" s="58"/>
      <c r="BF497" s="58"/>
      <c r="BG497" s="58"/>
      <c r="BH497" s="58"/>
      <c r="BI497" s="58"/>
      <c r="BJ497" s="58"/>
      <c r="BK497" s="58"/>
      <c r="BL497" s="58"/>
      <c r="BM497" s="58"/>
      <c r="BN497" s="58"/>
      <c r="BO497" s="58"/>
      <c r="BP497" s="58"/>
      <c r="BQ497" s="58"/>
      <c r="BR497" s="58"/>
      <c r="BS497" s="58"/>
    </row>
    <row r="498" spans="1:71" ht="15.75" customHeight="1" x14ac:dyDescent="0.2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1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2"/>
      <c r="AR498" s="92"/>
      <c r="AS498" s="92"/>
      <c r="AT498" s="92"/>
      <c r="AU498" s="92"/>
      <c r="AV498" s="92"/>
      <c r="AW498" s="92"/>
      <c r="AX498" s="92"/>
      <c r="AY498" s="92"/>
      <c r="AZ498" s="58"/>
      <c r="BA498" s="58"/>
      <c r="BB498" s="58"/>
      <c r="BC498" s="58"/>
      <c r="BD498" s="58"/>
      <c r="BE498" s="58"/>
      <c r="BF498" s="58"/>
      <c r="BG498" s="58"/>
      <c r="BH498" s="58"/>
      <c r="BI498" s="58"/>
      <c r="BJ498" s="58"/>
      <c r="BK498" s="58"/>
      <c r="BL498" s="58"/>
      <c r="BM498" s="58"/>
      <c r="BN498" s="58"/>
      <c r="BO498" s="58"/>
      <c r="BP498" s="58"/>
      <c r="BQ498" s="58"/>
      <c r="BR498" s="58"/>
      <c r="BS498" s="58"/>
    </row>
    <row r="499" spans="1:71" ht="15.75" customHeight="1" x14ac:dyDescent="0.2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1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  <c r="AQ499" s="92"/>
      <c r="AR499" s="92"/>
      <c r="AS499" s="92"/>
      <c r="AT499" s="92"/>
      <c r="AU499" s="92"/>
      <c r="AV499" s="92"/>
      <c r="AW499" s="92"/>
      <c r="AX499" s="92"/>
      <c r="AY499" s="92"/>
      <c r="AZ499" s="58"/>
      <c r="BA499" s="58"/>
      <c r="BB499" s="58"/>
      <c r="BC499" s="58"/>
      <c r="BD499" s="58"/>
      <c r="BE499" s="58"/>
      <c r="BF499" s="58"/>
      <c r="BG499" s="58"/>
      <c r="BH499" s="58"/>
      <c r="BI499" s="58"/>
      <c r="BJ499" s="58"/>
      <c r="BK499" s="58"/>
      <c r="BL499" s="58"/>
      <c r="BM499" s="58"/>
      <c r="BN499" s="58"/>
      <c r="BO499" s="58"/>
      <c r="BP499" s="58"/>
      <c r="BQ499" s="58"/>
      <c r="BR499" s="58"/>
      <c r="BS499" s="58"/>
    </row>
    <row r="500" spans="1:71" ht="15.75" customHeight="1" x14ac:dyDescent="0.2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1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2"/>
      <c r="AR500" s="92"/>
      <c r="AS500" s="92"/>
      <c r="AT500" s="92"/>
      <c r="AU500" s="92"/>
      <c r="AV500" s="92"/>
      <c r="AW500" s="92"/>
      <c r="AX500" s="92"/>
      <c r="AY500" s="92"/>
      <c r="AZ500" s="58"/>
      <c r="BA500" s="58"/>
      <c r="BB500" s="58"/>
      <c r="BC500" s="58"/>
      <c r="BD500" s="58"/>
      <c r="BE500" s="58"/>
      <c r="BF500" s="58"/>
      <c r="BG500" s="58"/>
      <c r="BH500" s="58"/>
      <c r="BI500" s="58"/>
      <c r="BJ500" s="58"/>
      <c r="BK500" s="58"/>
      <c r="BL500" s="58"/>
      <c r="BM500" s="58"/>
      <c r="BN500" s="58"/>
      <c r="BO500" s="58"/>
      <c r="BP500" s="58"/>
      <c r="BQ500" s="58"/>
      <c r="BR500" s="58"/>
      <c r="BS500" s="58"/>
    </row>
    <row r="501" spans="1:71" ht="15.75" customHeight="1" x14ac:dyDescent="0.2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1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  <c r="AQ501" s="92"/>
      <c r="AR501" s="92"/>
      <c r="AS501" s="92"/>
      <c r="AT501" s="92"/>
      <c r="AU501" s="92"/>
      <c r="AV501" s="92"/>
      <c r="AW501" s="92"/>
      <c r="AX501" s="92"/>
      <c r="AY501" s="92"/>
      <c r="AZ501" s="58"/>
      <c r="BA501" s="58"/>
      <c r="BB501" s="58"/>
      <c r="BC501" s="58"/>
      <c r="BD501" s="58"/>
      <c r="BE501" s="58"/>
      <c r="BF501" s="58"/>
      <c r="BG501" s="58"/>
      <c r="BH501" s="58"/>
      <c r="BI501" s="58"/>
      <c r="BJ501" s="58"/>
      <c r="BK501" s="58"/>
      <c r="BL501" s="58"/>
      <c r="BM501" s="58"/>
      <c r="BN501" s="58"/>
      <c r="BO501" s="58"/>
      <c r="BP501" s="58"/>
      <c r="BQ501" s="58"/>
      <c r="BR501" s="58"/>
      <c r="BS501" s="58"/>
    </row>
    <row r="502" spans="1:71" ht="15.75" customHeight="1" x14ac:dyDescent="0.2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1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2"/>
      <c r="AR502" s="92"/>
      <c r="AS502" s="92"/>
      <c r="AT502" s="92"/>
      <c r="AU502" s="92"/>
      <c r="AV502" s="92"/>
      <c r="AW502" s="92"/>
      <c r="AX502" s="92"/>
      <c r="AY502" s="92"/>
      <c r="AZ502" s="58"/>
      <c r="BA502" s="58"/>
      <c r="BB502" s="58"/>
      <c r="BC502" s="58"/>
      <c r="BD502" s="58"/>
      <c r="BE502" s="58"/>
      <c r="BF502" s="58"/>
      <c r="BG502" s="58"/>
      <c r="BH502" s="58"/>
      <c r="BI502" s="58"/>
      <c r="BJ502" s="58"/>
      <c r="BK502" s="58"/>
      <c r="BL502" s="58"/>
      <c r="BM502" s="58"/>
      <c r="BN502" s="58"/>
      <c r="BO502" s="58"/>
      <c r="BP502" s="58"/>
      <c r="BQ502" s="58"/>
      <c r="BR502" s="58"/>
      <c r="BS502" s="58"/>
    </row>
    <row r="503" spans="1:71" ht="15.75" customHeight="1" x14ac:dyDescent="0.2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1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  <c r="AQ503" s="92"/>
      <c r="AR503" s="92"/>
      <c r="AS503" s="92"/>
      <c r="AT503" s="92"/>
      <c r="AU503" s="92"/>
      <c r="AV503" s="92"/>
      <c r="AW503" s="92"/>
      <c r="AX503" s="92"/>
      <c r="AY503" s="92"/>
      <c r="AZ503" s="58"/>
      <c r="BA503" s="58"/>
      <c r="BB503" s="58"/>
      <c r="BC503" s="58"/>
      <c r="BD503" s="58"/>
      <c r="BE503" s="58"/>
      <c r="BF503" s="58"/>
      <c r="BG503" s="58"/>
      <c r="BH503" s="58"/>
      <c r="BI503" s="58"/>
      <c r="BJ503" s="58"/>
      <c r="BK503" s="58"/>
      <c r="BL503" s="58"/>
      <c r="BM503" s="58"/>
      <c r="BN503" s="58"/>
      <c r="BO503" s="58"/>
      <c r="BP503" s="58"/>
      <c r="BQ503" s="58"/>
      <c r="BR503" s="58"/>
      <c r="BS503" s="58"/>
    </row>
    <row r="504" spans="1:71" ht="15.75" customHeight="1" x14ac:dyDescent="0.2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1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2"/>
      <c r="AR504" s="92"/>
      <c r="AS504" s="92"/>
      <c r="AT504" s="92"/>
      <c r="AU504" s="92"/>
      <c r="AV504" s="92"/>
      <c r="AW504" s="92"/>
      <c r="AX504" s="92"/>
      <c r="AY504" s="92"/>
      <c r="AZ504" s="58"/>
      <c r="BA504" s="58"/>
      <c r="BB504" s="58"/>
      <c r="BC504" s="58"/>
      <c r="BD504" s="58"/>
      <c r="BE504" s="58"/>
      <c r="BF504" s="58"/>
      <c r="BG504" s="58"/>
      <c r="BH504" s="58"/>
      <c r="BI504" s="58"/>
      <c r="BJ504" s="58"/>
      <c r="BK504" s="58"/>
      <c r="BL504" s="58"/>
      <c r="BM504" s="58"/>
      <c r="BN504" s="58"/>
      <c r="BO504" s="58"/>
      <c r="BP504" s="58"/>
      <c r="BQ504" s="58"/>
      <c r="BR504" s="58"/>
      <c r="BS504" s="58"/>
    </row>
    <row r="505" spans="1:71" ht="15.75" customHeight="1" x14ac:dyDescent="0.2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1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  <c r="AQ505" s="92"/>
      <c r="AR505" s="92"/>
      <c r="AS505" s="92"/>
      <c r="AT505" s="92"/>
      <c r="AU505" s="92"/>
      <c r="AV505" s="92"/>
      <c r="AW505" s="92"/>
      <c r="AX505" s="92"/>
      <c r="AY505" s="92"/>
      <c r="AZ505" s="58"/>
      <c r="BA505" s="58"/>
      <c r="BB505" s="58"/>
      <c r="BC505" s="58"/>
      <c r="BD505" s="58"/>
      <c r="BE505" s="58"/>
      <c r="BF505" s="58"/>
      <c r="BG505" s="58"/>
      <c r="BH505" s="58"/>
      <c r="BI505" s="58"/>
      <c r="BJ505" s="58"/>
      <c r="BK505" s="58"/>
      <c r="BL505" s="58"/>
      <c r="BM505" s="58"/>
      <c r="BN505" s="58"/>
      <c r="BO505" s="58"/>
      <c r="BP505" s="58"/>
      <c r="BQ505" s="58"/>
      <c r="BR505" s="58"/>
      <c r="BS505" s="58"/>
    </row>
    <row r="506" spans="1:71" ht="15.75" customHeight="1" x14ac:dyDescent="0.2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1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2"/>
      <c r="AR506" s="92"/>
      <c r="AS506" s="92"/>
      <c r="AT506" s="92"/>
      <c r="AU506" s="92"/>
      <c r="AV506" s="92"/>
      <c r="AW506" s="92"/>
      <c r="AX506" s="92"/>
      <c r="AY506" s="92"/>
      <c r="AZ506" s="58"/>
      <c r="BA506" s="58"/>
      <c r="BB506" s="58"/>
      <c r="BC506" s="58"/>
      <c r="BD506" s="58"/>
      <c r="BE506" s="58"/>
      <c r="BF506" s="58"/>
      <c r="BG506" s="58"/>
      <c r="BH506" s="58"/>
      <c r="BI506" s="58"/>
      <c r="BJ506" s="58"/>
      <c r="BK506" s="58"/>
      <c r="BL506" s="58"/>
      <c r="BM506" s="58"/>
      <c r="BN506" s="58"/>
      <c r="BO506" s="58"/>
      <c r="BP506" s="58"/>
      <c r="BQ506" s="58"/>
      <c r="BR506" s="58"/>
      <c r="BS506" s="58"/>
    </row>
    <row r="507" spans="1:71" ht="15.75" customHeight="1" x14ac:dyDescent="0.2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1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2"/>
      <c r="AR507" s="92"/>
      <c r="AS507" s="92"/>
      <c r="AT507" s="92"/>
      <c r="AU507" s="92"/>
      <c r="AV507" s="92"/>
      <c r="AW507" s="92"/>
      <c r="AX507" s="92"/>
      <c r="AY507" s="92"/>
      <c r="AZ507" s="58"/>
      <c r="BA507" s="58"/>
      <c r="BB507" s="58"/>
      <c r="BC507" s="58"/>
      <c r="BD507" s="58"/>
      <c r="BE507" s="58"/>
      <c r="BF507" s="58"/>
      <c r="BG507" s="58"/>
      <c r="BH507" s="58"/>
      <c r="BI507" s="58"/>
      <c r="BJ507" s="58"/>
      <c r="BK507" s="58"/>
      <c r="BL507" s="58"/>
      <c r="BM507" s="58"/>
      <c r="BN507" s="58"/>
      <c r="BO507" s="58"/>
      <c r="BP507" s="58"/>
      <c r="BQ507" s="58"/>
      <c r="BR507" s="58"/>
      <c r="BS507" s="58"/>
    </row>
    <row r="508" spans="1:71" ht="15.75" customHeight="1" x14ac:dyDescent="0.2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1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2"/>
      <c r="AR508" s="92"/>
      <c r="AS508" s="92"/>
      <c r="AT508" s="92"/>
      <c r="AU508" s="92"/>
      <c r="AV508" s="92"/>
      <c r="AW508" s="92"/>
      <c r="AX508" s="92"/>
      <c r="AY508" s="92"/>
      <c r="AZ508" s="58"/>
      <c r="BA508" s="58"/>
      <c r="BB508" s="58"/>
      <c r="BC508" s="58"/>
      <c r="BD508" s="58"/>
      <c r="BE508" s="58"/>
      <c r="BF508" s="58"/>
      <c r="BG508" s="58"/>
      <c r="BH508" s="58"/>
      <c r="BI508" s="58"/>
      <c r="BJ508" s="58"/>
      <c r="BK508" s="58"/>
      <c r="BL508" s="58"/>
      <c r="BM508" s="58"/>
      <c r="BN508" s="58"/>
      <c r="BO508" s="58"/>
      <c r="BP508" s="58"/>
      <c r="BQ508" s="58"/>
      <c r="BR508" s="58"/>
      <c r="BS508" s="58"/>
    </row>
    <row r="509" spans="1:71" ht="15.75" customHeight="1" x14ac:dyDescent="0.2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1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  <c r="AQ509" s="92"/>
      <c r="AR509" s="92"/>
      <c r="AS509" s="92"/>
      <c r="AT509" s="92"/>
      <c r="AU509" s="92"/>
      <c r="AV509" s="92"/>
      <c r="AW509" s="92"/>
      <c r="AX509" s="92"/>
      <c r="AY509" s="92"/>
      <c r="AZ509" s="58"/>
      <c r="BA509" s="58"/>
      <c r="BB509" s="58"/>
      <c r="BC509" s="58"/>
      <c r="BD509" s="58"/>
      <c r="BE509" s="58"/>
      <c r="BF509" s="58"/>
      <c r="BG509" s="58"/>
      <c r="BH509" s="58"/>
      <c r="BI509" s="58"/>
      <c r="BJ509" s="58"/>
      <c r="BK509" s="58"/>
      <c r="BL509" s="58"/>
      <c r="BM509" s="58"/>
      <c r="BN509" s="58"/>
      <c r="BO509" s="58"/>
      <c r="BP509" s="58"/>
      <c r="BQ509" s="58"/>
      <c r="BR509" s="58"/>
      <c r="BS509" s="58"/>
    </row>
    <row r="510" spans="1:71" ht="15.75" customHeight="1" x14ac:dyDescent="0.2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1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2"/>
      <c r="AR510" s="92"/>
      <c r="AS510" s="92"/>
      <c r="AT510" s="92"/>
      <c r="AU510" s="92"/>
      <c r="AV510" s="92"/>
      <c r="AW510" s="92"/>
      <c r="AX510" s="92"/>
      <c r="AY510" s="92"/>
      <c r="AZ510" s="58"/>
      <c r="BA510" s="58"/>
      <c r="BB510" s="58"/>
      <c r="BC510" s="58"/>
      <c r="BD510" s="58"/>
      <c r="BE510" s="58"/>
      <c r="BF510" s="58"/>
      <c r="BG510" s="58"/>
      <c r="BH510" s="58"/>
      <c r="BI510" s="58"/>
      <c r="BJ510" s="58"/>
      <c r="BK510" s="58"/>
      <c r="BL510" s="58"/>
      <c r="BM510" s="58"/>
      <c r="BN510" s="58"/>
      <c r="BO510" s="58"/>
      <c r="BP510" s="58"/>
      <c r="BQ510" s="58"/>
      <c r="BR510" s="58"/>
      <c r="BS510" s="58"/>
    </row>
    <row r="511" spans="1:71" ht="15.75" customHeight="1" x14ac:dyDescent="0.2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1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  <c r="AQ511" s="92"/>
      <c r="AR511" s="92"/>
      <c r="AS511" s="92"/>
      <c r="AT511" s="92"/>
      <c r="AU511" s="92"/>
      <c r="AV511" s="92"/>
      <c r="AW511" s="92"/>
      <c r="AX511" s="92"/>
      <c r="AY511" s="92"/>
      <c r="AZ511" s="58"/>
      <c r="BA511" s="58"/>
      <c r="BB511" s="58"/>
      <c r="BC511" s="58"/>
      <c r="BD511" s="58"/>
      <c r="BE511" s="58"/>
      <c r="BF511" s="58"/>
      <c r="BG511" s="58"/>
      <c r="BH511" s="58"/>
      <c r="BI511" s="58"/>
      <c r="BJ511" s="58"/>
      <c r="BK511" s="58"/>
      <c r="BL511" s="58"/>
      <c r="BM511" s="58"/>
      <c r="BN511" s="58"/>
      <c r="BO511" s="58"/>
      <c r="BP511" s="58"/>
      <c r="BQ511" s="58"/>
      <c r="BR511" s="58"/>
      <c r="BS511" s="58"/>
    </row>
    <row r="512" spans="1:71" ht="15.75" customHeight="1" x14ac:dyDescent="0.2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1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2"/>
      <c r="AR512" s="92"/>
      <c r="AS512" s="92"/>
      <c r="AT512" s="92"/>
      <c r="AU512" s="92"/>
      <c r="AV512" s="92"/>
      <c r="AW512" s="92"/>
      <c r="AX512" s="92"/>
      <c r="AY512" s="92"/>
      <c r="AZ512" s="58"/>
      <c r="BA512" s="58"/>
      <c r="BB512" s="58"/>
      <c r="BC512" s="58"/>
      <c r="BD512" s="58"/>
      <c r="BE512" s="58"/>
      <c r="BF512" s="58"/>
      <c r="BG512" s="58"/>
      <c r="BH512" s="58"/>
      <c r="BI512" s="58"/>
      <c r="BJ512" s="58"/>
      <c r="BK512" s="58"/>
      <c r="BL512" s="58"/>
      <c r="BM512" s="58"/>
      <c r="BN512" s="58"/>
      <c r="BO512" s="58"/>
      <c r="BP512" s="58"/>
      <c r="BQ512" s="58"/>
      <c r="BR512" s="58"/>
      <c r="BS512" s="58"/>
    </row>
    <row r="513" spans="1:71" ht="15.75" customHeight="1" x14ac:dyDescent="0.2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1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  <c r="AQ513" s="92"/>
      <c r="AR513" s="92"/>
      <c r="AS513" s="92"/>
      <c r="AT513" s="92"/>
      <c r="AU513" s="92"/>
      <c r="AV513" s="92"/>
      <c r="AW513" s="92"/>
      <c r="AX513" s="92"/>
      <c r="AY513" s="92"/>
      <c r="AZ513" s="58"/>
      <c r="BA513" s="58"/>
      <c r="BB513" s="58"/>
      <c r="BC513" s="58"/>
      <c r="BD513" s="58"/>
      <c r="BE513" s="58"/>
      <c r="BF513" s="58"/>
      <c r="BG513" s="58"/>
      <c r="BH513" s="58"/>
      <c r="BI513" s="58"/>
      <c r="BJ513" s="58"/>
      <c r="BK513" s="58"/>
      <c r="BL513" s="58"/>
      <c r="BM513" s="58"/>
      <c r="BN513" s="58"/>
      <c r="BO513" s="58"/>
      <c r="BP513" s="58"/>
      <c r="BQ513" s="58"/>
      <c r="BR513" s="58"/>
      <c r="BS513" s="58"/>
    </row>
    <row r="514" spans="1:71" ht="15.75" customHeight="1" x14ac:dyDescent="0.2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1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2"/>
      <c r="AR514" s="92"/>
      <c r="AS514" s="92"/>
      <c r="AT514" s="92"/>
      <c r="AU514" s="92"/>
      <c r="AV514" s="92"/>
      <c r="AW514" s="92"/>
      <c r="AX514" s="92"/>
      <c r="AY514" s="92"/>
      <c r="AZ514" s="58"/>
      <c r="BA514" s="58"/>
      <c r="BB514" s="58"/>
      <c r="BC514" s="58"/>
      <c r="BD514" s="58"/>
      <c r="BE514" s="58"/>
      <c r="BF514" s="58"/>
      <c r="BG514" s="58"/>
      <c r="BH514" s="58"/>
      <c r="BI514" s="58"/>
      <c r="BJ514" s="58"/>
      <c r="BK514" s="58"/>
      <c r="BL514" s="58"/>
      <c r="BM514" s="58"/>
      <c r="BN514" s="58"/>
      <c r="BO514" s="58"/>
      <c r="BP514" s="58"/>
      <c r="BQ514" s="58"/>
      <c r="BR514" s="58"/>
      <c r="BS514" s="58"/>
    </row>
    <row r="515" spans="1:71" ht="15.75" customHeight="1" x14ac:dyDescent="0.2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1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  <c r="AQ515" s="92"/>
      <c r="AR515" s="92"/>
      <c r="AS515" s="92"/>
      <c r="AT515" s="92"/>
      <c r="AU515" s="92"/>
      <c r="AV515" s="92"/>
      <c r="AW515" s="92"/>
      <c r="AX515" s="92"/>
      <c r="AY515" s="92"/>
      <c r="AZ515" s="58"/>
      <c r="BA515" s="58"/>
      <c r="BB515" s="58"/>
      <c r="BC515" s="58"/>
      <c r="BD515" s="58"/>
      <c r="BE515" s="58"/>
      <c r="BF515" s="58"/>
      <c r="BG515" s="58"/>
      <c r="BH515" s="58"/>
      <c r="BI515" s="58"/>
      <c r="BJ515" s="58"/>
      <c r="BK515" s="58"/>
      <c r="BL515" s="58"/>
      <c r="BM515" s="58"/>
      <c r="BN515" s="58"/>
      <c r="BO515" s="58"/>
      <c r="BP515" s="58"/>
      <c r="BQ515" s="58"/>
      <c r="BR515" s="58"/>
      <c r="BS515" s="58"/>
    </row>
    <row r="516" spans="1:71" ht="15.75" customHeight="1" x14ac:dyDescent="0.2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1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2"/>
      <c r="AR516" s="92"/>
      <c r="AS516" s="92"/>
      <c r="AT516" s="92"/>
      <c r="AU516" s="92"/>
      <c r="AV516" s="92"/>
      <c r="AW516" s="92"/>
      <c r="AX516" s="92"/>
      <c r="AY516" s="92"/>
      <c r="AZ516" s="58"/>
      <c r="BA516" s="58"/>
      <c r="BB516" s="58"/>
      <c r="BC516" s="58"/>
      <c r="BD516" s="58"/>
      <c r="BE516" s="58"/>
      <c r="BF516" s="58"/>
      <c r="BG516" s="58"/>
      <c r="BH516" s="58"/>
      <c r="BI516" s="58"/>
      <c r="BJ516" s="58"/>
      <c r="BK516" s="58"/>
      <c r="BL516" s="58"/>
      <c r="BM516" s="58"/>
      <c r="BN516" s="58"/>
      <c r="BO516" s="58"/>
      <c r="BP516" s="58"/>
      <c r="BQ516" s="58"/>
      <c r="BR516" s="58"/>
      <c r="BS516" s="58"/>
    </row>
    <row r="517" spans="1:71" ht="15.75" customHeight="1" x14ac:dyDescent="0.2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1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  <c r="AQ517" s="92"/>
      <c r="AR517" s="92"/>
      <c r="AS517" s="92"/>
      <c r="AT517" s="92"/>
      <c r="AU517" s="92"/>
      <c r="AV517" s="92"/>
      <c r="AW517" s="92"/>
      <c r="AX517" s="92"/>
      <c r="AY517" s="92"/>
      <c r="AZ517" s="58"/>
      <c r="BA517" s="58"/>
      <c r="BB517" s="58"/>
      <c r="BC517" s="58"/>
      <c r="BD517" s="58"/>
      <c r="BE517" s="58"/>
      <c r="BF517" s="58"/>
      <c r="BG517" s="58"/>
      <c r="BH517" s="58"/>
      <c r="BI517" s="58"/>
      <c r="BJ517" s="58"/>
      <c r="BK517" s="58"/>
      <c r="BL517" s="58"/>
      <c r="BM517" s="58"/>
      <c r="BN517" s="58"/>
      <c r="BO517" s="58"/>
      <c r="BP517" s="58"/>
      <c r="BQ517" s="58"/>
      <c r="BR517" s="58"/>
      <c r="BS517" s="58"/>
    </row>
    <row r="518" spans="1:71" ht="15.75" customHeight="1" x14ac:dyDescent="0.2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1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2"/>
      <c r="AR518" s="92"/>
      <c r="AS518" s="92"/>
      <c r="AT518" s="92"/>
      <c r="AU518" s="92"/>
      <c r="AV518" s="92"/>
      <c r="AW518" s="92"/>
      <c r="AX518" s="92"/>
      <c r="AY518" s="92"/>
      <c r="AZ518" s="58"/>
      <c r="BA518" s="58"/>
      <c r="BB518" s="58"/>
      <c r="BC518" s="58"/>
      <c r="BD518" s="58"/>
      <c r="BE518" s="58"/>
      <c r="BF518" s="58"/>
      <c r="BG518" s="58"/>
      <c r="BH518" s="58"/>
      <c r="BI518" s="58"/>
      <c r="BJ518" s="58"/>
      <c r="BK518" s="58"/>
      <c r="BL518" s="58"/>
      <c r="BM518" s="58"/>
      <c r="BN518" s="58"/>
      <c r="BO518" s="58"/>
      <c r="BP518" s="58"/>
      <c r="BQ518" s="58"/>
      <c r="BR518" s="58"/>
      <c r="BS518" s="58"/>
    </row>
    <row r="519" spans="1:71" ht="15.75" customHeight="1" x14ac:dyDescent="0.2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1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  <c r="AQ519" s="92"/>
      <c r="AR519" s="92"/>
      <c r="AS519" s="92"/>
      <c r="AT519" s="92"/>
      <c r="AU519" s="92"/>
      <c r="AV519" s="92"/>
      <c r="AW519" s="92"/>
      <c r="AX519" s="92"/>
      <c r="AY519" s="92"/>
      <c r="AZ519" s="58"/>
      <c r="BA519" s="58"/>
      <c r="BB519" s="58"/>
      <c r="BC519" s="58"/>
      <c r="BD519" s="58"/>
      <c r="BE519" s="58"/>
      <c r="BF519" s="58"/>
      <c r="BG519" s="58"/>
      <c r="BH519" s="58"/>
      <c r="BI519" s="58"/>
      <c r="BJ519" s="58"/>
      <c r="BK519" s="58"/>
      <c r="BL519" s="58"/>
      <c r="BM519" s="58"/>
      <c r="BN519" s="58"/>
      <c r="BO519" s="58"/>
      <c r="BP519" s="58"/>
      <c r="BQ519" s="58"/>
      <c r="BR519" s="58"/>
      <c r="BS519" s="58"/>
    </row>
    <row r="520" spans="1:71" ht="15.75" customHeight="1" x14ac:dyDescent="0.2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1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2"/>
      <c r="AR520" s="92"/>
      <c r="AS520" s="92"/>
      <c r="AT520" s="92"/>
      <c r="AU520" s="92"/>
      <c r="AV520" s="92"/>
      <c r="AW520" s="92"/>
      <c r="AX520" s="92"/>
      <c r="AY520" s="92"/>
      <c r="AZ520" s="58"/>
      <c r="BA520" s="58"/>
      <c r="BB520" s="58"/>
      <c r="BC520" s="58"/>
      <c r="BD520" s="58"/>
      <c r="BE520" s="58"/>
      <c r="BF520" s="58"/>
      <c r="BG520" s="58"/>
      <c r="BH520" s="58"/>
      <c r="BI520" s="58"/>
      <c r="BJ520" s="58"/>
      <c r="BK520" s="58"/>
      <c r="BL520" s="58"/>
      <c r="BM520" s="58"/>
      <c r="BN520" s="58"/>
      <c r="BO520" s="58"/>
      <c r="BP520" s="58"/>
      <c r="BQ520" s="58"/>
      <c r="BR520" s="58"/>
      <c r="BS520" s="58"/>
    </row>
    <row r="521" spans="1:71" ht="15.75" customHeight="1" x14ac:dyDescent="0.2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1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  <c r="AQ521" s="92"/>
      <c r="AR521" s="92"/>
      <c r="AS521" s="92"/>
      <c r="AT521" s="92"/>
      <c r="AU521" s="92"/>
      <c r="AV521" s="92"/>
      <c r="AW521" s="92"/>
      <c r="AX521" s="92"/>
      <c r="AY521" s="92"/>
      <c r="AZ521" s="58"/>
      <c r="BA521" s="58"/>
      <c r="BB521" s="58"/>
      <c r="BC521" s="58"/>
      <c r="BD521" s="58"/>
      <c r="BE521" s="58"/>
      <c r="BF521" s="58"/>
      <c r="BG521" s="58"/>
      <c r="BH521" s="58"/>
      <c r="BI521" s="58"/>
      <c r="BJ521" s="58"/>
      <c r="BK521" s="58"/>
      <c r="BL521" s="58"/>
      <c r="BM521" s="58"/>
      <c r="BN521" s="58"/>
      <c r="BO521" s="58"/>
      <c r="BP521" s="58"/>
      <c r="BQ521" s="58"/>
      <c r="BR521" s="58"/>
      <c r="BS521" s="58"/>
    </row>
    <row r="522" spans="1:71" ht="15.75" customHeight="1" x14ac:dyDescent="0.2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1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2"/>
      <c r="AR522" s="92"/>
      <c r="AS522" s="92"/>
      <c r="AT522" s="92"/>
      <c r="AU522" s="92"/>
      <c r="AV522" s="92"/>
      <c r="AW522" s="92"/>
      <c r="AX522" s="92"/>
      <c r="AY522" s="92"/>
      <c r="AZ522" s="58"/>
      <c r="BA522" s="58"/>
      <c r="BB522" s="58"/>
      <c r="BC522" s="58"/>
      <c r="BD522" s="58"/>
      <c r="BE522" s="58"/>
      <c r="BF522" s="58"/>
      <c r="BG522" s="58"/>
      <c r="BH522" s="58"/>
      <c r="BI522" s="58"/>
      <c r="BJ522" s="58"/>
      <c r="BK522" s="58"/>
      <c r="BL522" s="58"/>
      <c r="BM522" s="58"/>
      <c r="BN522" s="58"/>
      <c r="BO522" s="58"/>
      <c r="BP522" s="58"/>
      <c r="BQ522" s="58"/>
      <c r="BR522" s="58"/>
      <c r="BS522" s="58"/>
    </row>
    <row r="523" spans="1:71" ht="15.75" customHeight="1" x14ac:dyDescent="0.2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1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  <c r="AQ523" s="92"/>
      <c r="AR523" s="92"/>
      <c r="AS523" s="92"/>
      <c r="AT523" s="92"/>
      <c r="AU523" s="92"/>
      <c r="AV523" s="92"/>
      <c r="AW523" s="92"/>
      <c r="AX523" s="92"/>
      <c r="AY523" s="92"/>
      <c r="AZ523" s="58"/>
      <c r="BA523" s="58"/>
      <c r="BB523" s="58"/>
      <c r="BC523" s="58"/>
      <c r="BD523" s="58"/>
      <c r="BE523" s="58"/>
      <c r="BF523" s="58"/>
      <c r="BG523" s="58"/>
      <c r="BH523" s="58"/>
      <c r="BI523" s="58"/>
      <c r="BJ523" s="58"/>
      <c r="BK523" s="58"/>
      <c r="BL523" s="58"/>
      <c r="BM523" s="58"/>
      <c r="BN523" s="58"/>
      <c r="BO523" s="58"/>
      <c r="BP523" s="58"/>
      <c r="BQ523" s="58"/>
      <c r="BR523" s="58"/>
      <c r="BS523" s="58"/>
    </row>
    <row r="524" spans="1:71" ht="15.75" customHeight="1" x14ac:dyDescent="0.2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1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2"/>
      <c r="AR524" s="92"/>
      <c r="AS524" s="92"/>
      <c r="AT524" s="92"/>
      <c r="AU524" s="92"/>
      <c r="AV524" s="92"/>
      <c r="AW524" s="92"/>
      <c r="AX524" s="92"/>
      <c r="AY524" s="92"/>
      <c r="AZ524" s="58"/>
      <c r="BA524" s="58"/>
      <c r="BB524" s="58"/>
      <c r="BC524" s="58"/>
      <c r="BD524" s="58"/>
      <c r="BE524" s="58"/>
      <c r="BF524" s="58"/>
      <c r="BG524" s="58"/>
      <c r="BH524" s="58"/>
      <c r="BI524" s="58"/>
      <c r="BJ524" s="58"/>
      <c r="BK524" s="58"/>
      <c r="BL524" s="58"/>
      <c r="BM524" s="58"/>
      <c r="BN524" s="58"/>
      <c r="BO524" s="58"/>
      <c r="BP524" s="58"/>
      <c r="BQ524" s="58"/>
      <c r="BR524" s="58"/>
      <c r="BS524" s="58"/>
    </row>
    <row r="525" spans="1:71" ht="15.75" customHeight="1" x14ac:dyDescent="0.2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1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  <c r="AQ525" s="92"/>
      <c r="AR525" s="92"/>
      <c r="AS525" s="92"/>
      <c r="AT525" s="92"/>
      <c r="AU525" s="92"/>
      <c r="AV525" s="92"/>
      <c r="AW525" s="92"/>
      <c r="AX525" s="92"/>
      <c r="AY525" s="92"/>
      <c r="AZ525" s="58"/>
      <c r="BA525" s="58"/>
      <c r="BB525" s="58"/>
      <c r="BC525" s="58"/>
      <c r="BD525" s="58"/>
      <c r="BE525" s="58"/>
      <c r="BF525" s="58"/>
      <c r="BG525" s="58"/>
      <c r="BH525" s="58"/>
      <c r="BI525" s="58"/>
      <c r="BJ525" s="58"/>
      <c r="BK525" s="58"/>
      <c r="BL525" s="58"/>
      <c r="BM525" s="58"/>
      <c r="BN525" s="58"/>
      <c r="BO525" s="58"/>
      <c r="BP525" s="58"/>
      <c r="BQ525" s="58"/>
      <c r="BR525" s="58"/>
      <c r="BS525" s="58"/>
    </row>
    <row r="526" spans="1:71" ht="15.75" customHeight="1" x14ac:dyDescent="0.2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1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2"/>
      <c r="AR526" s="92"/>
      <c r="AS526" s="92"/>
      <c r="AT526" s="92"/>
      <c r="AU526" s="92"/>
      <c r="AV526" s="92"/>
      <c r="AW526" s="92"/>
      <c r="AX526" s="92"/>
      <c r="AY526" s="92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</row>
    <row r="527" spans="1:71" ht="15.75" customHeight="1" x14ac:dyDescent="0.2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1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  <c r="AQ527" s="92"/>
      <c r="AR527" s="92"/>
      <c r="AS527" s="92"/>
      <c r="AT527" s="92"/>
      <c r="AU527" s="92"/>
      <c r="AV527" s="92"/>
      <c r="AW527" s="92"/>
      <c r="AX527" s="92"/>
      <c r="AY527" s="92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</row>
    <row r="528" spans="1:71" ht="15.75" customHeight="1" x14ac:dyDescent="0.2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1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2"/>
      <c r="AR528" s="92"/>
      <c r="AS528" s="92"/>
      <c r="AT528" s="92"/>
      <c r="AU528" s="92"/>
      <c r="AV528" s="92"/>
      <c r="AW528" s="92"/>
      <c r="AX528" s="92"/>
      <c r="AY528" s="92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</row>
    <row r="529" spans="1:71" ht="15.75" customHeight="1" x14ac:dyDescent="0.2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1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  <c r="AQ529" s="92"/>
      <c r="AR529" s="92"/>
      <c r="AS529" s="92"/>
      <c r="AT529" s="92"/>
      <c r="AU529" s="92"/>
      <c r="AV529" s="92"/>
      <c r="AW529" s="92"/>
      <c r="AX529" s="92"/>
      <c r="AY529" s="92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</row>
    <row r="530" spans="1:71" ht="15.75" customHeight="1" x14ac:dyDescent="0.2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1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2"/>
      <c r="AR530" s="92"/>
      <c r="AS530" s="92"/>
      <c r="AT530" s="92"/>
      <c r="AU530" s="92"/>
      <c r="AV530" s="92"/>
      <c r="AW530" s="92"/>
      <c r="AX530" s="92"/>
      <c r="AY530" s="92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</row>
    <row r="531" spans="1:71" ht="15.75" customHeight="1" x14ac:dyDescent="0.2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1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  <c r="AQ531" s="92"/>
      <c r="AR531" s="92"/>
      <c r="AS531" s="92"/>
      <c r="AT531" s="92"/>
      <c r="AU531" s="92"/>
      <c r="AV531" s="92"/>
      <c r="AW531" s="92"/>
      <c r="AX531" s="92"/>
      <c r="AY531" s="92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</row>
    <row r="532" spans="1:71" ht="15.75" customHeight="1" x14ac:dyDescent="0.2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1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2"/>
      <c r="AR532" s="92"/>
      <c r="AS532" s="92"/>
      <c r="AT532" s="92"/>
      <c r="AU532" s="92"/>
      <c r="AV532" s="92"/>
      <c r="AW532" s="92"/>
      <c r="AX532" s="92"/>
      <c r="AY532" s="92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</row>
    <row r="533" spans="1:71" ht="15.75" customHeight="1" x14ac:dyDescent="0.2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1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  <c r="AQ533" s="92"/>
      <c r="AR533" s="92"/>
      <c r="AS533" s="92"/>
      <c r="AT533" s="92"/>
      <c r="AU533" s="92"/>
      <c r="AV533" s="92"/>
      <c r="AW533" s="92"/>
      <c r="AX533" s="92"/>
      <c r="AY533" s="92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</row>
    <row r="534" spans="1:71" ht="15.75" customHeight="1" x14ac:dyDescent="0.2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1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2"/>
      <c r="AR534" s="92"/>
      <c r="AS534" s="92"/>
      <c r="AT534" s="92"/>
      <c r="AU534" s="92"/>
      <c r="AV534" s="92"/>
      <c r="AW534" s="92"/>
      <c r="AX534" s="92"/>
      <c r="AY534" s="92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</row>
    <row r="535" spans="1:71" ht="15.75" customHeight="1" x14ac:dyDescent="0.2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1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  <c r="AQ535" s="92"/>
      <c r="AR535" s="92"/>
      <c r="AS535" s="92"/>
      <c r="AT535" s="92"/>
      <c r="AU535" s="92"/>
      <c r="AV535" s="92"/>
      <c r="AW535" s="92"/>
      <c r="AX535" s="92"/>
      <c r="AY535" s="92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</row>
    <row r="536" spans="1:71" ht="15.75" customHeight="1" x14ac:dyDescent="0.2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1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2"/>
      <c r="AR536" s="92"/>
      <c r="AS536" s="92"/>
      <c r="AT536" s="92"/>
      <c r="AU536" s="92"/>
      <c r="AV536" s="92"/>
      <c r="AW536" s="92"/>
      <c r="AX536" s="92"/>
      <c r="AY536" s="92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</row>
    <row r="537" spans="1:71" ht="15.75" customHeight="1" x14ac:dyDescent="0.2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1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  <c r="AQ537" s="92"/>
      <c r="AR537" s="92"/>
      <c r="AS537" s="92"/>
      <c r="AT537" s="92"/>
      <c r="AU537" s="92"/>
      <c r="AV537" s="92"/>
      <c r="AW537" s="92"/>
      <c r="AX537" s="92"/>
      <c r="AY537" s="92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</row>
    <row r="538" spans="1:71" ht="15.75" customHeight="1" x14ac:dyDescent="0.2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1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2"/>
      <c r="AR538" s="92"/>
      <c r="AS538" s="92"/>
      <c r="AT538" s="92"/>
      <c r="AU538" s="92"/>
      <c r="AV538" s="92"/>
      <c r="AW538" s="92"/>
      <c r="AX538" s="92"/>
      <c r="AY538" s="92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</row>
    <row r="539" spans="1:71" ht="15.75" customHeight="1" x14ac:dyDescent="0.2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1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  <c r="AQ539" s="92"/>
      <c r="AR539" s="92"/>
      <c r="AS539" s="92"/>
      <c r="AT539" s="92"/>
      <c r="AU539" s="92"/>
      <c r="AV539" s="92"/>
      <c r="AW539" s="92"/>
      <c r="AX539" s="92"/>
      <c r="AY539" s="92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</row>
    <row r="540" spans="1:71" ht="15.75" customHeight="1" x14ac:dyDescent="0.2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1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2"/>
      <c r="AR540" s="92"/>
      <c r="AS540" s="92"/>
      <c r="AT540" s="92"/>
      <c r="AU540" s="92"/>
      <c r="AV540" s="92"/>
      <c r="AW540" s="92"/>
      <c r="AX540" s="92"/>
      <c r="AY540" s="92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</row>
    <row r="541" spans="1:71" ht="15.75" customHeight="1" x14ac:dyDescent="0.2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1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  <c r="AQ541" s="92"/>
      <c r="AR541" s="92"/>
      <c r="AS541" s="92"/>
      <c r="AT541" s="92"/>
      <c r="AU541" s="92"/>
      <c r="AV541" s="92"/>
      <c r="AW541" s="92"/>
      <c r="AX541" s="92"/>
      <c r="AY541" s="92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</row>
    <row r="542" spans="1:71" ht="15.75" customHeight="1" x14ac:dyDescent="0.2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1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2"/>
      <c r="AR542" s="92"/>
      <c r="AS542" s="92"/>
      <c r="AT542" s="92"/>
      <c r="AU542" s="92"/>
      <c r="AV542" s="92"/>
      <c r="AW542" s="92"/>
      <c r="AX542" s="92"/>
      <c r="AY542" s="92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</row>
    <row r="543" spans="1:71" ht="15.75" customHeight="1" x14ac:dyDescent="0.2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1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  <c r="AQ543" s="92"/>
      <c r="AR543" s="92"/>
      <c r="AS543" s="92"/>
      <c r="AT543" s="92"/>
      <c r="AU543" s="92"/>
      <c r="AV543" s="92"/>
      <c r="AW543" s="92"/>
      <c r="AX543" s="92"/>
      <c r="AY543" s="92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</row>
    <row r="544" spans="1:71" ht="15.75" customHeight="1" x14ac:dyDescent="0.2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1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2"/>
      <c r="AR544" s="92"/>
      <c r="AS544" s="92"/>
      <c r="AT544" s="92"/>
      <c r="AU544" s="92"/>
      <c r="AV544" s="92"/>
      <c r="AW544" s="92"/>
      <c r="AX544" s="92"/>
      <c r="AY544" s="92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</row>
    <row r="545" spans="1:71" ht="15.75" customHeight="1" x14ac:dyDescent="0.2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1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  <c r="AQ545" s="92"/>
      <c r="AR545" s="92"/>
      <c r="AS545" s="92"/>
      <c r="AT545" s="92"/>
      <c r="AU545" s="92"/>
      <c r="AV545" s="92"/>
      <c r="AW545" s="92"/>
      <c r="AX545" s="92"/>
      <c r="AY545" s="92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</row>
    <row r="546" spans="1:71" ht="15.75" customHeight="1" x14ac:dyDescent="0.2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1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2"/>
      <c r="AR546" s="92"/>
      <c r="AS546" s="92"/>
      <c r="AT546" s="92"/>
      <c r="AU546" s="92"/>
      <c r="AV546" s="92"/>
      <c r="AW546" s="92"/>
      <c r="AX546" s="92"/>
      <c r="AY546" s="92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</row>
    <row r="547" spans="1:71" ht="15.75" customHeight="1" x14ac:dyDescent="0.2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1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  <c r="AQ547" s="92"/>
      <c r="AR547" s="92"/>
      <c r="AS547" s="92"/>
      <c r="AT547" s="92"/>
      <c r="AU547" s="92"/>
      <c r="AV547" s="92"/>
      <c r="AW547" s="92"/>
      <c r="AX547" s="92"/>
      <c r="AY547" s="92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</row>
    <row r="548" spans="1:71" ht="15.75" customHeight="1" x14ac:dyDescent="0.2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1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2"/>
      <c r="AR548" s="92"/>
      <c r="AS548" s="92"/>
      <c r="AT548" s="92"/>
      <c r="AU548" s="92"/>
      <c r="AV548" s="92"/>
      <c r="AW548" s="92"/>
      <c r="AX548" s="92"/>
      <c r="AY548" s="92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</row>
    <row r="549" spans="1:71" ht="15.75" customHeight="1" x14ac:dyDescent="0.2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1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  <c r="AQ549" s="92"/>
      <c r="AR549" s="92"/>
      <c r="AS549" s="92"/>
      <c r="AT549" s="92"/>
      <c r="AU549" s="92"/>
      <c r="AV549" s="92"/>
      <c r="AW549" s="92"/>
      <c r="AX549" s="92"/>
      <c r="AY549" s="92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</row>
    <row r="550" spans="1:71" ht="15.75" customHeight="1" x14ac:dyDescent="0.2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1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2"/>
      <c r="AR550" s="92"/>
      <c r="AS550" s="92"/>
      <c r="AT550" s="92"/>
      <c r="AU550" s="92"/>
      <c r="AV550" s="92"/>
      <c r="AW550" s="92"/>
      <c r="AX550" s="92"/>
      <c r="AY550" s="92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</row>
    <row r="551" spans="1:71" ht="15.75" customHeight="1" x14ac:dyDescent="0.2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1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  <c r="AQ551" s="92"/>
      <c r="AR551" s="92"/>
      <c r="AS551" s="92"/>
      <c r="AT551" s="92"/>
      <c r="AU551" s="92"/>
      <c r="AV551" s="92"/>
      <c r="AW551" s="92"/>
      <c r="AX551" s="92"/>
      <c r="AY551" s="92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</row>
    <row r="552" spans="1:71" ht="15.75" customHeight="1" x14ac:dyDescent="0.2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1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2"/>
      <c r="AR552" s="92"/>
      <c r="AS552" s="92"/>
      <c r="AT552" s="92"/>
      <c r="AU552" s="92"/>
      <c r="AV552" s="92"/>
      <c r="AW552" s="92"/>
      <c r="AX552" s="92"/>
      <c r="AY552" s="92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</row>
    <row r="553" spans="1:71" ht="15.75" customHeight="1" x14ac:dyDescent="0.2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1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  <c r="AQ553" s="92"/>
      <c r="AR553" s="92"/>
      <c r="AS553" s="92"/>
      <c r="AT553" s="92"/>
      <c r="AU553" s="92"/>
      <c r="AV553" s="92"/>
      <c r="AW553" s="92"/>
      <c r="AX553" s="92"/>
      <c r="AY553" s="92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</row>
    <row r="554" spans="1:71" ht="15.75" customHeight="1" x14ac:dyDescent="0.2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1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2"/>
      <c r="AR554" s="92"/>
      <c r="AS554" s="92"/>
      <c r="AT554" s="92"/>
      <c r="AU554" s="92"/>
      <c r="AV554" s="92"/>
      <c r="AW554" s="92"/>
      <c r="AX554" s="92"/>
      <c r="AY554" s="92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</row>
    <row r="555" spans="1:71" ht="15.75" customHeight="1" x14ac:dyDescent="0.2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1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  <c r="AQ555" s="92"/>
      <c r="AR555" s="92"/>
      <c r="AS555" s="92"/>
      <c r="AT555" s="92"/>
      <c r="AU555" s="92"/>
      <c r="AV555" s="92"/>
      <c r="AW555" s="92"/>
      <c r="AX555" s="92"/>
      <c r="AY555" s="92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</row>
    <row r="556" spans="1:71" ht="15.75" customHeight="1" x14ac:dyDescent="0.2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1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2"/>
      <c r="AR556" s="92"/>
      <c r="AS556" s="92"/>
      <c r="AT556" s="92"/>
      <c r="AU556" s="92"/>
      <c r="AV556" s="92"/>
      <c r="AW556" s="92"/>
      <c r="AX556" s="92"/>
      <c r="AY556" s="92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</row>
    <row r="557" spans="1:71" ht="15.75" customHeight="1" x14ac:dyDescent="0.2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1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  <c r="AQ557" s="92"/>
      <c r="AR557" s="92"/>
      <c r="AS557" s="92"/>
      <c r="AT557" s="92"/>
      <c r="AU557" s="92"/>
      <c r="AV557" s="92"/>
      <c r="AW557" s="92"/>
      <c r="AX557" s="92"/>
      <c r="AY557" s="92"/>
      <c r="AZ557" s="58"/>
      <c r="BA557" s="58"/>
      <c r="BB557" s="58"/>
      <c r="BC557" s="58"/>
      <c r="BD557" s="58"/>
      <c r="BE557" s="58"/>
      <c r="BF557" s="58"/>
      <c r="BG557" s="58"/>
      <c r="BH557" s="58"/>
      <c r="BI557" s="58"/>
      <c r="BJ557" s="58"/>
      <c r="BK557" s="58"/>
      <c r="BL557" s="58"/>
      <c r="BM557" s="58"/>
      <c r="BN557" s="58"/>
      <c r="BO557" s="58"/>
      <c r="BP557" s="58"/>
      <c r="BQ557" s="58"/>
      <c r="BR557" s="58"/>
      <c r="BS557" s="58"/>
    </row>
    <row r="558" spans="1:71" ht="15.75" customHeight="1" x14ac:dyDescent="0.2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1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2"/>
      <c r="AR558" s="92"/>
      <c r="AS558" s="92"/>
      <c r="AT558" s="92"/>
      <c r="AU558" s="92"/>
      <c r="AV558" s="92"/>
      <c r="AW558" s="92"/>
      <c r="AX558" s="92"/>
      <c r="AY558" s="92"/>
      <c r="AZ558" s="58"/>
      <c r="BA558" s="58"/>
      <c r="BB558" s="58"/>
      <c r="BC558" s="58"/>
      <c r="BD558" s="58"/>
      <c r="BE558" s="58"/>
      <c r="BF558" s="58"/>
      <c r="BG558" s="58"/>
      <c r="BH558" s="58"/>
      <c r="BI558" s="58"/>
      <c r="BJ558" s="58"/>
      <c r="BK558" s="58"/>
      <c r="BL558" s="58"/>
      <c r="BM558" s="58"/>
      <c r="BN558" s="58"/>
      <c r="BO558" s="58"/>
      <c r="BP558" s="58"/>
      <c r="BQ558" s="58"/>
      <c r="BR558" s="58"/>
      <c r="BS558" s="58"/>
    </row>
    <row r="559" spans="1:71" ht="15.75" customHeight="1" x14ac:dyDescent="0.2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1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  <c r="AQ559" s="92"/>
      <c r="AR559" s="92"/>
      <c r="AS559" s="92"/>
      <c r="AT559" s="92"/>
      <c r="AU559" s="92"/>
      <c r="AV559" s="92"/>
      <c r="AW559" s="92"/>
      <c r="AX559" s="92"/>
      <c r="AY559" s="92"/>
      <c r="AZ559" s="58"/>
      <c r="BA559" s="58"/>
      <c r="BB559" s="58"/>
      <c r="BC559" s="58"/>
      <c r="BD559" s="58"/>
      <c r="BE559" s="58"/>
      <c r="BF559" s="58"/>
      <c r="BG559" s="58"/>
      <c r="BH559" s="58"/>
      <c r="BI559" s="58"/>
      <c r="BJ559" s="58"/>
      <c r="BK559" s="58"/>
      <c r="BL559" s="58"/>
      <c r="BM559" s="58"/>
      <c r="BN559" s="58"/>
      <c r="BO559" s="58"/>
      <c r="BP559" s="58"/>
      <c r="BQ559" s="58"/>
      <c r="BR559" s="58"/>
      <c r="BS559" s="58"/>
    </row>
    <row r="560" spans="1:71" ht="15.75" customHeight="1" x14ac:dyDescent="0.2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1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2"/>
      <c r="AR560" s="92"/>
      <c r="AS560" s="92"/>
      <c r="AT560" s="92"/>
      <c r="AU560" s="92"/>
      <c r="AV560" s="92"/>
      <c r="AW560" s="92"/>
      <c r="AX560" s="92"/>
      <c r="AY560" s="92"/>
      <c r="AZ560" s="58"/>
      <c r="BA560" s="58"/>
      <c r="BB560" s="58"/>
      <c r="BC560" s="58"/>
      <c r="BD560" s="58"/>
      <c r="BE560" s="58"/>
      <c r="BF560" s="58"/>
      <c r="BG560" s="58"/>
      <c r="BH560" s="58"/>
      <c r="BI560" s="58"/>
      <c r="BJ560" s="58"/>
      <c r="BK560" s="58"/>
      <c r="BL560" s="58"/>
      <c r="BM560" s="58"/>
      <c r="BN560" s="58"/>
      <c r="BO560" s="58"/>
      <c r="BP560" s="58"/>
      <c r="BQ560" s="58"/>
      <c r="BR560" s="58"/>
      <c r="BS560" s="58"/>
    </row>
    <row r="561" spans="1:71" ht="15.75" customHeight="1" x14ac:dyDescent="0.2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1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  <c r="AQ561" s="92"/>
      <c r="AR561" s="92"/>
      <c r="AS561" s="92"/>
      <c r="AT561" s="92"/>
      <c r="AU561" s="92"/>
      <c r="AV561" s="92"/>
      <c r="AW561" s="92"/>
      <c r="AX561" s="92"/>
      <c r="AY561" s="92"/>
      <c r="AZ561" s="58"/>
      <c r="BA561" s="58"/>
      <c r="BB561" s="58"/>
      <c r="BC561" s="58"/>
      <c r="BD561" s="58"/>
      <c r="BE561" s="58"/>
      <c r="BF561" s="58"/>
      <c r="BG561" s="58"/>
      <c r="BH561" s="58"/>
      <c r="BI561" s="58"/>
      <c r="BJ561" s="58"/>
      <c r="BK561" s="58"/>
      <c r="BL561" s="58"/>
      <c r="BM561" s="58"/>
      <c r="BN561" s="58"/>
      <c r="BO561" s="58"/>
      <c r="BP561" s="58"/>
      <c r="BQ561" s="58"/>
      <c r="BR561" s="58"/>
      <c r="BS561" s="58"/>
    </row>
    <row r="562" spans="1:71" ht="15.75" customHeight="1" x14ac:dyDescent="0.2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1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2"/>
      <c r="AR562" s="92"/>
      <c r="AS562" s="92"/>
      <c r="AT562" s="92"/>
      <c r="AU562" s="92"/>
      <c r="AV562" s="92"/>
      <c r="AW562" s="92"/>
      <c r="AX562" s="92"/>
      <c r="AY562" s="92"/>
      <c r="AZ562" s="58"/>
      <c r="BA562" s="58"/>
      <c r="BB562" s="58"/>
      <c r="BC562" s="58"/>
      <c r="BD562" s="58"/>
      <c r="BE562" s="58"/>
      <c r="BF562" s="58"/>
      <c r="BG562" s="58"/>
      <c r="BH562" s="58"/>
      <c r="BI562" s="58"/>
      <c r="BJ562" s="58"/>
      <c r="BK562" s="58"/>
      <c r="BL562" s="58"/>
      <c r="BM562" s="58"/>
      <c r="BN562" s="58"/>
      <c r="BO562" s="58"/>
      <c r="BP562" s="58"/>
      <c r="BQ562" s="58"/>
      <c r="BR562" s="58"/>
      <c r="BS562" s="58"/>
    </row>
    <row r="563" spans="1:71" ht="15.75" customHeight="1" x14ac:dyDescent="0.2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1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  <c r="AQ563" s="92"/>
      <c r="AR563" s="92"/>
      <c r="AS563" s="92"/>
      <c r="AT563" s="92"/>
      <c r="AU563" s="92"/>
      <c r="AV563" s="92"/>
      <c r="AW563" s="92"/>
      <c r="AX563" s="92"/>
      <c r="AY563" s="92"/>
      <c r="AZ563" s="58"/>
      <c r="BA563" s="58"/>
      <c r="BB563" s="58"/>
      <c r="BC563" s="58"/>
      <c r="BD563" s="58"/>
      <c r="BE563" s="58"/>
      <c r="BF563" s="58"/>
      <c r="BG563" s="58"/>
      <c r="BH563" s="58"/>
      <c r="BI563" s="58"/>
      <c r="BJ563" s="58"/>
      <c r="BK563" s="58"/>
      <c r="BL563" s="58"/>
      <c r="BM563" s="58"/>
      <c r="BN563" s="58"/>
      <c r="BO563" s="58"/>
      <c r="BP563" s="58"/>
      <c r="BQ563" s="58"/>
      <c r="BR563" s="58"/>
      <c r="BS563" s="58"/>
    </row>
    <row r="564" spans="1:71" ht="15.75" customHeight="1" x14ac:dyDescent="0.2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1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2"/>
      <c r="AR564" s="92"/>
      <c r="AS564" s="92"/>
      <c r="AT564" s="92"/>
      <c r="AU564" s="92"/>
      <c r="AV564" s="92"/>
      <c r="AW564" s="92"/>
      <c r="AX564" s="92"/>
      <c r="AY564" s="92"/>
      <c r="AZ564" s="58"/>
      <c r="BA564" s="58"/>
      <c r="BB564" s="58"/>
      <c r="BC564" s="58"/>
      <c r="BD564" s="58"/>
      <c r="BE564" s="58"/>
      <c r="BF564" s="58"/>
      <c r="BG564" s="58"/>
      <c r="BH564" s="58"/>
      <c r="BI564" s="58"/>
      <c r="BJ564" s="58"/>
      <c r="BK564" s="58"/>
      <c r="BL564" s="58"/>
      <c r="BM564" s="58"/>
      <c r="BN564" s="58"/>
      <c r="BO564" s="58"/>
      <c r="BP564" s="58"/>
      <c r="BQ564" s="58"/>
      <c r="BR564" s="58"/>
      <c r="BS564" s="58"/>
    </row>
    <row r="565" spans="1:71" ht="15.75" customHeight="1" x14ac:dyDescent="0.2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1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  <c r="AQ565" s="92"/>
      <c r="AR565" s="92"/>
      <c r="AS565" s="92"/>
      <c r="AT565" s="92"/>
      <c r="AU565" s="92"/>
      <c r="AV565" s="92"/>
      <c r="AW565" s="92"/>
      <c r="AX565" s="92"/>
      <c r="AY565" s="92"/>
      <c r="AZ565" s="58"/>
      <c r="BA565" s="58"/>
      <c r="BB565" s="58"/>
      <c r="BC565" s="58"/>
      <c r="BD565" s="58"/>
      <c r="BE565" s="58"/>
      <c r="BF565" s="58"/>
      <c r="BG565" s="58"/>
      <c r="BH565" s="58"/>
      <c r="BI565" s="58"/>
      <c r="BJ565" s="58"/>
      <c r="BK565" s="58"/>
      <c r="BL565" s="58"/>
      <c r="BM565" s="58"/>
      <c r="BN565" s="58"/>
      <c r="BO565" s="58"/>
      <c r="BP565" s="58"/>
      <c r="BQ565" s="58"/>
      <c r="BR565" s="58"/>
      <c r="BS565" s="58"/>
    </row>
    <row r="566" spans="1:71" ht="15.75" customHeight="1" x14ac:dyDescent="0.2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1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2"/>
      <c r="AR566" s="92"/>
      <c r="AS566" s="92"/>
      <c r="AT566" s="92"/>
      <c r="AU566" s="92"/>
      <c r="AV566" s="92"/>
      <c r="AW566" s="92"/>
      <c r="AX566" s="92"/>
      <c r="AY566" s="92"/>
      <c r="AZ566" s="58"/>
      <c r="BA566" s="58"/>
      <c r="BB566" s="58"/>
      <c r="BC566" s="58"/>
      <c r="BD566" s="58"/>
      <c r="BE566" s="58"/>
      <c r="BF566" s="58"/>
      <c r="BG566" s="58"/>
      <c r="BH566" s="58"/>
      <c r="BI566" s="58"/>
      <c r="BJ566" s="58"/>
      <c r="BK566" s="58"/>
      <c r="BL566" s="58"/>
      <c r="BM566" s="58"/>
      <c r="BN566" s="58"/>
      <c r="BO566" s="58"/>
      <c r="BP566" s="58"/>
      <c r="BQ566" s="58"/>
      <c r="BR566" s="58"/>
      <c r="BS566" s="58"/>
    </row>
    <row r="567" spans="1:71" ht="15.75" customHeight="1" x14ac:dyDescent="0.2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1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  <c r="AQ567" s="92"/>
      <c r="AR567" s="92"/>
      <c r="AS567" s="92"/>
      <c r="AT567" s="92"/>
      <c r="AU567" s="92"/>
      <c r="AV567" s="92"/>
      <c r="AW567" s="92"/>
      <c r="AX567" s="92"/>
      <c r="AY567" s="92"/>
      <c r="AZ567" s="58"/>
      <c r="BA567" s="58"/>
      <c r="BB567" s="58"/>
      <c r="BC567" s="58"/>
      <c r="BD567" s="58"/>
      <c r="BE567" s="58"/>
      <c r="BF567" s="58"/>
      <c r="BG567" s="58"/>
      <c r="BH567" s="58"/>
      <c r="BI567" s="58"/>
      <c r="BJ567" s="58"/>
      <c r="BK567" s="58"/>
      <c r="BL567" s="58"/>
      <c r="BM567" s="58"/>
      <c r="BN567" s="58"/>
      <c r="BO567" s="58"/>
      <c r="BP567" s="58"/>
      <c r="BQ567" s="58"/>
      <c r="BR567" s="58"/>
      <c r="BS567" s="58"/>
    </row>
    <row r="568" spans="1:71" ht="15.75" customHeight="1" x14ac:dyDescent="0.2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1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2"/>
      <c r="AR568" s="92"/>
      <c r="AS568" s="92"/>
      <c r="AT568" s="92"/>
      <c r="AU568" s="92"/>
      <c r="AV568" s="92"/>
      <c r="AW568" s="92"/>
      <c r="AX568" s="92"/>
      <c r="AY568" s="92"/>
      <c r="AZ568" s="58"/>
      <c r="BA568" s="58"/>
      <c r="BB568" s="58"/>
      <c r="BC568" s="58"/>
      <c r="BD568" s="58"/>
      <c r="BE568" s="58"/>
      <c r="BF568" s="58"/>
      <c r="BG568" s="58"/>
      <c r="BH568" s="58"/>
      <c r="BI568" s="58"/>
      <c r="BJ568" s="58"/>
      <c r="BK568" s="58"/>
      <c r="BL568" s="58"/>
      <c r="BM568" s="58"/>
      <c r="BN568" s="58"/>
      <c r="BO568" s="58"/>
      <c r="BP568" s="58"/>
      <c r="BQ568" s="58"/>
      <c r="BR568" s="58"/>
      <c r="BS568" s="58"/>
    </row>
    <row r="569" spans="1:71" ht="15.75" customHeight="1" x14ac:dyDescent="0.2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1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  <c r="AQ569" s="92"/>
      <c r="AR569" s="92"/>
      <c r="AS569" s="92"/>
      <c r="AT569" s="92"/>
      <c r="AU569" s="92"/>
      <c r="AV569" s="92"/>
      <c r="AW569" s="92"/>
      <c r="AX569" s="92"/>
      <c r="AY569" s="92"/>
      <c r="AZ569" s="58"/>
      <c r="BA569" s="58"/>
      <c r="BB569" s="58"/>
      <c r="BC569" s="58"/>
      <c r="BD569" s="58"/>
      <c r="BE569" s="58"/>
      <c r="BF569" s="58"/>
      <c r="BG569" s="58"/>
      <c r="BH569" s="58"/>
      <c r="BI569" s="58"/>
      <c r="BJ569" s="58"/>
      <c r="BK569" s="58"/>
      <c r="BL569" s="58"/>
      <c r="BM569" s="58"/>
      <c r="BN569" s="58"/>
      <c r="BO569" s="58"/>
      <c r="BP569" s="58"/>
      <c r="BQ569" s="58"/>
      <c r="BR569" s="58"/>
      <c r="BS569" s="58"/>
    </row>
    <row r="570" spans="1:71" ht="15.75" customHeight="1" x14ac:dyDescent="0.2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1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2"/>
      <c r="AR570" s="92"/>
      <c r="AS570" s="92"/>
      <c r="AT570" s="92"/>
      <c r="AU570" s="92"/>
      <c r="AV570" s="92"/>
      <c r="AW570" s="92"/>
      <c r="AX570" s="92"/>
      <c r="AY570" s="92"/>
      <c r="AZ570" s="58"/>
      <c r="BA570" s="58"/>
      <c r="BB570" s="58"/>
      <c r="BC570" s="58"/>
      <c r="BD570" s="58"/>
      <c r="BE570" s="58"/>
      <c r="BF570" s="58"/>
      <c r="BG570" s="58"/>
      <c r="BH570" s="58"/>
      <c r="BI570" s="58"/>
      <c r="BJ570" s="58"/>
      <c r="BK570" s="58"/>
      <c r="BL570" s="58"/>
      <c r="BM570" s="58"/>
      <c r="BN570" s="58"/>
      <c r="BO570" s="58"/>
      <c r="BP570" s="58"/>
      <c r="BQ570" s="58"/>
      <c r="BR570" s="58"/>
      <c r="BS570" s="58"/>
    </row>
    <row r="571" spans="1:71" ht="15.75" customHeight="1" x14ac:dyDescent="0.2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1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  <c r="AQ571" s="92"/>
      <c r="AR571" s="92"/>
      <c r="AS571" s="92"/>
      <c r="AT571" s="92"/>
      <c r="AU571" s="92"/>
      <c r="AV571" s="92"/>
      <c r="AW571" s="92"/>
      <c r="AX571" s="92"/>
      <c r="AY571" s="92"/>
      <c r="AZ571" s="58"/>
      <c r="BA571" s="58"/>
      <c r="BB571" s="58"/>
      <c r="BC571" s="58"/>
      <c r="BD571" s="58"/>
      <c r="BE571" s="58"/>
      <c r="BF571" s="58"/>
      <c r="BG571" s="58"/>
      <c r="BH571" s="58"/>
      <c r="BI571" s="58"/>
      <c r="BJ571" s="58"/>
      <c r="BK571" s="58"/>
      <c r="BL571" s="58"/>
      <c r="BM571" s="58"/>
      <c r="BN571" s="58"/>
      <c r="BO571" s="58"/>
      <c r="BP571" s="58"/>
      <c r="BQ571" s="58"/>
      <c r="BR571" s="58"/>
      <c r="BS571" s="58"/>
    </row>
    <row r="572" spans="1:71" ht="15.75" customHeight="1" x14ac:dyDescent="0.2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1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2"/>
      <c r="AR572" s="92"/>
      <c r="AS572" s="92"/>
      <c r="AT572" s="92"/>
      <c r="AU572" s="92"/>
      <c r="AV572" s="92"/>
      <c r="AW572" s="92"/>
      <c r="AX572" s="92"/>
      <c r="AY572" s="92"/>
      <c r="AZ572" s="58"/>
      <c r="BA572" s="58"/>
      <c r="BB572" s="58"/>
      <c r="BC572" s="58"/>
      <c r="BD572" s="58"/>
      <c r="BE572" s="58"/>
      <c r="BF572" s="58"/>
      <c r="BG572" s="58"/>
      <c r="BH572" s="58"/>
      <c r="BI572" s="58"/>
      <c r="BJ572" s="58"/>
      <c r="BK572" s="58"/>
      <c r="BL572" s="58"/>
      <c r="BM572" s="58"/>
      <c r="BN572" s="58"/>
      <c r="BO572" s="58"/>
      <c r="BP572" s="58"/>
      <c r="BQ572" s="58"/>
      <c r="BR572" s="58"/>
      <c r="BS572" s="58"/>
    </row>
    <row r="573" spans="1:71" ht="15.75" customHeight="1" x14ac:dyDescent="0.2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1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  <c r="AQ573" s="92"/>
      <c r="AR573" s="92"/>
      <c r="AS573" s="92"/>
      <c r="AT573" s="92"/>
      <c r="AU573" s="92"/>
      <c r="AV573" s="92"/>
      <c r="AW573" s="92"/>
      <c r="AX573" s="92"/>
      <c r="AY573" s="92"/>
      <c r="AZ573" s="58"/>
      <c r="BA573" s="58"/>
      <c r="BB573" s="58"/>
      <c r="BC573" s="58"/>
      <c r="BD573" s="58"/>
      <c r="BE573" s="58"/>
      <c r="BF573" s="58"/>
      <c r="BG573" s="58"/>
      <c r="BH573" s="58"/>
      <c r="BI573" s="58"/>
      <c r="BJ573" s="58"/>
      <c r="BK573" s="58"/>
      <c r="BL573" s="58"/>
      <c r="BM573" s="58"/>
      <c r="BN573" s="58"/>
      <c r="BO573" s="58"/>
      <c r="BP573" s="58"/>
      <c r="BQ573" s="58"/>
      <c r="BR573" s="58"/>
      <c r="BS573" s="58"/>
    </row>
    <row r="574" spans="1:71" ht="15.75" customHeight="1" x14ac:dyDescent="0.2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1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2"/>
      <c r="AR574" s="92"/>
      <c r="AS574" s="92"/>
      <c r="AT574" s="92"/>
      <c r="AU574" s="92"/>
      <c r="AV574" s="92"/>
      <c r="AW574" s="92"/>
      <c r="AX574" s="92"/>
      <c r="AY574" s="92"/>
      <c r="AZ574" s="58"/>
      <c r="BA574" s="58"/>
      <c r="BB574" s="58"/>
      <c r="BC574" s="58"/>
      <c r="BD574" s="58"/>
      <c r="BE574" s="58"/>
      <c r="BF574" s="58"/>
      <c r="BG574" s="58"/>
      <c r="BH574" s="58"/>
      <c r="BI574" s="58"/>
      <c r="BJ574" s="58"/>
      <c r="BK574" s="58"/>
      <c r="BL574" s="58"/>
      <c r="BM574" s="58"/>
      <c r="BN574" s="58"/>
      <c r="BO574" s="58"/>
      <c r="BP574" s="58"/>
      <c r="BQ574" s="58"/>
      <c r="BR574" s="58"/>
      <c r="BS574" s="58"/>
    </row>
    <row r="575" spans="1:71" ht="15.75" customHeight="1" x14ac:dyDescent="0.2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1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  <c r="AQ575" s="92"/>
      <c r="AR575" s="92"/>
      <c r="AS575" s="92"/>
      <c r="AT575" s="92"/>
      <c r="AU575" s="92"/>
      <c r="AV575" s="92"/>
      <c r="AW575" s="92"/>
      <c r="AX575" s="92"/>
      <c r="AY575" s="92"/>
      <c r="AZ575" s="58"/>
      <c r="BA575" s="58"/>
      <c r="BB575" s="58"/>
      <c r="BC575" s="58"/>
      <c r="BD575" s="58"/>
      <c r="BE575" s="58"/>
      <c r="BF575" s="58"/>
      <c r="BG575" s="58"/>
      <c r="BH575" s="58"/>
      <c r="BI575" s="58"/>
      <c r="BJ575" s="58"/>
      <c r="BK575" s="58"/>
      <c r="BL575" s="58"/>
      <c r="BM575" s="58"/>
      <c r="BN575" s="58"/>
      <c r="BO575" s="58"/>
      <c r="BP575" s="58"/>
      <c r="BQ575" s="58"/>
      <c r="BR575" s="58"/>
      <c r="BS575" s="58"/>
    </row>
    <row r="576" spans="1:71" ht="15.75" customHeight="1" x14ac:dyDescent="0.2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1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2"/>
      <c r="AR576" s="92"/>
      <c r="AS576" s="92"/>
      <c r="AT576" s="92"/>
      <c r="AU576" s="92"/>
      <c r="AV576" s="92"/>
      <c r="AW576" s="92"/>
      <c r="AX576" s="92"/>
      <c r="AY576" s="92"/>
      <c r="AZ576" s="58"/>
      <c r="BA576" s="58"/>
      <c r="BB576" s="58"/>
      <c r="BC576" s="58"/>
      <c r="BD576" s="58"/>
      <c r="BE576" s="58"/>
      <c r="BF576" s="58"/>
      <c r="BG576" s="58"/>
      <c r="BH576" s="58"/>
      <c r="BI576" s="58"/>
      <c r="BJ576" s="58"/>
      <c r="BK576" s="58"/>
      <c r="BL576" s="58"/>
      <c r="BM576" s="58"/>
      <c r="BN576" s="58"/>
      <c r="BO576" s="58"/>
      <c r="BP576" s="58"/>
      <c r="BQ576" s="58"/>
      <c r="BR576" s="58"/>
      <c r="BS576" s="58"/>
    </row>
    <row r="577" spans="1:71" ht="15.75" customHeight="1" x14ac:dyDescent="0.2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1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  <c r="AQ577" s="92"/>
      <c r="AR577" s="92"/>
      <c r="AS577" s="92"/>
      <c r="AT577" s="92"/>
      <c r="AU577" s="92"/>
      <c r="AV577" s="92"/>
      <c r="AW577" s="92"/>
      <c r="AX577" s="92"/>
      <c r="AY577" s="92"/>
      <c r="AZ577" s="58"/>
      <c r="BA577" s="58"/>
      <c r="BB577" s="58"/>
      <c r="BC577" s="58"/>
      <c r="BD577" s="58"/>
      <c r="BE577" s="58"/>
      <c r="BF577" s="58"/>
      <c r="BG577" s="58"/>
      <c r="BH577" s="58"/>
      <c r="BI577" s="58"/>
      <c r="BJ577" s="58"/>
      <c r="BK577" s="58"/>
      <c r="BL577" s="58"/>
      <c r="BM577" s="58"/>
      <c r="BN577" s="58"/>
      <c r="BO577" s="58"/>
      <c r="BP577" s="58"/>
      <c r="BQ577" s="58"/>
      <c r="BR577" s="58"/>
      <c r="BS577" s="58"/>
    </row>
    <row r="578" spans="1:71" ht="15.75" customHeight="1" x14ac:dyDescent="0.2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1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2"/>
      <c r="AR578" s="92"/>
      <c r="AS578" s="92"/>
      <c r="AT578" s="92"/>
      <c r="AU578" s="92"/>
      <c r="AV578" s="92"/>
      <c r="AW578" s="92"/>
      <c r="AX578" s="92"/>
      <c r="AY578" s="92"/>
      <c r="AZ578" s="58"/>
      <c r="BA578" s="58"/>
      <c r="BB578" s="58"/>
      <c r="BC578" s="58"/>
      <c r="BD578" s="58"/>
      <c r="BE578" s="58"/>
      <c r="BF578" s="58"/>
      <c r="BG578" s="58"/>
      <c r="BH578" s="58"/>
      <c r="BI578" s="58"/>
      <c r="BJ578" s="58"/>
      <c r="BK578" s="58"/>
      <c r="BL578" s="58"/>
      <c r="BM578" s="58"/>
      <c r="BN578" s="58"/>
      <c r="BO578" s="58"/>
      <c r="BP578" s="58"/>
      <c r="BQ578" s="58"/>
      <c r="BR578" s="58"/>
      <c r="BS578" s="58"/>
    </row>
    <row r="579" spans="1:71" ht="15.75" customHeight="1" x14ac:dyDescent="0.2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1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  <c r="AQ579" s="92"/>
      <c r="AR579" s="92"/>
      <c r="AS579" s="92"/>
      <c r="AT579" s="92"/>
      <c r="AU579" s="92"/>
      <c r="AV579" s="92"/>
      <c r="AW579" s="92"/>
      <c r="AX579" s="92"/>
      <c r="AY579" s="92"/>
      <c r="AZ579" s="58"/>
      <c r="BA579" s="58"/>
      <c r="BB579" s="58"/>
      <c r="BC579" s="58"/>
      <c r="BD579" s="58"/>
      <c r="BE579" s="58"/>
      <c r="BF579" s="58"/>
      <c r="BG579" s="58"/>
      <c r="BH579" s="58"/>
      <c r="BI579" s="58"/>
      <c r="BJ579" s="58"/>
      <c r="BK579" s="58"/>
      <c r="BL579" s="58"/>
      <c r="BM579" s="58"/>
      <c r="BN579" s="58"/>
      <c r="BO579" s="58"/>
      <c r="BP579" s="58"/>
      <c r="BQ579" s="58"/>
      <c r="BR579" s="58"/>
      <c r="BS579" s="58"/>
    </row>
    <row r="580" spans="1:71" ht="15.75" customHeight="1" x14ac:dyDescent="0.2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1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2"/>
      <c r="AR580" s="92"/>
      <c r="AS580" s="92"/>
      <c r="AT580" s="92"/>
      <c r="AU580" s="92"/>
      <c r="AV580" s="92"/>
      <c r="AW580" s="92"/>
      <c r="AX580" s="92"/>
      <c r="AY580" s="92"/>
      <c r="AZ580" s="58"/>
      <c r="BA580" s="58"/>
      <c r="BB580" s="58"/>
      <c r="BC580" s="58"/>
      <c r="BD580" s="58"/>
      <c r="BE580" s="58"/>
      <c r="BF580" s="58"/>
      <c r="BG580" s="58"/>
      <c r="BH580" s="58"/>
      <c r="BI580" s="58"/>
      <c r="BJ580" s="58"/>
      <c r="BK580" s="58"/>
      <c r="BL580" s="58"/>
      <c r="BM580" s="58"/>
      <c r="BN580" s="58"/>
      <c r="BO580" s="58"/>
      <c r="BP580" s="58"/>
      <c r="BQ580" s="58"/>
      <c r="BR580" s="58"/>
      <c r="BS580" s="58"/>
    </row>
    <row r="581" spans="1:71" ht="15.75" customHeight="1" x14ac:dyDescent="0.2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1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  <c r="AQ581" s="92"/>
      <c r="AR581" s="92"/>
      <c r="AS581" s="92"/>
      <c r="AT581" s="92"/>
      <c r="AU581" s="92"/>
      <c r="AV581" s="92"/>
      <c r="AW581" s="92"/>
      <c r="AX581" s="92"/>
      <c r="AY581" s="92"/>
      <c r="AZ581" s="58"/>
      <c r="BA581" s="58"/>
      <c r="BB581" s="58"/>
      <c r="BC581" s="58"/>
      <c r="BD581" s="58"/>
      <c r="BE581" s="58"/>
      <c r="BF581" s="58"/>
      <c r="BG581" s="58"/>
      <c r="BH581" s="58"/>
      <c r="BI581" s="58"/>
      <c r="BJ581" s="58"/>
      <c r="BK581" s="58"/>
      <c r="BL581" s="58"/>
      <c r="BM581" s="58"/>
      <c r="BN581" s="58"/>
      <c r="BO581" s="58"/>
      <c r="BP581" s="58"/>
      <c r="BQ581" s="58"/>
      <c r="BR581" s="58"/>
      <c r="BS581" s="58"/>
    </row>
    <row r="582" spans="1:71" ht="15.75" customHeight="1" x14ac:dyDescent="0.2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1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2"/>
      <c r="AR582" s="92"/>
      <c r="AS582" s="92"/>
      <c r="AT582" s="92"/>
      <c r="AU582" s="92"/>
      <c r="AV582" s="92"/>
      <c r="AW582" s="92"/>
      <c r="AX582" s="92"/>
      <c r="AY582" s="92"/>
      <c r="AZ582" s="58"/>
      <c r="BA582" s="58"/>
      <c r="BB582" s="58"/>
      <c r="BC582" s="58"/>
      <c r="BD582" s="58"/>
      <c r="BE582" s="58"/>
      <c r="BF582" s="58"/>
      <c r="BG582" s="58"/>
      <c r="BH582" s="58"/>
      <c r="BI582" s="58"/>
      <c r="BJ582" s="58"/>
      <c r="BK582" s="58"/>
      <c r="BL582" s="58"/>
      <c r="BM582" s="58"/>
      <c r="BN582" s="58"/>
      <c r="BO582" s="58"/>
      <c r="BP582" s="58"/>
      <c r="BQ582" s="58"/>
      <c r="BR582" s="58"/>
      <c r="BS582" s="58"/>
    </row>
    <row r="583" spans="1:71" ht="15.75" customHeight="1" x14ac:dyDescent="0.2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1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  <c r="AQ583" s="92"/>
      <c r="AR583" s="92"/>
      <c r="AS583" s="92"/>
      <c r="AT583" s="92"/>
      <c r="AU583" s="92"/>
      <c r="AV583" s="92"/>
      <c r="AW583" s="92"/>
      <c r="AX583" s="92"/>
      <c r="AY583" s="92"/>
      <c r="AZ583" s="58"/>
      <c r="BA583" s="58"/>
      <c r="BB583" s="58"/>
      <c r="BC583" s="58"/>
      <c r="BD583" s="58"/>
      <c r="BE583" s="58"/>
      <c r="BF583" s="58"/>
      <c r="BG583" s="58"/>
      <c r="BH583" s="58"/>
      <c r="BI583" s="58"/>
      <c r="BJ583" s="58"/>
      <c r="BK583" s="58"/>
      <c r="BL583" s="58"/>
      <c r="BM583" s="58"/>
      <c r="BN583" s="58"/>
      <c r="BO583" s="58"/>
      <c r="BP583" s="58"/>
      <c r="BQ583" s="58"/>
      <c r="BR583" s="58"/>
      <c r="BS583" s="58"/>
    </row>
    <row r="584" spans="1:71" ht="15.75" customHeight="1" x14ac:dyDescent="0.2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1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2"/>
      <c r="AR584" s="92"/>
      <c r="AS584" s="92"/>
      <c r="AT584" s="92"/>
      <c r="AU584" s="92"/>
      <c r="AV584" s="92"/>
      <c r="AW584" s="92"/>
      <c r="AX584" s="92"/>
      <c r="AY584" s="92"/>
      <c r="AZ584" s="58"/>
      <c r="BA584" s="58"/>
      <c r="BB584" s="58"/>
      <c r="BC584" s="58"/>
      <c r="BD584" s="58"/>
      <c r="BE584" s="58"/>
      <c r="BF584" s="58"/>
      <c r="BG584" s="58"/>
      <c r="BH584" s="58"/>
      <c r="BI584" s="58"/>
      <c r="BJ584" s="58"/>
      <c r="BK584" s="58"/>
      <c r="BL584" s="58"/>
      <c r="BM584" s="58"/>
      <c r="BN584" s="58"/>
      <c r="BO584" s="58"/>
      <c r="BP584" s="58"/>
      <c r="BQ584" s="58"/>
      <c r="BR584" s="58"/>
      <c r="BS584" s="58"/>
    </row>
    <row r="585" spans="1:71" ht="15.75" customHeight="1" x14ac:dyDescent="0.2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1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  <c r="AQ585" s="92"/>
      <c r="AR585" s="92"/>
      <c r="AS585" s="92"/>
      <c r="AT585" s="92"/>
      <c r="AU585" s="92"/>
      <c r="AV585" s="92"/>
      <c r="AW585" s="92"/>
      <c r="AX585" s="92"/>
      <c r="AY585" s="92"/>
      <c r="AZ585" s="58"/>
      <c r="BA585" s="58"/>
      <c r="BB585" s="58"/>
      <c r="BC585" s="58"/>
      <c r="BD585" s="58"/>
      <c r="BE585" s="58"/>
      <c r="BF585" s="58"/>
      <c r="BG585" s="58"/>
      <c r="BH585" s="58"/>
      <c r="BI585" s="58"/>
      <c r="BJ585" s="58"/>
      <c r="BK585" s="58"/>
      <c r="BL585" s="58"/>
      <c r="BM585" s="58"/>
      <c r="BN585" s="58"/>
      <c r="BO585" s="58"/>
      <c r="BP585" s="58"/>
      <c r="BQ585" s="58"/>
      <c r="BR585" s="58"/>
      <c r="BS585" s="58"/>
    </row>
    <row r="586" spans="1:71" ht="15.75" customHeight="1" x14ac:dyDescent="0.2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1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2"/>
      <c r="AR586" s="92"/>
      <c r="AS586" s="92"/>
      <c r="AT586" s="92"/>
      <c r="AU586" s="92"/>
      <c r="AV586" s="92"/>
      <c r="AW586" s="92"/>
      <c r="AX586" s="92"/>
      <c r="AY586" s="92"/>
      <c r="AZ586" s="58"/>
      <c r="BA586" s="58"/>
      <c r="BB586" s="58"/>
      <c r="BC586" s="58"/>
      <c r="BD586" s="58"/>
      <c r="BE586" s="58"/>
      <c r="BF586" s="58"/>
      <c r="BG586" s="58"/>
      <c r="BH586" s="58"/>
      <c r="BI586" s="58"/>
      <c r="BJ586" s="58"/>
      <c r="BK586" s="58"/>
      <c r="BL586" s="58"/>
      <c r="BM586" s="58"/>
      <c r="BN586" s="58"/>
      <c r="BO586" s="58"/>
      <c r="BP586" s="58"/>
      <c r="BQ586" s="58"/>
      <c r="BR586" s="58"/>
      <c r="BS586" s="58"/>
    </row>
    <row r="587" spans="1:71" ht="15.75" customHeight="1" x14ac:dyDescent="0.2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1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  <c r="AQ587" s="92"/>
      <c r="AR587" s="92"/>
      <c r="AS587" s="92"/>
      <c r="AT587" s="92"/>
      <c r="AU587" s="92"/>
      <c r="AV587" s="92"/>
      <c r="AW587" s="92"/>
      <c r="AX587" s="92"/>
      <c r="AY587" s="92"/>
      <c r="AZ587" s="58"/>
      <c r="BA587" s="58"/>
      <c r="BB587" s="58"/>
      <c r="BC587" s="58"/>
      <c r="BD587" s="58"/>
      <c r="BE587" s="58"/>
      <c r="BF587" s="58"/>
      <c r="BG587" s="58"/>
      <c r="BH587" s="58"/>
      <c r="BI587" s="58"/>
      <c r="BJ587" s="58"/>
      <c r="BK587" s="58"/>
      <c r="BL587" s="58"/>
      <c r="BM587" s="58"/>
      <c r="BN587" s="58"/>
      <c r="BO587" s="58"/>
      <c r="BP587" s="58"/>
      <c r="BQ587" s="58"/>
      <c r="BR587" s="58"/>
      <c r="BS587" s="58"/>
    </row>
    <row r="588" spans="1:71" ht="15.75" customHeight="1" x14ac:dyDescent="0.2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1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2"/>
      <c r="AR588" s="92"/>
      <c r="AS588" s="92"/>
      <c r="AT588" s="92"/>
      <c r="AU588" s="92"/>
      <c r="AV588" s="92"/>
      <c r="AW588" s="92"/>
      <c r="AX588" s="92"/>
      <c r="AY588" s="92"/>
      <c r="AZ588" s="58"/>
      <c r="BA588" s="58"/>
      <c r="BB588" s="58"/>
      <c r="BC588" s="58"/>
      <c r="BD588" s="58"/>
      <c r="BE588" s="58"/>
      <c r="BF588" s="58"/>
      <c r="BG588" s="58"/>
      <c r="BH588" s="58"/>
      <c r="BI588" s="58"/>
      <c r="BJ588" s="58"/>
      <c r="BK588" s="58"/>
      <c r="BL588" s="58"/>
      <c r="BM588" s="58"/>
      <c r="BN588" s="58"/>
      <c r="BO588" s="58"/>
      <c r="BP588" s="58"/>
      <c r="BQ588" s="58"/>
      <c r="BR588" s="58"/>
      <c r="BS588" s="58"/>
    </row>
    <row r="589" spans="1:71" ht="15.75" customHeight="1" x14ac:dyDescent="0.2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1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  <c r="AQ589" s="92"/>
      <c r="AR589" s="92"/>
      <c r="AS589" s="92"/>
      <c r="AT589" s="92"/>
      <c r="AU589" s="92"/>
      <c r="AV589" s="92"/>
      <c r="AW589" s="92"/>
      <c r="AX589" s="92"/>
      <c r="AY589" s="92"/>
      <c r="AZ589" s="58"/>
      <c r="BA589" s="58"/>
      <c r="BB589" s="58"/>
      <c r="BC589" s="58"/>
      <c r="BD589" s="58"/>
      <c r="BE589" s="58"/>
      <c r="BF589" s="58"/>
      <c r="BG589" s="58"/>
      <c r="BH589" s="58"/>
      <c r="BI589" s="58"/>
      <c r="BJ589" s="58"/>
      <c r="BK589" s="58"/>
      <c r="BL589" s="58"/>
      <c r="BM589" s="58"/>
      <c r="BN589" s="58"/>
      <c r="BO589" s="58"/>
      <c r="BP589" s="58"/>
      <c r="BQ589" s="58"/>
      <c r="BR589" s="58"/>
      <c r="BS589" s="58"/>
    </row>
    <row r="590" spans="1:71" ht="15.75" customHeight="1" x14ac:dyDescent="0.2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1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2"/>
      <c r="AR590" s="92"/>
      <c r="AS590" s="92"/>
      <c r="AT590" s="92"/>
      <c r="AU590" s="92"/>
      <c r="AV590" s="92"/>
      <c r="AW590" s="92"/>
      <c r="AX590" s="92"/>
      <c r="AY590" s="92"/>
      <c r="AZ590" s="58"/>
      <c r="BA590" s="58"/>
      <c r="BB590" s="58"/>
      <c r="BC590" s="58"/>
      <c r="BD590" s="58"/>
      <c r="BE590" s="58"/>
      <c r="BF590" s="58"/>
      <c r="BG590" s="58"/>
      <c r="BH590" s="58"/>
      <c r="BI590" s="58"/>
      <c r="BJ590" s="58"/>
      <c r="BK590" s="58"/>
      <c r="BL590" s="58"/>
      <c r="BM590" s="58"/>
      <c r="BN590" s="58"/>
      <c r="BO590" s="58"/>
      <c r="BP590" s="58"/>
      <c r="BQ590" s="58"/>
      <c r="BR590" s="58"/>
      <c r="BS590" s="58"/>
    </row>
    <row r="591" spans="1:71" ht="15.75" customHeight="1" x14ac:dyDescent="0.2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1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  <c r="AQ591" s="92"/>
      <c r="AR591" s="92"/>
      <c r="AS591" s="92"/>
      <c r="AT591" s="92"/>
      <c r="AU591" s="92"/>
      <c r="AV591" s="92"/>
      <c r="AW591" s="92"/>
      <c r="AX591" s="92"/>
      <c r="AY591" s="92"/>
      <c r="AZ591" s="58"/>
      <c r="BA591" s="58"/>
      <c r="BB591" s="58"/>
      <c r="BC591" s="58"/>
      <c r="BD591" s="58"/>
      <c r="BE591" s="58"/>
      <c r="BF591" s="58"/>
      <c r="BG591" s="58"/>
      <c r="BH591" s="58"/>
      <c r="BI591" s="58"/>
      <c r="BJ591" s="58"/>
      <c r="BK591" s="58"/>
      <c r="BL591" s="58"/>
      <c r="BM591" s="58"/>
      <c r="BN591" s="58"/>
      <c r="BO591" s="58"/>
      <c r="BP591" s="58"/>
      <c r="BQ591" s="58"/>
      <c r="BR591" s="58"/>
      <c r="BS591" s="58"/>
    </row>
    <row r="592" spans="1:71" ht="15.75" customHeight="1" x14ac:dyDescent="0.2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1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2"/>
      <c r="AR592" s="92"/>
      <c r="AS592" s="92"/>
      <c r="AT592" s="92"/>
      <c r="AU592" s="92"/>
      <c r="AV592" s="92"/>
      <c r="AW592" s="92"/>
      <c r="AX592" s="92"/>
      <c r="AY592" s="92"/>
      <c r="AZ592" s="58"/>
      <c r="BA592" s="58"/>
      <c r="BB592" s="58"/>
      <c r="BC592" s="58"/>
      <c r="BD592" s="58"/>
      <c r="BE592" s="58"/>
      <c r="BF592" s="58"/>
      <c r="BG592" s="58"/>
      <c r="BH592" s="58"/>
      <c r="BI592" s="58"/>
      <c r="BJ592" s="58"/>
      <c r="BK592" s="58"/>
      <c r="BL592" s="58"/>
      <c r="BM592" s="58"/>
      <c r="BN592" s="58"/>
      <c r="BO592" s="58"/>
      <c r="BP592" s="58"/>
      <c r="BQ592" s="58"/>
      <c r="BR592" s="58"/>
      <c r="BS592" s="58"/>
    </row>
    <row r="593" spans="1:71" ht="15.75" customHeight="1" x14ac:dyDescent="0.2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1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  <c r="AQ593" s="92"/>
      <c r="AR593" s="92"/>
      <c r="AS593" s="92"/>
      <c r="AT593" s="92"/>
      <c r="AU593" s="92"/>
      <c r="AV593" s="92"/>
      <c r="AW593" s="92"/>
      <c r="AX593" s="92"/>
      <c r="AY593" s="92"/>
      <c r="AZ593" s="58"/>
      <c r="BA593" s="58"/>
      <c r="BB593" s="58"/>
      <c r="BC593" s="58"/>
      <c r="BD593" s="58"/>
      <c r="BE593" s="58"/>
      <c r="BF593" s="58"/>
      <c r="BG593" s="58"/>
      <c r="BH593" s="58"/>
      <c r="BI593" s="58"/>
      <c r="BJ593" s="58"/>
      <c r="BK593" s="58"/>
      <c r="BL593" s="58"/>
      <c r="BM593" s="58"/>
      <c r="BN593" s="58"/>
      <c r="BO593" s="58"/>
      <c r="BP593" s="58"/>
      <c r="BQ593" s="58"/>
      <c r="BR593" s="58"/>
      <c r="BS593" s="58"/>
    </row>
    <row r="594" spans="1:71" ht="15.75" customHeight="1" x14ac:dyDescent="0.2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1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2"/>
      <c r="AR594" s="92"/>
      <c r="AS594" s="92"/>
      <c r="AT594" s="92"/>
      <c r="AU594" s="92"/>
      <c r="AV594" s="92"/>
      <c r="AW594" s="92"/>
      <c r="AX594" s="92"/>
      <c r="AY594" s="92"/>
      <c r="AZ594" s="58"/>
      <c r="BA594" s="58"/>
      <c r="BB594" s="58"/>
      <c r="BC594" s="58"/>
      <c r="BD594" s="58"/>
      <c r="BE594" s="58"/>
      <c r="BF594" s="58"/>
      <c r="BG594" s="58"/>
      <c r="BH594" s="58"/>
      <c r="BI594" s="58"/>
      <c r="BJ594" s="58"/>
      <c r="BK594" s="58"/>
      <c r="BL594" s="58"/>
      <c r="BM594" s="58"/>
      <c r="BN594" s="58"/>
      <c r="BO594" s="58"/>
      <c r="BP594" s="58"/>
      <c r="BQ594" s="58"/>
      <c r="BR594" s="58"/>
      <c r="BS594" s="58"/>
    </row>
    <row r="595" spans="1:71" ht="15.75" customHeight="1" x14ac:dyDescent="0.2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1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  <c r="AQ595" s="92"/>
      <c r="AR595" s="92"/>
      <c r="AS595" s="92"/>
      <c r="AT595" s="92"/>
      <c r="AU595" s="92"/>
      <c r="AV595" s="92"/>
      <c r="AW595" s="92"/>
      <c r="AX595" s="92"/>
      <c r="AY595" s="92"/>
      <c r="AZ595" s="58"/>
      <c r="BA595" s="58"/>
      <c r="BB595" s="58"/>
      <c r="BC595" s="58"/>
      <c r="BD595" s="58"/>
      <c r="BE595" s="58"/>
      <c r="BF595" s="58"/>
      <c r="BG595" s="58"/>
      <c r="BH595" s="58"/>
      <c r="BI595" s="58"/>
      <c r="BJ595" s="58"/>
      <c r="BK595" s="58"/>
      <c r="BL595" s="58"/>
      <c r="BM595" s="58"/>
      <c r="BN595" s="58"/>
      <c r="BO595" s="58"/>
      <c r="BP595" s="58"/>
      <c r="BQ595" s="58"/>
      <c r="BR595" s="58"/>
      <c r="BS595" s="58"/>
    </row>
    <row r="596" spans="1:71" ht="15.75" customHeight="1" x14ac:dyDescent="0.2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1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2"/>
      <c r="AR596" s="92"/>
      <c r="AS596" s="92"/>
      <c r="AT596" s="92"/>
      <c r="AU596" s="92"/>
      <c r="AV596" s="92"/>
      <c r="AW596" s="92"/>
      <c r="AX596" s="92"/>
      <c r="AY596" s="92"/>
      <c r="AZ596" s="58"/>
      <c r="BA596" s="58"/>
      <c r="BB596" s="58"/>
      <c r="BC596" s="58"/>
      <c r="BD596" s="58"/>
      <c r="BE596" s="58"/>
      <c r="BF596" s="58"/>
      <c r="BG596" s="58"/>
      <c r="BH596" s="58"/>
      <c r="BI596" s="58"/>
      <c r="BJ596" s="58"/>
      <c r="BK596" s="58"/>
      <c r="BL596" s="58"/>
      <c r="BM596" s="58"/>
      <c r="BN596" s="58"/>
      <c r="BO596" s="58"/>
      <c r="BP596" s="58"/>
      <c r="BQ596" s="58"/>
      <c r="BR596" s="58"/>
      <c r="BS596" s="58"/>
    </row>
    <row r="597" spans="1:71" ht="15.75" customHeight="1" x14ac:dyDescent="0.2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1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  <c r="AQ597" s="92"/>
      <c r="AR597" s="92"/>
      <c r="AS597" s="92"/>
      <c r="AT597" s="92"/>
      <c r="AU597" s="92"/>
      <c r="AV597" s="92"/>
      <c r="AW597" s="92"/>
      <c r="AX597" s="92"/>
      <c r="AY597" s="92"/>
      <c r="AZ597" s="58"/>
      <c r="BA597" s="58"/>
      <c r="BB597" s="58"/>
      <c r="BC597" s="58"/>
      <c r="BD597" s="58"/>
      <c r="BE597" s="58"/>
      <c r="BF597" s="58"/>
      <c r="BG597" s="58"/>
      <c r="BH597" s="58"/>
      <c r="BI597" s="58"/>
      <c r="BJ597" s="58"/>
      <c r="BK597" s="58"/>
      <c r="BL597" s="58"/>
      <c r="BM597" s="58"/>
      <c r="BN597" s="58"/>
      <c r="BO597" s="58"/>
      <c r="BP597" s="58"/>
      <c r="BQ597" s="58"/>
      <c r="BR597" s="58"/>
      <c r="BS597" s="58"/>
    </row>
    <row r="598" spans="1:71" ht="15.75" customHeight="1" x14ac:dyDescent="0.2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1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2"/>
      <c r="AR598" s="92"/>
      <c r="AS598" s="92"/>
      <c r="AT598" s="92"/>
      <c r="AU598" s="92"/>
      <c r="AV598" s="92"/>
      <c r="AW598" s="92"/>
      <c r="AX598" s="92"/>
      <c r="AY598" s="92"/>
      <c r="AZ598" s="58"/>
      <c r="BA598" s="58"/>
      <c r="BB598" s="58"/>
      <c r="BC598" s="58"/>
      <c r="BD598" s="58"/>
      <c r="BE598" s="58"/>
      <c r="BF598" s="58"/>
      <c r="BG598" s="58"/>
      <c r="BH598" s="58"/>
      <c r="BI598" s="58"/>
      <c r="BJ598" s="58"/>
      <c r="BK598" s="58"/>
      <c r="BL598" s="58"/>
      <c r="BM598" s="58"/>
      <c r="BN598" s="58"/>
      <c r="BO598" s="58"/>
      <c r="BP598" s="58"/>
      <c r="BQ598" s="58"/>
      <c r="BR598" s="58"/>
      <c r="BS598" s="58"/>
    </row>
    <row r="599" spans="1:71" ht="15.75" customHeight="1" x14ac:dyDescent="0.2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1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  <c r="AQ599" s="92"/>
      <c r="AR599" s="92"/>
      <c r="AS599" s="92"/>
      <c r="AT599" s="92"/>
      <c r="AU599" s="92"/>
      <c r="AV599" s="92"/>
      <c r="AW599" s="92"/>
      <c r="AX599" s="92"/>
      <c r="AY599" s="92"/>
      <c r="AZ599" s="58"/>
      <c r="BA599" s="58"/>
      <c r="BB599" s="58"/>
      <c r="BC599" s="58"/>
      <c r="BD599" s="58"/>
      <c r="BE599" s="58"/>
      <c r="BF599" s="58"/>
      <c r="BG599" s="58"/>
      <c r="BH599" s="58"/>
      <c r="BI599" s="58"/>
      <c r="BJ599" s="58"/>
      <c r="BK599" s="58"/>
      <c r="BL599" s="58"/>
      <c r="BM599" s="58"/>
      <c r="BN599" s="58"/>
      <c r="BO599" s="58"/>
      <c r="BP599" s="58"/>
      <c r="BQ599" s="58"/>
      <c r="BR599" s="58"/>
      <c r="BS599" s="58"/>
    </row>
    <row r="600" spans="1:71" ht="15.75" customHeight="1" x14ac:dyDescent="0.2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1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2"/>
      <c r="AR600" s="92"/>
      <c r="AS600" s="92"/>
      <c r="AT600" s="92"/>
      <c r="AU600" s="92"/>
      <c r="AV600" s="92"/>
      <c r="AW600" s="92"/>
      <c r="AX600" s="92"/>
      <c r="AY600" s="92"/>
      <c r="AZ600" s="58"/>
      <c r="BA600" s="58"/>
      <c r="BB600" s="58"/>
      <c r="BC600" s="58"/>
      <c r="BD600" s="58"/>
      <c r="BE600" s="58"/>
      <c r="BF600" s="58"/>
      <c r="BG600" s="58"/>
      <c r="BH600" s="58"/>
      <c r="BI600" s="58"/>
      <c r="BJ600" s="58"/>
      <c r="BK600" s="58"/>
      <c r="BL600" s="58"/>
      <c r="BM600" s="58"/>
      <c r="BN600" s="58"/>
      <c r="BO600" s="58"/>
      <c r="BP600" s="58"/>
      <c r="BQ600" s="58"/>
      <c r="BR600" s="58"/>
      <c r="BS600" s="58"/>
    </row>
    <row r="601" spans="1:71" ht="15.75" customHeight="1" x14ac:dyDescent="0.2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1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  <c r="AQ601" s="92"/>
      <c r="AR601" s="92"/>
      <c r="AS601" s="92"/>
      <c r="AT601" s="92"/>
      <c r="AU601" s="92"/>
      <c r="AV601" s="92"/>
      <c r="AW601" s="92"/>
      <c r="AX601" s="92"/>
      <c r="AY601" s="92"/>
      <c r="AZ601" s="58"/>
      <c r="BA601" s="58"/>
      <c r="BB601" s="58"/>
      <c r="BC601" s="58"/>
      <c r="BD601" s="58"/>
      <c r="BE601" s="58"/>
      <c r="BF601" s="58"/>
      <c r="BG601" s="58"/>
      <c r="BH601" s="58"/>
      <c r="BI601" s="58"/>
      <c r="BJ601" s="58"/>
      <c r="BK601" s="58"/>
      <c r="BL601" s="58"/>
      <c r="BM601" s="58"/>
      <c r="BN601" s="58"/>
      <c r="BO601" s="58"/>
      <c r="BP601" s="58"/>
      <c r="BQ601" s="58"/>
      <c r="BR601" s="58"/>
      <c r="BS601" s="58"/>
    </row>
    <row r="602" spans="1:71" ht="15.75" customHeight="1" x14ac:dyDescent="0.2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1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2"/>
      <c r="AR602" s="92"/>
      <c r="AS602" s="92"/>
      <c r="AT602" s="92"/>
      <c r="AU602" s="92"/>
      <c r="AV602" s="92"/>
      <c r="AW602" s="92"/>
      <c r="AX602" s="92"/>
      <c r="AY602" s="92"/>
      <c r="AZ602" s="58"/>
      <c r="BA602" s="58"/>
      <c r="BB602" s="58"/>
      <c r="BC602" s="58"/>
      <c r="BD602" s="58"/>
      <c r="BE602" s="58"/>
      <c r="BF602" s="58"/>
      <c r="BG602" s="58"/>
      <c r="BH602" s="58"/>
      <c r="BI602" s="58"/>
      <c r="BJ602" s="58"/>
      <c r="BK602" s="58"/>
      <c r="BL602" s="58"/>
      <c r="BM602" s="58"/>
      <c r="BN602" s="58"/>
      <c r="BO602" s="58"/>
      <c r="BP602" s="58"/>
      <c r="BQ602" s="58"/>
      <c r="BR602" s="58"/>
      <c r="BS602" s="58"/>
    </row>
    <row r="603" spans="1:71" ht="15.75" customHeight="1" x14ac:dyDescent="0.2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1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  <c r="AQ603" s="92"/>
      <c r="AR603" s="92"/>
      <c r="AS603" s="92"/>
      <c r="AT603" s="92"/>
      <c r="AU603" s="92"/>
      <c r="AV603" s="92"/>
      <c r="AW603" s="92"/>
      <c r="AX603" s="92"/>
      <c r="AY603" s="92"/>
      <c r="AZ603" s="58"/>
      <c r="BA603" s="58"/>
      <c r="BB603" s="58"/>
      <c r="BC603" s="58"/>
      <c r="BD603" s="58"/>
      <c r="BE603" s="58"/>
      <c r="BF603" s="58"/>
      <c r="BG603" s="58"/>
      <c r="BH603" s="58"/>
      <c r="BI603" s="58"/>
      <c r="BJ603" s="58"/>
      <c r="BK603" s="58"/>
      <c r="BL603" s="58"/>
      <c r="BM603" s="58"/>
      <c r="BN603" s="58"/>
      <c r="BO603" s="58"/>
      <c r="BP603" s="58"/>
      <c r="BQ603" s="58"/>
      <c r="BR603" s="58"/>
      <c r="BS603" s="58"/>
    </row>
    <row r="604" spans="1:71" ht="15.75" customHeight="1" x14ac:dyDescent="0.2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1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2"/>
      <c r="AR604" s="92"/>
      <c r="AS604" s="92"/>
      <c r="AT604" s="92"/>
      <c r="AU604" s="92"/>
      <c r="AV604" s="92"/>
      <c r="AW604" s="92"/>
      <c r="AX604" s="92"/>
      <c r="AY604" s="92"/>
      <c r="AZ604" s="58"/>
      <c r="BA604" s="58"/>
      <c r="BB604" s="58"/>
      <c r="BC604" s="58"/>
      <c r="BD604" s="58"/>
      <c r="BE604" s="58"/>
      <c r="BF604" s="58"/>
      <c r="BG604" s="58"/>
      <c r="BH604" s="58"/>
      <c r="BI604" s="58"/>
      <c r="BJ604" s="58"/>
      <c r="BK604" s="58"/>
      <c r="BL604" s="58"/>
      <c r="BM604" s="58"/>
      <c r="BN604" s="58"/>
      <c r="BO604" s="58"/>
      <c r="BP604" s="58"/>
      <c r="BQ604" s="58"/>
      <c r="BR604" s="58"/>
      <c r="BS604" s="58"/>
    </row>
    <row r="605" spans="1:71" ht="15.75" customHeight="1" x14ac:dyDescent="0.2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1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  <c r="AQ605" s="92"/>
      <c r="AR605" s="92"/>
      <c r="AS605" s="92"/>
      <c r="AT605" s="92"/>
      <c r="AU605" s="92"/>
      <c r="AV605" s="92"/>
      <c r="AW605" s="92"/>
      <c r="AX605" s="92"/>
      <c r="AY605" s="92"/>
      <c r="AZ605" s="58"/>
      <c r="BA605" s="58"/>
      <c r="BB605" s="58"/>
      <c r="BC605" s="58"/>
      <c r="BD605" s="58"/>
      <c r="BE605" s="58"/>
      <c r="BF605" s="58"/>
      <c r="BG605" s="58"/>
      <c r="BH605" s="58"/>
      <c r="BI605" s="58"/>
      <c r="BJ605" s="58"/>
      <c r="BK605" s="58"/>
      <c r="BL605" s="58"/>
      <c r="BM605" s="58"/>
      <c r="BN605" s="58"/>
      <c r="BO605" s="58"/>
      <c r="BP605" s="58"/>
      <c r="BQ605" s="58"/>
      <c r="BR605" s="58"/>
      <c r="BS605" s="58"/>
    </row>
    <row r="606" spans="1:71" ht="15.75" customHeight="1" x14ac:dyDescent="0.2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1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2"/>
      <c r="AR606" s="92"/>
      <c r="AS606" s="92"/>
      <c r="AT606" s="92"/>
      <c r="AU606" s="92"/>
      <c r="AV606" s="92"/>
      <c r="AW606" s="92"/>
      <c r="AX606" s="92"/>
      <c r="AY606" s="92"/>
      <c r="AZ606" s="58"/>
      <c r="BA606" s="58"/>
      <c r="BB606" s="58"/>
      <c r="BC606" s="58"/>
      <c r="BD606" s="58"/>
      <c r="BE606" s="58"/>
      <c r="BF606" s="58"/>
      <c r="BG606" s="58"/>
      <c r="BH606" s="58"/>
      <c r="BI606" s="58"/>
      <c r="BJ606" s="58"/>
      <c r="BK606" s="58"/>
      <c r="BL606" s="58"/>
      <c r="BM606" s="58"/>
      <c r="BN606" s="58"/>
      <c r="BO606" s="58"/>
      <c r="BP606" s="58"/>
      <c r="BQ606" s="58"/>
      <c r="BR606" s="58"/>
      <c r="BS606" s="58"/>
    </row>
    <row r="607" spans="1:71" ht="15.75" customHeight="1" x14ac:dyDescent="0.2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1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  <c r="AQ607" s="92"/>
      <c r="AR607" s="92"/>
      <c r="AS607" s="92"/>
      <c r="AT607" s="92"/>
      <c r="AU607" s="92"/>
      <c r="AV607" s="92"/>
      <c r="AW607" s="92"/>
      <c r="AX607" s="92"/>
      <c r="AY607" s="92"/>
      <c r="AZ607" s="58"/>
      <c r="BA607" s="58"/>
      <c r="BB607" s="58"/>
      <c r="BC607" s="58"/>
      <c r="BD607" s="58"/>
      <c r="BE607" s="58"/>
      <c r="BF607" s="58"/>
      <c r="BG607" s="58"/>
      <c r="BH607" s="58"/>
      <c r="BI607" s="58"/>
      <c r="BJ607" s="58"/>
      <c r="BK607" s="58"/>
      <c r="BL607" s="58"/>
      <c r="BM607" s="58"/>
      <c r="BN607" s="58"/>
      <c r="BO607" s="58"/>
      <c r="BP607" s="58"/>
      <c r="BQ607" s="58"/>
      <c r="BR607" s="58"/>
      <c r="BS607" s="58"/>
    </row>
    <row r="608" spans="1:71" ht="15.75" customHeight="1" x14ac:dyDescent="0.2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1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2"/>
      <c r="AR608" s="92"/>
      <c r="AS608" s="92"/>
      <c r="AT608" s="92"/>
      <c r="AU608" s="92"/>
      <c r="AV608" s="92"/>
      <c r="AW608" s="92"/>
      <c r="AX608" s="92"/>
      <c r="AY608" s="92"/>
      <c r="AZ608" s="58"/>
      <c r="BA608" s="58"/>
      <c r="BB608" s="58"/>
      <c r="BC608" s="58"/>
      <c r="BD608" s="58"/>
      <c r="BE608" s="58"/>
      <c r="BF608" s="58"/>
      <c r="BG608" s="58"/>
      <c r="BH608" s="58"/>
      <c r="BI608" s="58"/>
      <c r="BJ608" s="58"/>
      <c r="BK608" s="58"/>
      <c r="BL608" s="58"/>
      <c r="BM608" s="58"/>
      <c r="BN608" s="58"/>
      <c r="BO608" s="58"/>
      <c r="BP608" s="58"/>
      <c r="BQ608" s="58"/>
      <c r="BR608" s="58"/>
      <c r="BS608" s="58"/>
    </row>
    <row r="609" spans="1:71" ht="15.75" customHeight="1" x14ac:dyDescent="0.2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1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  <c r="AQ609" s="92"/>
      <c r="AR609" s="92"/>
      <c r="AS609" s="92"/>
      <c r="AT609" s="92"/>
      <c r="AU609" s="92"/>
      <c r="AV609" s="92"/>
      <c r="AW609" s="92"/>
      <c r="AX609" s="92"/>
      <c r="AY609" s="92"/>
      <c r="AZ609" s="58"/>
      <c r="BA609" s="58"/>
      <c r="BB609" s="58"/>
      <c r="BC609" s="58"/>
      <c r="BD609" s="58"/>
      <c r="BE609" s="58"/>
      <c r="BF609" s="58"/>
      <c r="BG609" s="58"/>
      <c r="BH609" s="58"/>
      <c r="BI609" s="58"/>
      <c r="BJ609" s="58"/>
      <c r="BK609" s="58"/>
      <c r="BL609" s="58"/>
      <c r="BM609" s="58"/>
      <c r="BN609" s="58"/>
      <c r="BO609" s="58"/>
      <c r="BP609" s="58"/>
      <c r="BQ609" s="58"/>
      <c r="BR609" s="58"/>
      <c r="BS609" s="58"/>
    </row>
    <row r="610" spans="1:71" ht="15.75" customHeight="1" x14ac:dyDescent="0.2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1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2"/>
      <c r="AR610" s="92"/>
      <c r="AS610" s="92"/>
      <c r="AT610" s="92"/>
      <c r="AU610" s="92"/>
      <c r="AV610" s="92"/>
      <c r="AW610" s="92"/>
      <c r="AX610" s="92"/>
      <c r="AY610" s="92"/>
      <c r="AZ610" s="58"/>
      <c r="BA610" s="58"/>
      <c r="BB610" s="58"/>
      <c r="BC610" s="58"/>
      <c r="BD610" s="58"/>
      <c r="BE610" s="58"/>
      <c r="BF610" s="58"/>
      <c r="BG610" s="58"/>
      <c r="BH610" s="58"/>
      <c r="BI610" s="58"/>
      <c r="BJ610" s="58"/>
      <c r="BK610" s="58"/>
      <c r="BL610" s="58"/>
      <c r="BM610" s="58"/>
      <c r="BN610" s="58"/>
      <c r="BO610" s="58"/>
      <c r="BP610" s="58"/>
      <c r="BQ610" s="58"/>
      <c r="BR610" s="58"/>
      <c r="BS610" s="58"/>
    </row>
    <row r="611" spans="1:71" ht="15.75" customHeight="1" x14ac:dyDescent="0.2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1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  <c r="AQ611" s="92"/>
      <c r="AR611" s="92"/>
      <c r="AS611" s="92"/>
      <c r="AT611" s="92"/>
      <c r="AU611" s="92"/>
      <c r="AV611" s="92"/>
      <c r="AW611" s="92"/>
      <c r="AX611" s="92"/>
      <c r="AY611" s="92"/>
      <c r="AZ611" s="58"/>
      <c r="BA611" s="58"/>
      <c r="BB611" s="58"/>
      <c r="BC611" s="58"/>
      <c r="BD611" s="58"/>
      <c r="BE611" s="58"/>
      <c r="BF611" s="58"/>
      <c r="BG611" s="58"/>
      <c r="BH611" s="58"/>
      <c r="BI611" s="58"/>
      <c r="BJ611" s="58"/>
      <c r="BK611" s="58"/>
      <c r="BL611" s="58"/>
      <c r="BM611" s="58"/>
      <c r="BN611" s="58"/>
      <c r="BO611" s="58"/>
      <c r="BP611" s="58"/>
      <c r="BQ611" s="58"/>
      <c r="BR611" s="58"/>
      <c r="BS611" s="58"/>
    </row>
    <row r="612" spans="1:71" ht="15.75" customHeight="1" x14ac:dyDescent="0.2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1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2"/>
      <c r="AR612" s="92"/>
      <c r="AS612" s="92"/>
      <c r="AT612" s="92"/>
      <c r="AU612" s="92"/>
      <c r="AV612" s="92"/>
      <c r="AW612" s="92"/>
      <c r="AX612" s="92"/>
      <c r="AY612" s="92"/>
      <c r="AZ612" s="58"/>
      <c r="BA612" s="58"/>
      <c r="BB612" s="58"/>
      <c r="BC612" s="58"/>
      <c r="BD612" s="58"/>
      <c r="BE612" s="58"/>
      <c r="BF612" s="58"/>
      <c r="BG612" s="58"/>
      <c r="BH612" s="58"/>
      <c r="BI612" s="58"/>
      <c r="BJ612" s="58"/>
      <c r="BK612" s="58"/>
      <c r="BL612" s="58"/>
      <c r="BM612" s="58"/>
      <c r="BN612" s="58"/>
      <c r="BO612" s="58"/>
      <c r="BP612" s="58"/>
      <c r="BQ612" s="58"/>
      <c r="BR612" s="58"/>
      <c r="BS612" s="58"/>
    </row>
    <row r="613" spans="1:71" ht="15.75" customHeight="1" x14ac:dyDescent="0.2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1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  <c r="AQ613" s="92"/>
      <c r="AR613" s="92"/>
      <c r="AS613" s="92"/>
      <c r="AT613" s="92"/>
      <c r="AU613" s="92"/>
      <c r="AV613" s="92"/>
      <c r="AW613" s="92"/>
      <c r="AX613" s="92"/>
      <c r="AY613" s="92"/>
      <c r="AZ613" s="58"/>
      <c r="BA613" s="58"/>
      <c r="BB613" s="58"/>
      <c r="BC613" s="58"/>
      <c r="BD613" s="58"/>
      <c r="BE613" s="58"/>
      <c r="BF613" s="58"/>
      <c r="BG613" s="58"/>
      <c r="BH613" s="58"/>
      <c r="BI613" s="58"/>
      <c r="BJ613" s="58"/>
      <c r="BK613" s="58"/>
      <c r="BL613" s="58"/>
      <c r="BM613" s="58"/>
      <c r="BN613" s="58"/>
      <c r="BO613" s="58"/>
      <c r="BP613" s="58"/>
      <c r="BQ613" s="58"/>
      <c r="BR613" s="58"/>
      <c r="BS613" s="58"/>
    </row>
    <row r="614" spans="1:71" ht="15.75" customHeight="1" x14ac:dyDescent="0.2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1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2"/>
      <c r="AR614" s="92"/>
      <c r="AS614" s="92"/>
      <c r="AT614" s="92"/>
      <c r="AU614" s="92"/>
      <c r="AV614" s="92"/>
      <c r="AW614" s="92"/>
      <c r="AX614" s="92"/>
      <c r="AY614" s="92"/>
      <c r="AZ614" s="58"/>
      <c r="BA614" s="58"/>
      <c r="BB614" s="58"/>
      <c r="BC614" s="58"/>
      <c r="BD614" s="58"/>
      <c r="BE614" s="58"/>
      <c r="BF614" s="58"/>
      <c r="BG614" s="58"/>
      <c r="BH614" s="58"/>
      <c r="BI614" s="58"/>
      <c r="BJ614" s="58"/>
      <c r="BK614" s="58"/>
      <c r="BL614" s="58"/>
      <c r="BM614" s="58"/>
      <c r="BN614" s="58"/>
      <c r="BO614" s="58"/>
      <c r="BP614" s="58"/>
      <c r="BQ614" s="58"/>
      <c r="BR614" s="58"/>
      <c r="BS614" s="58"/>
    </row>
    <row r="615" spans="1:71" ht="15.75" customHeight="1" x14ac:dyDescent="0.2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1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  <c r="AQ615" s="92"/>
      <c r="AR615" s="92"/>
      <c r="AS615" s="92"/>
      <c r="AT615" s="92"/>
      <c r="AU615" s="92"/>
      <c r="AV615" s="92"/>
      <c r="AW615" s="92"/>
      <c r="AX615" s="92"/>
      <c r="AY615" s="92"/>
      <c r="AZ615" s="58"/>
      <c r="BA615" s="58"/>
      <c r="BB615" s="58"/>
      <c r="BC615" s="58"/>
      <c r="BD615" s="58"/>
      <c r="BE615" s="58"/>
      <c r="BF615" s="58"/>
      <c r="BG615" s="58"/>
      <c r="BH615" s="58"/>
      <c r="BI615" s="58"/>
      <c r="BJ615" s="58"/>
      <c r="BK615" s="58"/>
      <c r="BL615" s="58"/>
      <c r="BM615" s="58"/>
      <c r="BN615" s="58"/>
      <c r="BO615" s="58"/>
      <c r="BP615" s="58"/>
      <c r="BQ615" s="58"/>
      <c r="BR615" s="58"/>
      <c r="BS615" s="58"/>
    </row>
    <row r="616" spans="1:71" ht="15.75" customHeight="1" x14ac:dyDescent="0.2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1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2"/>
      <c r="AR616" s="92"/>
      <c r="AS616" s="92"/>
      <c r="AT616" s="92"/>
      <c r="AU616" s="92"/>
      <c r="AV616" s="92"/>
      <c r="AW616" s="92"/>
      <c r="AX616" s="92"/>
      <c r="AY616" s="92"/>
      <c r="AZ616" s="58"/>
      <c r="BA616" s="58"/>
      <c r="BB616" s="58"/>
      <c r="BC616" s="58"/>
      <c r="BD616" s="58"/>
      <c r="BE616" s="58"/>
      <c r="BF616" s="58"/>
      <c r="BG616" s="58"/>
      <c r="BH616" s="58"/>
      <c r="BI616" s="58"/>
      <c r="BJ616" s="58"/>
      <c r="BK616" s="58"/>
      <c r="BL616" s="58"/>
      <c r="BM616" s="58"/>
      <c r="BN616" s="58"/>
      <c r="BO616" s="58"/>
      <c r="BP616" s="58"/>
      <c r="BQ616" s="58"/>
      <c r="BR616" s="58"/>
      <c r="BS616" s="58"/>
    </row>
    <row r="617" spans="1:71" ht="15.75" customHeight="1" x14ac:dyDescent="0.2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1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  <c r="AQ617" s="92"/>
      <c r="AR617" s="92"/>
      <c r="AS617" s="92"/>
      <c r="AT617" s="92"/>
      <c r="AU617" s="92"/>
      <c r="AV617" s="92"/>
      <c r="AW617" s="92"/>
      <c r="AX617" s="92"/>
      <c r="AY617" s="92"/>
      <c r="AZ617" s="58"/>
      <c r="BA617" s="58"/>
      <c r="BB617" s="58"/>
      <c r="BC617" s="58"/>
      <c r="BD617" s="58"/>
      <c r="BE617" s="58"/>
      <c r="BF617" s="58"/>
      <c r="BG617" s="58"/>
      <c r="BH617" s="58"/>
      <c r="BI617" s="58"/>
      <c r="BJ617" s="58"/>
      <c r="BK617" s="58"/>
      <c r="BL617" s="58"/>
      <c r="BM617" s="58"/>
      <c r="BN617" s="58"/>
      <c r="BO617" s="58"/>
      <c r="BP617" s="58"/>
      <c r="BQ617" s="58"/>
      <c r="BR617" s="58"/>
      <c r="BS617" s="58"/>
    </row>
    <row r="618" spans="1:71" ht="15.75" customHeight="1" x14ac:dyDescent="0.2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1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2"/>
      <c r="AR618" s="92"/>
      <c r="AS618" s="92"/>
      <c r="AT618" s="92"/>
      <c r="AU618" s="92"/>
      <c r="AV618" s="92"/>
      <c r="AW618" s="92"/>
      <c r="AX618" s="92"/>
      <c r="AY618" s="92"/>
      <c r="AZ618" s="58"/>
      <c r="BA618" s="58"/>
      <c r="BB618" s="58"/>
      <c r="BC618" s="58"/>
      <c r="BD618" s="58"/>
      <c r="BE618" s="58"/>
      <c r="BF618" s="58"/>
      <c r="BG618" s="58"/>
      <c r="BH618" s="58"/>
      <c r="BI618" s="58"/>
      <c r="BJ618" s="58"/>
      <c r="BK618" s="58"/>
      <c r="BL618" s="58"/>
      <c r="BM618" s="58"/>
      <c r="BN618" s="58"/>
      <c r="BO618" s="58"/>
      <c r="BP618" s="58"/>
      <c r="BQ618" s="58"/>
      <c r="BR618" s="58"/>
      <c r="BS618" s="58"/>
    </row>
    <row r="619" spans="1:71" ht="15.75" customHeight="1" x14ac:dyDescent="0.2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1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  <c r="AQ619" s="92"/>
      <c r="AR619" s="92"/>
      <c r="AS619" s="92"/>
      <c r="AT619" s="92"/>
      <c r="AU619" s="92"/>
      <c r="AV619" s="92"/>
      <c r="AW619" s="92"/>
      <c r="AX619" s="92"/>
      <c r="AY619" s="92"/>
      <c r="AZ619" s="58"/>
      <c r="BA619" s="58"/>
      <c r="BB619" s="58"/>
      <c r="BC619" s="58"/>
      <c r="BD619" s="58"/>
      <c r="BE619" s="58"/>
      <c r="BF619" s="58"/>
      <c r="BG619" s="58"/>
      <c r="BH619" s="58"/>
      <c r="BI619" s="58"/>
      <c r="BJ619" s="58"/>
      <c r="BK619" s="58"/>
      <c r="BL619" s="58"/>
      <c r="BM619" s="58"/>
      <c r="BN619" s="58"/>
      <c r="BO619" s="58"/>
      <c r="BP619" s="58"/>
      <c r="BQ619" s="58"/>
      <c r="BR619" s="58"/>
      <c r="BS619" s="58"/>
    </row>
    <row r="620" spans="1:71" ht="15.75" customHeight="1" x14ac:dyDescent="0.2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1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2"/>
      <c r="AR620" s="92"/>
      <c r="AS620" s="92"/>
      <c r="AT620" s="92"/>
      <c r="AU620" s="92"/>
      <c r="AV620" s="92"/>
      <c r="AW620" s="92"/>
      <c r="AX620" s="92"/>
      <c r="AY620" s="92"/>
      <c r="AZ620" s="58"/>
      <c r="BA620" s="58"/>
      <c r="BB620" s="58"/>
      <c r="BC620" s="58"/>
      <c r="BD620" s="58"/>
      <c r="BE620" s="58"/>
      <c r="BF620" s="58"/>
      <c r="BG620" s="58"/>
      <c r="BH620" s="58"/>
      <c r="BI620" s="58"/>
      <c r="BJ620" s="58"/>
      <c r="BK620" s="58"/>
      <c r="BL620" s="58"/>
      <c r="BM620" s="58"/>
      <c r="BN620" s="58"/>
      <c r="BO620" s="58"/>
      <c r="BP620" s="58"/>
      <c r="BQ620" s="58"/>
      <c r="BR620" s="58"/>
      <c r="BS620" s="58"/>
    </row>
    <row r="621" spans="1:71" ht="15.75" customHeight="1" x14ac:dyDescent="0.2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1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  <c r="AQ621" s="92"/>
      <c r="AR621" s="92"/>
      <c r="AS621" s="92"/>
      <c r="AT621" s="92"/>
      <c r="AU621" s="92"/>
      <c r="AV621" s="92"/>
      <c r="AW621" s="92"/>
      <c r="AX621" s="92"/>
      <c r="AY621" s="92"/>
      <c r="AZ621" s="58"/>
      <c r="BA621" s="58"/>
      <c r="BB621" s="58"/>
      <c r="BC621" s="58"/>
      <c r="BD621" s="58"/>
      <c r="BE621" s="58"/>
      <c r="BF621" s="58"/>
      <c r="BG621" s="58"/>
      <c r="BH621" s="58"/>
      <c r="BI621" s="58"/>
      <c r="BJ621" s="58"/>
      <c r="BK621" s="58"/>
      <c r="BL621" s="58"/>
      <c r="BM621" s="58"/>
      <c r="BN621" s="58"/>
      <c r="BO621" s="58"/>
      <c r="BP621" s="58"/>
      <c r="BQ621" s="58"/>
      <c r="BR621" s="58"/>
      <c r="BS621" s="58"/>
    </row>
    <row r="622" spans="1:71" ht="15.75" customHeight="1" x14ac:dyDescent="0.2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1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2"/>
      <c r="AR622" s="92"/>
      <c r="AS622" s="92"/>
      <c r="AT622" s="92"/>
      <c r="AU622" s="92"/>
      <c r="AV622" s="92"/>
      <c r="AW622" s="92"/>
      <c r="AX622" s="92"/>
      <c r="AY622" s="92"/>
      <c r="AZ622" s="58"/>
      <c r="BA622" s="58"/>
      <c r="BB622" s="58"/>
      <c r="BC622" s="58"/>
      <c r="BD622" s="58"/>
      <c r="BE622" s="58"/>
      <c r="BF622" s="58"/>
      <c r="BG622" s="58"/>
      <c r="BH622" s="58"/>
      <c r="BI622" s="58"/>
      <c r="BJ622" s="58"/>
      <c r="BK622" s="58"/>
      <c r="BL622" s="58"/>
      <c r="BM622" s="58"/>
      <c r="BN622" s="58"/>
      <c r="BO622" s="58"/>
      <c r="BP622" s="58"/>
      <c r="BQ622" s="58"/>
      <c r="BR622" s="58"/>
      <c r="BS622" s="58"/>
    </row>
    <row r="623" spans="1:71" ht="15.75" customHeight="1" x14ac:dyDescent="0.2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1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  <c r="AQ623" s="92"/>
      <c r="AR623" s="92"/>
      <c r="AS623" s="92"/>
      <c r="AT623" s="92"/>
      <c r="AU623" s="92"/>
      <c r="AV623" s="92"/>
      <c r="AW623" s="92"/>
      <c r="AX623" s="92"/>
      <c r="AY623" s="92"/>
      <c r="AZ623" s="58"/>
      <c r="BA623" s="58"/>
      <c r="BB623" s="58"/>
      <c r="BC623" s="58"/>
      <c r="BD623" s="58"/>
      <c r="BE623" s="58"/>
      <c r="BF623" s="58"/>
      <c r="BG623" s="58"/>
      <c r="BH623" s="58"/>
      <c r="BI623" s="58"/>
      <c r="BJ623" s="58"/>
      <c r="BK623" s="58"/>
      <c r="BL623" s="58"/>
      <c r="BM623" s="58"/>
      <c r="BN623" s="58"/>
      <c r="BO623" s="58"/>
      <c r="BP623" s="58"/>
      <c r="BQ623" s="58"/>
      <c r="BR623" s="58"/>
      <c r="BS623" s="58"/>
    </row>
    <row r="624" spans="1:71" ht="15.75" customHeight="1" x14ac:dyDescent="0.2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1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2"/>
      <c r="AR624" s="92"/>
      <c r="AS624" s="92"/>
      <c r="AT624" s="92"/>
      <c r="AU624" s="92"/>
      <c r="AV624" s="92"/>
      <c r="AW624" s="92"/>
      <c r="AX624" s="92"/>
      <c r="AY624" s="92"/>
      <c r="AZ624" s="58"/>
      <c r="BA624" s="58"/>
      <c r="BB624" s="58"/>
      <c r="BC624" s="58"/>
      <c r="BD624" s="58"/>
      <c r="BE624" s="58"/>
      <c r="BF624" s="58"/>
      <c r="BG624" s="58"/>
      <c r="BH624" s="58"/>
      <c r="BI624" s="58"/>
      <c r="BJ624" s="58"/>
      <c r="BK624" s="58"/>
      <c r="BL624" s="58"/>
      <c r="BM624" s="58"/>
      <c r="BN624" s="58"/>
      <c r="BO624" s="58"/>
      <c r="BP624" s="58"/>
      <c r="BQ624" s="58"/>
      <c r="BR624" s="58"/>
      <c r="BS624" s="58"/>
    </row>
    <row r="625" spans="1:71" ht="15.75" customHeight="1" x14ac:dyDescent="0.2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1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  <c r="AP625" s="90"/>
      <c r="AQ625" s="92"/>
      <c r="AR625" s="92"/>
      <c r="AS625" s="92"/>
      <c r="AT625" s="92"/>
      <c r="AU625" s="92"/>
      <c r="AV625" s="92"/>
      <c r="AW625" s="92"/>
      <c r="AX625" s="92"/>
      <c r="AY625" s="92"/>
      <c r="AZ625" s="58"/>
      <c r="BA625" s="58"/>
      <c r="BB625" s="58"/>
      <c r="BC625" s="58"/>
      <c r="BD625" s="58"/>
      <c r="BE625" s="58"/>
      <c r="BF625" s="58"/>
      <c r="BG625" s="58"/>
      <c r="BH625" s="58"/>
      <c r="BI625" s="58"/>
      <c r="BJ625" s="58"/>
      <c r="BK625" s="58"/>
      <c r="BL625" s="58"/>
      <c r="BM625" s="58"/>
      <c r="BN625" s="58"/>
      <c r="BO625" s="58"/>
      <c r="BP625" s="58"/>
      <c r="BQ625" s="58"/>
      <c r="BR625" s="58"/>
      <c r="BS625" s="58"/>
    </row>
    <row r="626" spans="1:71" ht="15.75" customHeight="1" x14ac:dyDescent="0.2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1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2"/>
      <c r="AR626" s="92"/>
      <c r="AS626" s="92"/>
      <c r="AT626" s="92"/>
      <c r="AU626" s="92"/>
      <c r="AV626" s="92"/>
      <c r="AW626" s="92"/>
      <c r="AX626" s="92"/>
      <c r="AY626" s="92"/>
      <c r="AZ626" s="58"/>
      <c r="BA626" s="58"/>
      <c r="BB626" s="58"/>
      <c r="BC626" s="58"/>
      <c r="BD626" s="58"/>
      <c r="BE626" s="58"/>
      <c r="BF626" s="58"/>
      <c r="BG626" s="58"/>
      <c r="BH626" s="58"/>
      <c r="BI626" s="58"/>
      <c r="BJ626" s="58"/>
      <c r="BK626" s="58"/>
      <c r="BL626" s="58"/>
      <c r="BM626" s="58"/>
      <c r="BN626" s="58"/>
      <c r="BO626" s="58"/>
      <c r="BP626" s="58"/>
      <c r="BQ626" s="58"/>
      <c r="BR626" s="58"/>
      <c r="BS626" s="58"/>
    </row>
    <row r="627" spans="1:71" ht="15.75" customHeight="1" x14ac:dyDescent="0.2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1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  <c r="AP627" s="90"/>
      <c r="AQ627" s="92"/>
      <c r="AR627" s="92"/>
      <c r="AS627" s="92"/>
      <c r="AT627" s="92"/>
      <c r="AU627" s="92"/>
      <c r="AV627" s="92"/>
      <c r="AW627" s="92"/>
      <c r="AX627" s="92"/>
      <c r="AY627" s="92"/>
      <c r="AZ627" s="58"/>
      <c r="BA627" s="58"/>
      <c r="BB627" s="58"/>
      <c r="BC627" s="58"/>
      <c r="BD627" s="58"/>
      <c r="BE627" s="58"/>
      <c r="BF627" s="58"/>
      <c r="BG627" s="58"/>
      <c r="BH627" s="58"/>
      <c r="BI627" s="58"/>
      <c r="BJ627" s="58"/>
      <c r="BK627" s="58"/>
      <c r="BL627" s="58"/>
      <c r="BM627" s="58"/>
      <c r="BN627" s="58"/>
      <c r="BO627" s="58"/>
      <c r="BP627" s="58"/>
      <c r="BQ627" s="58"/>
      <c r="BR627" s="58"/>
      <c r="BS627" s="58"/>
    </row>
    <row r="628" spans="1:71" ht="15.75" customHeight="1" x14ac:dyDescent="0.2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1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2"/>
      <c r="AR628" s="92"/>
      <c r="AS628" s="92"/>
      <c r="AT628" s="92"/>
      <c r="AU628" s="92"/>
      <c r="AV628" s="92"/>
      <c r="AW628" s="92"/>
      <c r="AX628" s="92"/>
      <c r="AY628" s="92"/>
      <c r="AZ628" s="58"/>
      <c r="BA628" s="58"/>
      <c r="BB628" s="58"/>
      <c r="BC628" s="58"/>
      <c r="BD628" s="58"/>
      <c r="BE628" s="58"/>
      <c r="BF628" s="58"/>
      <c r="BG628" s="58"/>
      <c r="BH628" s="58"/>
      <c r="BI628" s="58"/>
      <c r="BJ628" s="58"/>
      <c r="BK628" s="58"/>
      <c r="BL628" s="58"/>
      <c r="BM628" s="58"/>
      <c r="BN628" s="58"/>
      <c r="BO628" s="58"/>
      <c r="BP628" s="58"/>
      <c r="BQ628" s="58"/>
      <c r="BR628" s="58"/>
      <c r="BS628" s="58"/>
    </row>
    <row r="629" spans="1:71" ht="15.75" customHeight="1" x14ac:dyDescent="0.2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1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0"/>
      <c r="AP629" s="90"/>
      <c r="AQ629" s="92"/>
      <c r="AR629" s="92"/>
      <c r="AS629" s="92"/>
      <c r="AT629" s="92"/>
      <c r="AU629" s="92"/>
      <c r="AV629" s="92"/>
      <c r="AW629" s="92"/>
      <c r="AX629" s="92"/>
      <c r="AY629" s="92"/>
      <c r="AZ629" s="58"/>
      <c r="BA629" s="58"/>
      <c r="BB629" s="58"/>
      <c r="BC629" s="58"/>
      <c r="BD629" s="58"/>
      <c r="BE629" s="58"/>
      <c r="BF629" s="58"/>
      <c r="BG629" s="58"/>
      <c r="BH629" s="58"/>
      <c r="BI629" s="58"/>
      <c r="BJ629" s="58"/>
      <c r="BK629" s="58"/>
      <c r="BL629" s="58"/>
      <c r="BM629" s="58"/>
      <c r="BN629" s="58"/>
      <c r="BO629" s="58"/>
      <c r="BP629" s="58"/>
      <c r="BQ629" s="58"/>
      <c r="BR629" s="58"/>
      <c r="BS629" s="58"/>
    </row>
    <row r="630" spans="1:71" ht="15.75" customHeight="1" x14ac:dyDescent="0.2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1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2"/>
      <c r="AR630" s="92"/>
      <c r="AS630" s="92"/>
      <c r="AT630" s="92"/>
      <c r="AU630" s="92"/>
      <c r="AV630" s="92"/>
      <c r="AW630" s="92"/>
      <c r="AX630" s="92"/>
      <c r="AY630" s="92"/>
      <c r="AZ630" s="58"/>
      <c r="BA630" s="58"/>
      <c r="BB630" s="58"/>
      <c r="BC630" s="58"/>
      <c r="BD630" s="58"/>
      <c r="BE630" s="58"/>
      <c r="BF630" s="58"/>
      <c r="BG630" s="58"/>
      <c r="BH630" s="58"/>
      <c r="BI630" s="58"/>
      <c r="BJ630" s="58"/>
      <c r="BK630" s="58"/>
      <c r="BL630" s="58"/>
      <c r="BM630" s="58"/>
      <c r="BN630" s="58"/>
      <c r="BO630" s="58"/>
      <c r="BP630" s="58"/>
      <c r="BQ630" s="58"/>
      <c r="BR630" s="58"/>
      <c r="BS630" s="58"/>
    </row>
    <row r="631" spans="1:71" ht="15.75" customHeight="1" x14ac:dyDescent="0.2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1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0"/>
      <c r="AP631" s="90"/>
      <c r="AQ631" s="92"/>
      <c r="AR631" s="92"/>
      <c r="AS631" s="92"/>
      <c r="AT631" s="92"/>
      <c r="AU631" s="92"/>
      <c r="AV631" s="92"/>
      <c r="AW631" s="92"/>
      <c r="AX631" s="92"/>
      <c r="AY631" s="92"/>
      <c r="AZ631" s="58"/>
      <c r="BA631" s="58"/>
      <c r="BB631" s="58"/>
      <c r="BC631" s="58"/>
      <c r="BD631" s="58"/>
      <c r="BE631" s="58"/>
      <c r="BF631" s="58"/>
      <c r="BG631" s="58"/>
      <c r="BH631" s="58"/>
      <c r="BI631" s="58"/>
      <c r="BJ631" s="58"/>
      <c r="BK631" s="58"/>
      <c r="BL631" s="58"/>
      <c r="BM631" s="58"/>
      <c r="BN631" s="58"/>
      <c r="BO631" s="58"/>
      <c r="BP631" s="58"/>
      <c r="BQ631" s="58"/>
      <c r="BR631" s="58"/>
      <c r="BS631" s="58"/>
    </row>
    <row r="632" spans="1:71" ht="15.75" customHeight="1" x14ac:dyDescent="0.2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1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2"/>
      <c r="AR632" s="92"/>
      <c r="AS632" s="92"/>
      <c r="AT632" s="92"/>
      <c r="AU632" s="92"/>
      <c r="AV632" s="92"/>
      <c r="AW632" s="92"/>
      <c r="AX632" s="92"/>
      <c r="AY632" s="92"/>
      <c r="AZ632" s="58"/>
      <c r="BA632" s="58"/>
      <c r="BB632" s="58"/>
      <c r="BC632" s="58"/>
      <c r="BD632" s="58"/>
      <c r="BE632" s="58"/>
      <c r="BF632" s="58"/>
      <c r="BG632" s="58"/>
      <c r="BH632" s="58"/>
      <c r="BI632" s="58"/>
      <c r="BJ632" s="58"/>
      <c r="BK632" s="58"/>
      <c r="BL632" s="58"/>
      <c r="BM632" s="58"/>
      <c r="BN632" s="58"/>
      <c r="BO632" s="58"/>
      <c r="BP632" s="58"/>
      <c r="BQ632" s="58"/>
      <c r="BR632" s="58"/>
      <c r="BS632" s="58"/>
    </row>
    <row r="633" spans="1:71" ht="15.75" customHeight="1" x14ac:dyDescent="0.2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1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0"/>
      <c r="AP633" s="90"/>
      <c r="AQ633" s="92"/>
      <c r="AR633" s="92"/>
      <c r="AS633" s="92"/>
      <c r="AT633" s="92"/>
      <c r="AU633" s="92"/>
      <c r="AV633" s="92"/>
      <c r="AW633" s="92"/>
      <c r="AX633" s="92"/>
      <c r="AY633" s="92"/>
      <c r="AZ633" s="58"/>
      <c r="BA633" s="58"/>
      <c r="BB633" s="58"/>
      <c r="BC633" s="58"/>
      <c r="BD633" s="58"/>
      <c r="BE633" s="58"/>
      <c r="BF633" s="58"/>
      <c r="BG633" s="58"/>
      <c r="BH633" s="58"/>
      <c r="BI633" s="58"/>
      <c r="BJ633" s="58"/>
      <c r="BK633" s="58"/>
      <c r="BL633" s="58"/>
      <c r="BM633" s="58"/>
      <c r="BN633" s="58"/>
      <c r="BO633" s="58"/>
      <c r="BP633" s="58"/>
      <c r="BQ633" s="58"/>
      <c r="BR633" s="58"/>
      <c r="BS633" s="58"/>
    </row>
    <row r="634" spans="1:71" ht="15.75" customHeight="1" x14ac:dyDescent="0.2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1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2"/>
      <c r="AR634" s="92"/>
      <c r="AS634" s="92"/>
      <c r="AT634" s="92"/>
      <c r="AU634" s="92"/>
      <c r="AV634" s="92"/>
      <c r="AW634" s="92"/>
      <c r="AX634" s="92"/>
      <c r="AY634" s="92"/>
      <c r="AZ634" s="58"/>
      <c r="BA634" s="58"/>
      <c r="BB634" s="58"/>
      <c r="BC634" s="58"/>
      <c r="BD634" s="58"/>
      <c r="BE634" s="58"/>
      <c r="BF634" s="58"/>
      <c r="BG634" s="58"/>
      <c r="BH634" s="58"/>
      <c r="BI634" s="58"/>
      <c r="BJ634" s="58"/>
      <c r="BK634" s="58"/>
      <c r="BL634" s="58"/>
      <c r="BM634" s="58"/>
      <c r="BN634" s="58"/>
      <c r="BO634" s="58"/>
      <c r="BP634" s="58"/>
      <c r="BQ634" s="58"/>
      <c r="BR634" s="58"/>
      <c r="BS634" s="58"/>
    </row>
    <row r="635" spans="1:71" ht="15.75" customHeight="1" x14ac:dyDescent="0.2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1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0"/>
      <c r="AP635" s="90"/>
      <c r="AQ635" s="92"/>
      <c r="AR635" s="92"/>
      <c r="AS635" s="92"/>
      <c r="AT635" s="92"/>
      <c r="AU635" s="92"/>
      <c r="AV635" s="92"/>
      <c r="AW635" s="92"/>
      <c r="AX635" s="92"/>
      <c r="AY635" s="92"/>
      <c r="AZ635" s="58"/>
      <c r="BA635" s="58"/>
      <c r="BB635" s="58"/>
      <c r="BC635" s="58"/>
      <c r="BD635" s="58"/>
      <c r="BE635" s="58"/>
      <c r="BF635" s="58"/>
      <c r="BG635" s="58"/>
      <c r="BH635" s="58"/>
      <c r="BI635" s="58"/>
      <c r="BJ635" s="58"/>
      <c r="BK635" s="58"/>
      <c r="BL635" s="58"/>
      <c r="BM635" s="58"/>
      <c r="BN635" s="58"/>
      <c r="BO635" s="58"/>
      <c r="BP635" s="58"/>
      <c r="BQ635" s="58"/>
      <c r="BR635" s="58"/>
      <c r="BS635" s="58"/>
    </row>
    <row r="636" spans="1:71" ht="15.75" customHeight="1" x14ac:dyDescent="0.2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1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2"/>
      <c r="AR636" s="92"/>
      <c r="AS636" s="92"/>
      <c r="AT636" s="92"/>
      <c r="AU636" s="92"/>
      <c r="AV636" s="92"/>
      <c r="AW636" s="92"/>
      <c r="AX636" s="92"/>
      <c r="AY636" s="92"/>
      <c r="AZ636" s="58"/>
      <c r="BA636" s="58"/>
      <c r="BB636" s="58"/>
      <c r="BC636" s="58"/>
      <c r="BD636" s="58"/>
      <c r="BE636" s="58"/>
      <c r="BF636" s="58"/>
      <c r="BG636" s="58"/>
      <c r="BH636" s="58"/>
      <c r="BI636" s="58"/>
      <c r="BJ636" s="58"/>
      <c r="BK636" s="58"/>
      <c r="BL636" s="58"/>
      <c r="BM636" s="58"/>
      <c r="BN636" s="58"/>
      <c r="BO636" s="58"/>
      <c r="BP636" s="58"/>
      <c r="BQ636" s="58"/>
      <c r="BR636" s="58"/>
      <c r="BS636" s="58"/>
    </row>
    <row r="637" spans="1:71" ht="15.75" customHeight="1" x14ac:dyDescent="0.2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1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0"/>
      <c r="AP637" s="90"/>
      <c r="AQ637" s="92"/>
      <c r="AR637" s="92"/>
      <c r="AS637" s="92"/>
      <c r="AT637" s="92"/>
      <c r="AU637" s="92"/>
      <c r="AV637" s="92"/>
      <c r="AW637" s="92"/>
      <c r="AX637" s="92"/>
      <c r="AY637" s="92"/>
      <c r="AZ637" s="58"/>
      <c r="BA637" s="58"/>
      <c r="BB637" s="58"/>
      <c r="BC637" s="58"/>
      <c r="BD637" s="58"/>
      <c r="BE637" s="58"/>
      <c r="BF637" s="58"/>
      <c r="BG637" s="58"/>
      <c r="BH637" s="58"/>
      <c r="BI637" s="58"/>
      <c r="BJ637" s="58"/>
      <c r="BK637" s="58"/>
      <c r="BL637" s="58"/>
      <c r="BM637" s="58"/>
      <c r="BN637" s="58"/>
      <c r="BO637" s="58"/>
      <c r="BP637" s="58"/>
      <c r="BQ637" s="58"/>
      <c r="BR637" s="58"/>
      <c r="BS637" s="58"/>
    </row>
    <row r="638" spans="1:71" ht="15.75" customHeight="1" x14ac:dyDescent="0.2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1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2"/>
      <c r="AR638" s="92"/>
      <c r="AS638" s="92"/>
      <c r="AT638" s="92"/>
      <c r="AU638" s="92"/>
      <c r="AV638" s="92"/>
      <c r="AW638" s="92"/>
      <c r="AX638" s="92"/>
      <c r="AY638" s="92"/>
      <c r="AZ638" s="58"/>
      <c r="BA638" s="58"/>
      <c r="BB638" s="58"/>
      <c r="BC638" s="58"/>
      <c r="BD638" s="58"/>
      <c r="BE638" s="58"/>
      <c r="BF638" s="58"/>
      <c r="BG638" s="58"/>
      <c r="BH638" s="58"/>
      <c r="BI638" s="58"/>
      <c r="BJ638" s="58"/>
      <c r="BK638" s="58"/>
      <c r="BL638" s="58"/>
      <c r="BM638" s="58"/>
      <c r="BN638" s="58"/>
      <c r="BO638" s="58"/>
      <c r="BP638" s="58"/>
      <c r="BQ638" s="58"/>
      <c r="BR638" s="58"/>
      <c r="BS638" s="58"/>
    </row>
    <row r="639" spans="1:71" ht="15.75" customHeight="1" x14ac:dyDescent="0.2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1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0"/>
      <c r="AP639" s="90"/>
      <c r="AQ639" s="92"/>
      <c r="AR639" s="92"/>
      <c r="AS639" s="92"/>
      <c r="AT639" s="92"/>
      <c r="AU639" s="92"/>
      <c r="AV639" s="92"/>
      <c r="AW639" s="92"/>
      <c r="AX639" s="92"/>
      <c r="AY639" s="92"/>
      <c r="AZ639" s="58"/>
      <c r="BA639" s="58"/>
      <c r="BB639" s="58"/>
      <c r="BC639" s="58"/>
      <c r="BD639" s="58"/>
      <c r="BE639" s="58"/>
      <c r="BF639" s="58"/>
      <c r="BG639" s="58"/>
      <c r="BH639" s="58"/>
      <c r="BI639" s="58"/>
      <c r="BJ639" s="58"/>
      <c r="BK639" s="58"/>
      <c r="BL639" s="58"/>
      <c r="BM639" s="58"/>
      <c r="BN639" s="58"/>
      <c r="BO639" s="58"/>
      <c r="BP639" s="58"/>
      <c r="BQ639" s="58"/>
      <c r="BR639" s="58"/>
      <c r="BS639" s="58"/>
    </row>
    <row r="640" spans="1:71" ht="15.75" customHeight="1" x14ac:dyDescent="0.2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1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2"/>
      <c r="AR640" s="92"/>
      <c r="AS640" s="92"/>
      <c r="AT640" s="92"/>
      <c r="AU640" s="92"/>
      <c r="AV640" s="92"/>
      <c r="AW640" s="92"/>
      <c r="AX640" s="92"/>
      <c r="AY640" s="92"/>
      <c r="AZ640" s="58"/>
      <c r="BA640" s="58"/>
      <c r="BB640" s="58"/>
      <c r="BC640" s="58"/>
      <c r="BD640" s="58"/>
      <c r="BE640" s="58"/>
      <c r="BF640" s="58"/>
      <c r="BG640" s="58"/>
      <c r="BH640" s="58"/>
      <c r="BI640" s="58"/>
      <c r="BJ640" s="58"/>
      <c r="BK640" s="58"/>
      <c r="BL640" s="58"/>
      <c r="BM640" s="58"/>
      <c r="BN640" s="58"/>
      <c r="BO640" s="58"/>
      <c r="BP640" s="58"/>
      <c r="BQ640" s="58"/>
      <c r="BR640" s="58"/>
      <c r="BS640" s="58"/>
    </row>
    <row r="641" spans="1:71" ht="15.75" customHeight="1" x14ac:dyDescent="0.2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1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0"/>
      <c r="AP641" s="90"/>
      <c r="AQ641" s="92"/>
      <c r="AR641" s="92"/>
      <c r="AS641" s="92"/>
      <c r="AT641" s="92"/>
      <c r="AU641" s="92"/>
      <c r="AV641" s="92"/>
      <c r="AW641" s="92"/>
      <c r="AX641" s="92"/>
      <c r="AY641" s="92"/>
      <c r="AZ641" s="58"/>
      <c r="BA641" s="58"/>
      <c r="BB641" s="58"/>
      <c r="BC641" s="58"/>
      <c r="BD641" s="58"/>
      <c r="BE641" s="58"/>
      <c r="BF641" s="58"/>
      <c r="BG641" s="58"/>
      <c r="BH641" s="58"/>
      <c r="BI641" s="58"/>
      <c r="BJ641" s="58"/>
      <c r="BK641" s="58"/>
      <c r="BL641" s="58"/>
      <c r="BM641" s="58"/>
      <c r="BN641" s="58"/>
      <c r="BO641" s="58"/>
      <c r="BP641" s="58"/>
      <c r="BQ641" s="58"/>
      <c r="BR641" s="58"/>
      <c r="BS641" s="58"/>
    </row>
    <row r="642" spans="1:71" ht="15.75" customHeight="1" x14ac:dyDescent="0.2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1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2"/>
      <c r="AR642" s="92"/>
      <c r="AS642" s="92"/>
      <c r="AT642" s="92"/>
      <c r="AU642" s="92"/>
      <c r="AV642" s="92"/>
      <c r="AW642" s="92"/>
      <c r="AX642" s="92"/>
      <c r="AY642" s="92"/>
      <c r="AZ642" s="58"/>
      <c r="BA642" s="58"/>
      <c r="BB642" s="58"/>
      <c r="BC642" s="58"/>
      <c r="BD642" s="58"/>
      <c r="BE642" s="58"/>
      <c r="BF642" s="58"/>
      <c r="BG642" s="58"/>
      <c r="BH642" s="58"/>
      <c r="BI642" s="58"/>
      <c r="BJ642" s="58"/>
      <c r="BK642" s="58"/>
      <c r="BL642" s="58"/>
      <c r="BM642" s="58"/>
      <c r="BN642" s="58"/>
      <c r="BO642" s="58"/>
      <c r="BP642" s="58"/>
      <c r="BQ642" s="58"/>
      <c r="BR642" s="58"/>
      <c r="BS642" s="58"/>
    </row>
    <row r="643" spans="1:71" ht="15.75" customHeight="1" x14ac:dyDescent="0.2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1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0"/>
      <c r="AP643" s="90"/>
      <c r="AQ643" s="92"/>
      <c r="AR643" s="92"/>
      <c r="AS643" s="92"/>
      <c r="AT643" s="92"/>
      <c r="AU643" s="92"/>
      <c r="AV643" s="92"/>
      <c r="AW643" s="92"/>
      <c r="AX643" s="92"/>
      <c r="AY643" s="92"/>
      <c r="AZ643" s="58"/>
      <c r="BA643" s="58"/>
      <c r="BB643" s="58"/>
      <c r="BC643" s="58"/>
      <c r="BD643" s="58"/>
      <c r="BE643" s="58"/>
      <c r="BF643" s="58"/>
      <c r="BG643" s="58"/>
      <c r="BH643" s="58"/>
      <c r="BI643" s="58"/>
      <c r="BJ643" s="58"/>
      <c r="BK643" s="58"/>
      <c r="BL643" s="58"/>
      <c r="BM643" s="58"/>
      <c r="BN643" s="58"/>
      <c r="BO643" s="58"/>
      <c r="BP643" s="58"/>
      <c r="BQ643" s="58"/>
      <c r="BR643" s="58"/>
      <c r="BS643" s="58"/>
    </row>
    <row r="644" spans="1:71" ht="15.75" customHeight="1" x14ac:dyDescent="0.2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1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2"/>
      <c r="AR644" s="92"/>
      <c r="AS644" s="92"/>
      <c r="AT644" s="92"/>
      <c r="AU644" s="92"/>
      <c r="AV644" s="92"/>
      <c r="AW644" s="92"/>
      <c r="AX644" s="92"/>
      <c r="AY644" s="92"/>
      <c r="AZ644" s="58"/>
      <c r="BA644" s="58"/>
      <c r="BB644" s="58"/>
      <c r="BC644" s="58"/>
      <c r="BD644" s="58"/>
      <c r="BE644" s="58"/>
      <c r="BF644" s="58"/>
      <c r="BG644" s="58"/>
      <c r="BH644" s="58"/>
      <c r="BI644" s="58"/>
      <c r="BJ644" s="58"/>
      <c r="BK644" s="58"/>
      <c r="BL644" s="58"/>
      <c r="BM644" s="58"/>
      <c r="BN644" s="58"/>
      <c r="BO644" s="58"/>
      <c r="BP644" s="58"/>
      <c r="BQ644" s="58"/>
      <c r="BR644" s="58"/>
      <c r="BS644" s="58"/>
    </row>
    <row r="645" spans="1:71" ht="15.75" customHeight="1" x14ac:dyDescent="0.2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1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0"/>
      <c r="AP645" s="90"/>
      <c r="AQ645" s="92"/>
      <c r="AR645" s="92"/>
      <c r="AS645" s="92"/>
      <c r="AT645" s="92"/>
      <c r="AU645" s="92"/>
      <c r="AV645" s="92"/>
      <c r="AW645" s="92"/>
      <c r="AX645" s="92"/>
      <c r="AY645" s="92"/>
      <c r="AZ645" s="58"/>
      <c r="BA645" s="58"/>
      <c r="BB645" s="58"/>
      <c r="BC645" s="58"/>
      <c r="BD645" s="58"/>
      <c r="BE645" s="58"/>
      <c r="BF645" s="58"/>
      <c r="BG645" s="58"/>
      <c r="BH645" s="58"/>
      <c r="BI645" s="58"/>
      <c r="BJ645" s="58"/>
      <c r="BK645" s="58"/>
      <c r="BL645" s="58"/>
      <c r="BM645" s="58"/>
      <c r="BN645" s="58"/>
      <c r="BO645" s="58"/>
      <c r="BP645" s="58"/>
      <c r="BQ645" s="58"/>
      <c r="BR645" s="58"/>
      <c r="BS645" s="58"/>
    </row>
    <row r="646" spans="1:71" ht="15.75" customHeight="1" x14ac:dyDescent="0.2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1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2"/>
      <c r="AR646" s="92"/>
      <c r="AS646" s="92"/>
      <c r="AT646" s="92"/>
      <c r="AU646" s="92"/>
      <c r="AV646" s="92"/>
      <c r="AW646" s="92"/>
      <c r="AX646" s="92"/>
      <c r="AY646" s="92"/>
      <c r="AZ646" s="58"/>
      <c r="BA646" s="58"/>
      <c r="BB646" s="58"/>
      <c r="BC646" s="58"/>
      <c r="BD646" s="58"/>
      <c r="BE646" s="58"/>
      <c r="BF646" s="58"/>
      <c r="BG646" s="58"/>
      <c r="BH646" s="58"/>
      <c r="BI646" s="58"/>
      <c r="BJ646" s="58"/>
      <c r="BK646" s="58"/>
      <c r="BL646" s="58"/>
      <c r="BM646" s="58"/>
      <c r="BN646" s="58"/>
      <c r="BO646" s="58"/>
      <c r="BP646" s="58"/>
      <c r="BQ646" s="58"/>
      <c r="BR646" s="58"/>
      <c r="BS646" s="58"/>
    </row>
    <row r="647" spans="1:71" ht="15.75" customHeight="1" x14ac:dyDescent="0.2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1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0"/>
      <c r="AP647" s="90"/>
      <c r="AQ647" s="92"/>
      <c r="AR647" s="92"/>
      <c r="AS647" s="92"/>
      <c r="AT647" s="92"/>
      <c r="AU647" s="92"/>
      <c r="AV647" s="92"/>
      <c r="AW647" s="92"/>
      <c r="AX647" s="92"/>
      <c r="AY647" s="92"/>
      <c r="AZ647" s="58"/>
      <c r="BA647" s="58"/>
      <c r="BB647" s="58"/>
      <c r="BC647" s="58"/>
      <c r="BD647" s="58"/>
      <c r="BE647" s="58"/>
      <c r="BF647" s="58"/>
      <c r="BG647" s="58"/>
      <c r="BH647" s="58"/>
      <c r="BI647" s="58"/>
      <c r="BJ647" s="58"/>
      <c r="BK647" s="58"/>
      <c r="BL647" s="58"/>
      <c r="BM647" s="58"/>
      <c r="BN647" s="58"/>
      <c r="BO647" s="58"/>
      <c r="BP647" s="58"/>
      <c r="BQ647" s="58"/>
      <c r="BR647" s="58"/>
      <c r="BS647" s="58"/>
    </row>
    <row r="648" spans="1:71" ht="15.75" customHeight="1" x14ac:dyDescent="0.2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1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2"/>
      <c r="AR648" s="92"/>
      <c r="AS648" s="92"/>
      <c r="AT648" s="92"/>
      <c r="AU648" s="92"/>
      <c r="AV648" s="92"/>
      <c r="AW648" s="92"/>
      <c r="AX648" s="92"/>
      <c r="AY648" s="92"/>
      <c r="AZ648" s="58"/>
      <c r="BA648" s="58"/>
      <c r="BB648" s="58"/>
      <c r="BC648" s="58"/>
      <c r="BD648" s="58"/>
      <c r="BE648" s="58"/>
      <c r="BF648" s="58"/>
      <c r="BG648" s="58"/>
      <c r="BH648" s="58"/>
      <c r="BI648" s="58"/>
      <c r="BJ648" s="58"/>
      <c r="BK648" s="58"/>
      <c r="BL648" s="58"/>
      <c r="BM648" s="58"/>
      <c r="BN648" s="58"/>
      <c r="BO648" s="58"/>
      <c r="BP648" s="58"/>
      <c r="BQ648" s="58"/>
      <c r="BR648" s="58"/>
      <c r="BS648" s="58"/>
    </row>
    <row r="649" spans="1:71" ht="15.75" customHeight="1" x14ac:dyDescent="0.2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1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0"/>
      <c r="AP649" s="90"/>
      <c r="AQ649" s="92"/>
      <c r="AR649" s="92"/>
      <c r="AS649" s="92"/>
      <c r="AT649" s="92"/>
      <c r="AU649" s="92"/>
      <c r="AV649" s="92"/>
      <c r="AW649" s="92"/>
      <c r="AX649" s="92"/>
      <c r="AY649" s="92"/>
      <c r="AZ649" s="58"/>
      <c r="BA649" s="58"/>
      <c r="BB649" s="58"/>
      <c r="BC649" s="58"/>
      <c r="BD649" s="58"/>
      <c r="BE649" s="58"/>
      <c r="BF649" s="58"/>
      <c r="BG649" s="58"/>
      <c r="BH649" s="58"/>
      <c r="BI649" s="58"/>
      <c r="BJ649" s="58"/>
      <c r="BK649" s="58"/>
      <c r="BL649" s="58"/>
      <c r="BM649" s="58"/>
      <c r="BN649" s="58"/>
      <c r="BO649" s="58"/>
      <c r="BP649" s="58"/>
      <c r="BQ649" s="58"/>
      <c r="BR649" s="58"/>
      <c r="BS649" s="58"/>
    </row>
    <row r="650" spans="1:71" ht="15.75" customHeight="1" x14ac:dyDescent="0.2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1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2"/>
      <c r="AR650" s="92"/>
      <c r="AS650" s="92"/>
      <c r="AT650" s="92"/>
      <c r="AU650" s="92"/>
      <c r="AV650" s="92"/>
      <c r="AW650" s="92"/>
      <c r="AX650" s="92"/>
      <c r="AY650" s="92"/>
      <c r="AZ650" s="58"/>
      <c r="BA650" s="58"/>
      <c r="BB650" s="58"/>
      <c r="BC650" s="58"/>
      <c r="BD650" s="58"/>
      <c r="BE650" s="58"/>
      <c r="BF650" s="58"/>
      <c r="BG650" s="58"/>
      <c r="BH650" s="58"/>
      <c r="BI650" s="58"/>
      <c r="BJ650" s="58"/>
      <c r="BK650" s="58"/>
      <c r="BL650" s="58"/>
      <c r="BM650" s="58"/>
      <c r="BN650" s="58"/>
      <c r="BO650" s="58"/>
      <c r="BP650" s="58"/>
      <c r="BQ650" s="58"/>
      <c r="BR650" s="58"/>
      <c r="BS650" s="58"/>
    </row>
    <row r="651" spans="1:71" ht="15.75" customHeight="1" x14ac:dyDescent="0.2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1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0"/>
      <c r="AP651" s="90"/>
      <c r="AQ651" s="92"/>
      <c r="AR651" s="92"/>
      <c r="AS651" s="92"/>
      <c r="AT651" s="92"/>
      <c r="AU651" s="92"/>
      <c r="AV651" s="92"/>
      <c r="AW651" s="92"/>
      <c r="AX651" s="92"/>
      <c r="AY651" s="92"/>
      <c r="AZ651" s="58"/>
      <c r="BA651" s="58"/>
      <c r="BB651" s="58"/>
      <c r="BC651" s="58"/>
      <c r="BD651" s="58"/>
      <c r="BE651" s="58"/>
      <c r="BF651" s="58"/>
      <c r="BG651" s="58"/>
      <c r="BH651" s="58"/>
      <c r="BI651" s="58"/>
      <c r="BJ651" s="58"/>
      <c r="BK651" s="58"/>
      <c r="BL651" s="58"/>
      <c r="BM651" s="58"/>
      <c r="BN651" s="58"/>
      <c r="BO651" s="58"/>
      <c r="BP651" s="58"/>
      <c r="BQ651" s="58"/>
      <c r="BR651" s="58"/>
      <c r="BS651" s="58"/>
    </row>
    <row r="652" spans="1:71" ht="15.75" customHeight="1" x14ac:dyDescent="0.2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1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2"/>
      <c r="AR652" s="92"/>
      <c r="AS652" s="92"/>
      <c r="AT652" s="92"/>
      <c r="AU652" s="92"/>
      <c r="AV652" s="92"/>
      <c r="AW652" s="92"/>
      <c r="AX652" s="92"/>
      <c r="AY652" s="92"/>
      <c r="AZ652" s="58"/>
      <c r="BA652" s="58"/>
      <c r="BB652" s="58"/>
      <c r="BC652" s="58"/>
      <c r="BD652" s="58"/>
      <c r="BE652" s="58"/>
      <c r="BF652" s="58"/>
      <c r="BG652" s="58"/>
      <c r="BH652" s="58"/>
      <c r="BI652" s="58"/>
      <c r="BJ652" s="58"/>
      <c r="BK652" s="58"/>
      <c r="BL652" s="58"/>
      <c r="BM652" s="58"/>
      <c r="BN652" s="58"/>
      <c r="BO652" s="58"/>
      <c r="BP652" s="58"/>
      <c r="BQ652" s="58"/>
      <c r="BR652" s="58"/>
      <c r="BS652" s="58"/>
    </row>
    <row r="653" spans="1:71" ht="15.75" customHeight="1" x14ac:dyDescent="0.2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1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0"/>
      <c r="AP653" s="90"/>
      <c r="AQ653" s="92"/>
      <c r="AR653" s="92"/>
      <c r="AS653" s="92"/>
      <c r="AT653" s="92"/>
      <c r="AU653" s="92"/>
      <c r="AV653" s="92"/>
      <c r="AW653" s="92"/>
      <c r="AX653" s="92"/>
      <c r="AY653" s="92"/>
      <c r="AZ653" s="58"/>
      <c r="BA653" s="58"/>
      <c r="BB653" s="58"/>
      <c r="BC653" s="58"/>
      <c r="BD653" s="58"/>
      <c r="BE653" s="58"/>
      <c r="BF653" s="58"/>
      <c r="BG653" s="58"/>
      <c r="BH653" s="58"/>
      <c r="BI653" s="58"/>
      <c r="BJ653" s="58"/>
      <c r="BK653" s="58"/>
      <c r="BL653" s="58"/>
      <c r="BM653" s="58"/>
      <c r="BN653" s="58"/>
      <c r="BO653" s="58"/>
      <c r="BP653" s="58"/>
      <c r="BQ653" s="58"/>
      <c r="BR653" s="58"/>
      <c r="BS653" s="58"/>
    </row>
    <row r="654" spans="1:71" ht="15.75" customHeight="1" x14ac:dyDescent="0.2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1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2"/>
      <c r="AR654" s="92"/>
      <c r="AS654" s="92"/>
      <c r="AT654" s="92"/>
      <c r="AU654" s="92"/>
      <c r="AV654" s="92"/>
      <c r="AW654" s="92"/>
      <c r="AX654" s="92"/>
      <c r="AY654" s="92"/>
      <c r="AZ654" s="58"/>
      <c r="BA654" s="58"/>
      <c r="BB654" s="58"/>
      <c r="BC654" s="58"/>
      <c r="BD654" s="58"/>
      <c r="BE654" s="58"/>
      <c r="BF654" s="58"/>
      <c r="BG654" s="58"/>
      <c r="BH654" s="58"/>
      <c r="BI654" s="58"/>
      <c r="BJ654" s="58"/>
      <c r="BK654" s="58"/>
      <c r="BL654" s="58"/>
      <c r="BM654" s="58"/>
      <c r="BN654" s="58"/>
      <c r="BO654" s="58"/>
      <c r="BP654" s="58"/>
      <c r="BQ654" s="58"/>
      <c r="BR654" s="58"/>
      <c r="BS654" s="58"/>
    </row>
    <row r="655" spans="1:71" ht="15.75" customHeight="1" x14ac:dyDescent="0.2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1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0"/>
      <c r="AP655" s="90"/>
      <c r="AQ655" s="92"/>
      <c r="AR655" s="92"/>
      <c r="AS655" s="92"/>
      <c r="AT655" s="92"/>
      <c r="AU655" s="92"/>
      <c r="AV655" s="92"/>
      <c r="AW655" s="92"/>
      <c r="AX655" s="92"/>
      <c r="AY655" s="92"/>
      <c r="AZ655" s="58"/>
      <c r="BA655" s="58"/>
      <c r="BB655" s="58"/>
      <c r="BC655" s="58"/>
      <c r="BD655" s="58"/>
      <c r="BE655" s="58"/>
      <c r="BF655" s="58"/>
      <c r="BG655" s="58"/>
      <c r="BH655" s="58"/>
      <c r="BI655" s="58"/>
      <c r="BJ655" s="58"/>
      <c r="BK655" s="58"/>
      <c r="BL655" s="58"/>
      <c r="BM655" s="58"/>
      <c r="BN655" s="58"/>
      <c r="BO655" s="58"/>
      <c r="BP655" s="58"/>
      <c r="BQ655" s="58"/>
      <c r="BR655" s="58"/>
      <c r="BS655" s="58"/>
    </row>
    <row r="656" spans="1:71" ht="15.75" customHeight="1" x14ac:dyDescent="0.2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1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2"/>
      <c r="AR656" s="92"/>
      <c r="AS656" s="92"/>
      <c r="AT656" s="92"/>
      <c r="AU656" s="92"/>
      <c r="AV656" s="92"/>
      <c r="AW656" s="92"/>
      <c r="AX656" s="92"/>
      <c r="AY656" s="92"/>
      <c r="AZ656" s="58"/>
      <c r="BA656" s="58"/>
      <c r="BB656" s="58"/>
      <c r="BC656" s="58"/>
      <c r="BD656" s="58"/>
      <c r="BE656" s="58"/>
      <c r="BF656" s="58"/>
      <c r="BG656" s="58"/>
      <c r="BH656" s="58"/>
      <c r="BI656" s="58"/>
      <c r="BJ656" s="58"/>
      <c r="BK656" s="58"/>
      <c r="BL656" s="58"/>
      <c r="BM656" s="58"/>
      <c r="BN656" s="58"/>
      <c r="BO656" s="58"/>
      <c r="BP656" s="58"/>
      <c r="BQ656" s="58"/>
      <c r="BR656" s="58"/>
      <c r="BS656" s="58"/>
    </row>
    <row r="657" spans="1:71" ht="15.75" customHeight="1" x14ac:dyDescent="0.2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1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0"/>
      <c r="AP657" s="90"/>
      <c r="AQ657" s="92"/>
      <c r="AR657" s="92"/>
      <c r="AS657" s="92"/>
      <c r="AT657" s="92"/>
      <c r="AU657" s="92"/>
      <c r="AV657" s="92"/>
      <c r="AW657" s="92"/>
      <c r="AX657" s="92"/>
      <c r="AY657" s="92"/>
      <c r="AZ657" s="58"/>
      <c r="BA657" s="58"/>
      <c r="BB657" s="58"/>
      <c r="BC657" s="58"/>
      <c r="BD657" s="58"/>
      <c r="BE657" s="58"/>
      <c r="BF657" s="58"/>
      <c r="BG657" s="58"/>
      <c r="BH657" s="58"/>
      <c r="BI657" s="58"/>
      <c r="BJ657" s="58"/>
      <c r="BK657" s="58"/>
      <c r="BL657" s="58"/>
      <c r="BM657" s="58"/>
      <c r="BN657" s="58"/>
      <c r="BO657" s="58"/>
      <c r="BP657" s="58"/>
      <c r="BQ657" s="58"/>
      <c r="BR657" s="58"/>
      <c r="BS657" s="58"/>
    </row>
    <row r="658" spans="1:71" ht="15.75" customHeight="1" x14ac:dyDescent="0.2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1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2"/>
      <c r="AR658" s="92"/>
      <c r="AS658" s="92"/>
      <c r="AT658" s="92"/>
      <c r="AU658" s="92"/>
      <c r="AV658" s="92"/>
      <c r="AW658" s="92"/>
      <c r="AX658" s="92"/>
      <c r="AY658" s="92"/>
      <c r="AZ658" s="58"/>
      <c r="BA658" s="58"/>
      <c r="BB658" s="58"/>
      <c r="BC658" s="58"/>
      <c r="BD658" s="58"/>
      <c r="BE658" s="58"/>
      <c r="BF658" s="58"/>
      <c r="BG658" s="58"/>
      <c r="BH658" s="58"/>
      <c r="BI658" s="58"/>
      <c r="BJ658" s="58"/>
      <c r="BK658" s="58"/>
      <c r="BL658" s="58"/>
      <c r="BM658" s="58"/>
      <c r="BN658" s="58"/>
      <c r="BO658" s="58"/>
      <c r="BP658" s="58"/>
      <c r="BQ658" s="58"/>
      <c r="BR658" s="58"/>
      <c r="BS658" s="58"/>
    </row>
    <row r="659" spans="1:71" ht="15.75" customHeight="1" x14ac:dyDescent="0.2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1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0"/>
      <c r="AP659" s="90"/>
      <c r="AQ659" s="92"/>
      <c r="AR659" s="92"/>
      <c r="AS659" s="92"/>
      <c r="AT659" s="92"/>
      <c r="AU659" s="92"/>
      <c r="AV659" s="92"/>
      <c r="AW659" s="92"/>
      <c r="AX659" s="92"/>
      <c r="AY659" s="92"/>
      <c r="AZ659" s="58"/>
      <c r="BA659" s="58"/>
      <c r="BB659" s="58"/>
      <c r="BC659" s="58"/>
      <c r="BD659" s="58"/>
      <c r="BE659" s="58"/>
      <c r="BF659" s="58"/>
      <c r="BG659" s="58"/>
      <c r="BH659" s="58"/>
      <c r="BI659" s="58"/>
      <c r="BJ659" s="58"/>
      <c r="BK659" s="58"/>
      <c r="BL659" s="58"/>
      <c r="BM659" s="58"/>
      <c r="BN659" s="58"/>
      <c r="BO659" s="58"/>
      <c r="BP659" s="58"/>
      <c r="BQ659" s="58"/>
      <c r="BR659" s="58"/>
      <c r="BS659" s="58"/>
    </row>
    <row r="660" spans="1:71" ht="15.75" customHeight="1" x14ac:dyDescent="0.2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1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2"/>
      <c r="AR660" s="92"/>
      <c r="AS660" s="92"/>
      <c r="AT660" s="92"/>
      <c r="AU660" s="92"/>
      <c r="AV660" s="92"/>
      <c r="AW660" s="92"/>
      <c r="AX660" s="92"/>
      <c r="AY660" s="92"/>
      <c r="AZ660" s="58"/>
      <c r="BA660" s="58"/>
      <c r="BB660" s="58"/>
      <c r="BC660" s="58"/>
      <c r="BD660" s="58"/>
      <c r="BE660" s="58"/>
      <c r="BF660" s="58"/>
      <c r="BG660" s="58"/>
      <c r="BH660" s="58"/>
      <c r="BI660" s="58"/>
      <c r="BJ660" s="58"/>
      <c r="BK660" s="58"/>
      <c r="BL660" s="58"/>
      <c r="BM660" s="58"/>
      <c r="BN660" s="58"/>
      <c r="BO660" s="58"/>
      <c r="BP660" s="58"/>
      <c r="BQ660" s="58"/>
      <c r="BR660" s="58"/>
      <c r="BS660" s="58"/>
    </row>
    <row r="661" spans="1:71" ht="15.75" customHeight="1" x14ac:dyDescent="0.2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1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0"/>
      <c r="AP661" s="90"/>
      <c r="AQ661" s="92"/>
      <c r="AR661" s="92"/>
      <c r="AS661" s="92"/>
      <c r="AT661" s="92"/>
      <c r="AU661" s="92"/>
      <c r="AV661" s="92"/>
      <c r="AW661" s="92"/>
      <c r="AX661" s="92"/>
      <c r="AY661" s="92"/>
      <c r="AZ661" s="58"/>
      <c r="BA661" s="58"/>
      <c r="BB661" s="58"/>
      <c r="BC661" s="58"/>
      <c r="BD661" s="58"/>
      <c r="BE661" s="58"/>
      <c r="BF661" s="58"/>
      <c r="BG661" s="58"/>
      <c r="BH661" s="58"/>
      <c r="BI661" s="58"/>
      <c r="BJ661" s="58"/>
      <c r="BK661" s="58"/>
      <c r="BL661" s="58"/>
      <c r="BM661" s="58"/>
      <c r="BN661" s="58"/>
      <c r="BO661" s="58"/>
      <c r="BP661" s="58"/>
      <c r="BQ661" s="58"/>
      <c r="BR661" s="58"/>
      <c r="BS661" s="58"/>
    </row>
    <row r="662" spans="1:71" ht="15.75" customHeight="1" x14ac:dyDescent="0.2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1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2"/>
      <c r="AR662" s="92"/>
      <c r="AS662" s="92"/>
      <c r="AT662" s="92"/>
      <c r="AU662" s="92"/>
      <c r="AV662" s="92"/>
      <c r="AW662" s="92"/>
      <c r="AX662" s="92"/>
      <c r="AY662" s="92"/>
      <c r="AZ662" s="58"/>
      <c r="BA662" s="58"/>
      <c r="BB662" s="58"/>
      <c r="BC662" s="58"/>
      <c r="BD662" s="58"/>
      <c r="BE662" s="58"/>
      <c r="BF662" s="58"/>
      <c r="BG662" s="58"/>
      <c r="BH662" s="58"/>
      <c r="BI662" s="58"/>
      <c r="BJ662" s="58"/>
      <c r="BK662" s="58"/>
      <c r="BL662" s="58"/>
      <c r="BM662" s="58"/>
      <c r="BN662" s="58"/>
      <c r="BO662" s="58"/>
      <c r="BP662" s="58"/>
      <c r="BQ662" s="58"/>
      <c r="BR662" s="58"/>
      <c r="BS662" s="58"/>
    </row>
    <row r="663" spans="1:71" ht="15.75" customHeight="1" x14ac:dyDescent="0.2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1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0"/>
      <c r="AP663" s="90"/>
      <c r="AQ663" s="92"/>
      <c r="AR663" s="92"/>
      <c r="AS663" s="92"/>
      <c r="AT663" s="92"/>
      <c r="AU663" s="92"/>
      <c r="AV663" s="92"/>
      <c r="AW663" s="92"/>
      <c r="AX663" s="92"/>
      <c r="AY663" s="92"/>
      <c r="AZ663" s="58"/>
      <c r="BA663" s="58"/>
      <c r="BB663" s="58"/>
      <c r="BC663" s="58"/>
      <c r="BD663" s="58"/>
      <c r="BE663" s="58"/>
      <c r="BF663" s="58"/>
      <c r="BG663" s="58"/>
      <c r="BH663" s="58"/>
      <c r="BI663" s="58"/>
      <c r="BJ663" s="58"/>
      <c r="BK663" s="58"/>
      <c r="BL663" s="58"/>
      <c r="BM663" s="58"/>
      <c r="BN663" s="58"/>
      <c r="BO663" s="58"/>
      <c r="BP663" s="58"/>
      <c r="BQ663" s="58"/>
      <c r="BR663" s="58"/>
      <c r="BS663" s="58"/>
    </row>
    <row r="664" spans="1:71" ht="15.75" customHeight="1" x14ac:dyDescent="0.2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1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2"/>
      <c r="AR664" s="92"/>
      <c r="AS664" s="92"/>
      <c r="AT664" s="92"/>
      <c r="AU664" s="92"/>
      <c r="AV664" s="92"/>
      <c r="AW664" s="92"/>
      <c r="AX664" s="92"/>
      <c r="AY664" s="92"/>
      <c r="AZ664" s="58"/>
      <c r="BA664" s="58"/>
      <c r="BB664" s="58"/>
      <c r="BC664" s="58"/>
      <c r="BD664" s="58"/>
      <c r="BE664" s="58"/>
      <c r="BF664" s="58"/>
      <c r="BG664" s="58"/>
      <c r="BH664" s="58"/>
      <c r="BI664" s="58"/>
      <c r="BJ664" s="58"/>
      <c r="BK664" s="58"/>
      <c r="BL664" s="58"/>
      <c r="BM664" s="58"/>
      <c r="BN664" s="58"/>
      <c r="BO664" s="58"/>
      <c r="BP664" s="58"/>
      <c r="BQ664" s="58"/>
      <c r="BR664" s="58"/>
      <c r="BS664" s="58"/>
    </row>
    <row r="665" spans="1:71" ht="15.75" customHeight="1" x14ac:dyDescent="0.2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1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0"/>
      <c r="AP665" s="90"/>
      <c r="AQ665" s="92"/>
      <c r="AR665" s="92"/>
      <c r="AS665" s="92"/>
      <c r="AT665" s="92"/>
      <c r="AU665" s="92"/>
      <c r="AV665" s="92"/>
      <c r="AW665" s="92"/>
      <c r="AX665" s="92"/>
      <c r="AY665" s="92"/>
      <c r="AZ665" s="58"/>
      <c r="BA665" s="58"/>
      <c r="BB665" s="58"/>
      <c r="BC665" s="58"/>
      <c r="BD665" s="58"/>
      <c r="BE665" s="58"/>
      <c r="BF665" s="58"/>
      <c r="BG665" s="58"/>
      <c r="BH665" s="58"/>
      <c r="BI665" s="58"/>
      <c r="BJ665" s="58"/>
      <c r="BK665" s="58"/>
      <c r="BL665" s="58"/>
      <c r="BM665" s="58"/>
      <c r="BN665" s="58"/>
      <c r="BO665" s="58"/>
      <c r="BP665" s="58"/>
      <c r="BQ665" s="58"/>
      <c r="BR665" s="58"/>
      <c r="BS665" s="58"/>
    </row>
    <row r="666" spans="1:71" ht="15.75" customHeight="1" x14ac:dyDescent="0.2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1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2"/>
      <c r="AR666" s="92"/>
      <c r="AS666" s="92"/>
      <c r="AT666" s="92"/>
      <c r="AU666" s="92"/>
      <c r="AV666" s="92"/>
      <c r="AW666" s="92"/>
      <c r="AX666" s="92"/>
      <c r="AY666" s="92"/>
      <c r="AZ666" s="58"/>
      <c r="BA666" s="58"/>
      <c r="BB666" s="58"/>
      <c r="BC666" s="58"/>
      <c r="BD666" s="58"/>
      <c r="BE666" s="58"/>
      <c r="BF666" s="58"/>
      <c r="BG666" s="58"/>
      <c r="BH666" s="58"/>
      <c r="BI666" s="58"/>
      <c r="BJ666" s="58"/>
      <c r="BK666" s="58"/>
      <c r="BL666" s="58"/>
      <c r="BM666" s="58"/>
      <c r="BN666" s="58"/>
      <c r="BO666" s="58"/>
      <c r="BP666" s="58"/>
      <c r="BQ666" s="58"/>
      <c r="BR666" s="58"/>
      <c r="BS666" s="58"/>
    </row>
    <row r="667" spans="1:71" ht="15.75" customHeight="1" x14ac:dyDescent="0.2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1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0"/>
      <c r="AP667" s="90"/>
      <c r="AQ667" s="92"/>
      <c r="AR667" s="92"/>
      <c r="AS667" s="92"/>
      <c r="AT667" s="92"/>
      <c r="AU667" s="92"/>
      <c r="AV667" s="92"/>
      <c r="AW667" s="92"/>
      <c r="AX667" s="92"/>
      <c r="AY667" s="92"/>
      <c r="AZ667" s="58"/>
      <c r="BA667" s="58"/>
      <c r="BB667" s="58"/>
      <c r="BC667" s="58"/>
      <c r="BD667" s="58"/>
      <c r="BE667" s="58"/>
      <c r="BF667" s="58"/>
      <c r="BG667" s="58"/>
      <c r="BH667" s="58"/>
      <c r="BI667" s="58"/>
      <c r="BJ667" s="58"/>
      <c r="BK667" s="58"/>
      <c r="BL667" s="58"/>
      <c r="BM667" s="58"/>
      <c r="BN667" s="58"/>
      <c r="BO667" s="58"/>
      <c r="BP667" s="58"/>
      <c r="BQ667" s="58"/>
      <c r="BR667" s="58"/>
      <c r="BS667" s="58"/>
    </row>
    <row r="668" spans="1:71" ht="15.75" customHeight="1" x14ac:dyDescent="0.2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1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2"/>
      <c r="AR668" s="92"/>
      <c r="AS668" s="92"/>
      <c r="AT668" s="92"/>
      <c r="AU668" s="92"/>
      <c r="AV668" s="92"/>
      <c r="AW668" s="92"/>
      <c r="AX668" s="92"/>
      <c r="AY668" s="92"/>
      <c r="AZ668" s="58"/>
      <c r="BA668" s="58"/>
      <c r="BB668" s="58"/>
      <c r="BC668" s="58"/>
      <c r="BD668" s="58"/>
      <c r="BE668" s="58"/>
      <c r="BF668" s="58"/>
      <c r="BG668" s="58"/>
      <c r="BH668" s="58"/>
      <c r="BI668" s="58"/>
      <c r="BJ668" s="58"/>
      <c r="BK668" s="58"/>
      <c r="BL668" s="58"/>
      <c r="BM668" s="58"/>
      <c r="BN668" s="58"/>
      <c r="BO668" s="58"/>
      <c r="BP668" s="58"/>
      <c r="BQ668" s="58"/>
      <c r="BR668" s="58"/>
      <c r="BS668" s="58"/>
    </row>
    <row r="669" spans="1:71" ht="15.75" customHeight="1" x14ac:dyDescent="0.2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1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0"/>
      <c r="AP669" s="90"/>
      <c r="AQ669" s="92"/>
      <c r="AR669" s="92"/>
      <c r="AS669" s="92"/>
      <c r="AT669" s="92"/>
      <c r="AU669" s="92"/>
      <c r="AV669" s="92"/>
      <c r="AW669" s="92"/>
      <c r="AX669" s="92"/>
      <c r="AY669" s="92"/>
      <c r="AZ669" s="58"/>
      <c r="BA669" s="58"/>
      <c r="BB669" s="58"/>
      <c r="BC669" s="58"/>
      <c r="BD669" s="58"/>
      <c r="BE669" s="58"/>
      <c r="BF669" s="58"/>
      <c r="BG669" s="58"/>
      <c r="BH669" s="58"/>
      <c r="BI669" s="58"/>
      <c r="BJ669" s="58"/>
      <c r="BK669" s="58"/>
      <c r="BL669" s="58"/>
      <c r="BM669" s="58"/>
      <c r="BN669" s="58"/>
      <c r="BO669" s="58"/>
      <c r="BP669" s="58"/>
      <c r="BQ669" s="58"/>
      <c r="BR669" s="58"/>
      <c r="BS669" s="58"/>
    </row>
    <row r="670" spans="1:71" ht="15.75" customHeight="1" x14ac:dyDescent="0.2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1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2"/>
      <c r="AR670" s="92"/>
      <c r="AS670" s="92"/>
      <c r="AT670" s="92"/>
      <c r="AU670" s="92"/>
      <c r="AV670" s="92"/>
      <c r="AW670" s="92"/>
      <c r="AX670" s="92"/>
      <c r="AY670" s="92"/>
      <c r="AZ670" s="58"/>
      <c r="BA670" s="58"/>
      <c r="BB670" s="58"/>
      <c r="BC670" s="58"/>
      <c r="BD670" s="58"/>
      <c r="BE670" s="58"/>
      <c r="BF670" s="58"/>
      <c r="BG670" s="58"/>
      <c r="BH670" s="58"/>
      <c r="BI670" s="58"/>
      <c r="BJ670" s="58"/>
      <c r="BK670" s="58"/>
      <c r="BL670" s="58"/>
      <c r="BM670" s="58"/>
      <c r="BN670" s="58"/>
      <c r="BO670" s="58"/>
      <c r="BP670" s="58"/>
      <c r="BQ670" s="58"/>
      <c r="BR670" s="58"/>
      <c r="BS670" s="58"/>
    </row>
    <row r="671" spans="1:71" ht="15.75" customHeight="1" x14ac:dyDescent="0.2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1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0"/>
      <c r="AP671" s="90"/>
      <c r="AQ671" s="92"/>
      <c r="AR671" s="92"/>
      <c r="AS671" s="92"/>
      <c r="AT671" s="92"/>
      <c r="AU671" s="92"/>
      <c r="AV671" s="92"/>
      <c r="AW671" s="92"/>
      <c r="AX671" s="92"/>
      <c r="AY671" s="92"/>
      <c r="AZ671" s="58"/>
      <c r="BA671" s="58"/>
      <c r="BB671" s="58"/>
      <c r="BC671" s="58"/>
      <c r="BD671" s="58"/>
      <c r="BE671" s="58"/>
      <c r="BF671" s="58"/>
      <c r="BG671" s="58"/>
      <c r="BH671" s="58"/>
      <c r="BI671" s="58"/>
      <c r="BJ671" s="58"/>
      <c r="BK671" s="58"/>
      <c r="BL671" s="58"/>
      <c r="BM671" s="58"/>
      <c r="BN671" s="58"/>
      <c r="BO671" s="58"/>
      <c r="BP671" s="58"/>
      <c r="BQ671" s="58"/>
      <c r="BR671" s="58"/>
      <c r="BS671" s="58"/>
    </row>
    <row r="672" spans="1:71" ht="15.75" customHeight="1" x14ac:dyDescent="0.2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1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2"/>
      <c r="AR672" s="92"/>
      <c r="AS672" s="92"/>
      <c r="AT672" s="92"/>
      <c r="AU672" s="92"/>
      <c r="AV672" s="92"/>
      <c r="AW672" s="92"/>
      <c r="AX672" s="92"/>
      <c r="AY672" s="92"/>
      <c r="AZ672" s="58"/>
      <c r="BA672" s="58"/>
      <c r="BB672" s="58"/>
      <c r="BC672" s="58"/>
      <c r="BD672" s="58"/>
      <c r="BE672" s="58"/>
      <c r="BF672" s="58"/>
      <c r="BG672" s="58"/>
      <c r="BH672" s="58"/>
      <c r="BI672" s="58"/>
      <c r="BJ672" s="58"/>
      <c r="BK672" s="58"/>
      <c r="BL672" s="58"/>
      <c r="BM672" s="58"/>
      <c r="BN672" s="58"/>
      <c r="BO672" s="58"/>
      <c r="BP672" s="58"/>
      <c r="BQ672" s="58"/>
      <c r="BR672" s="58"/>
      <c r="BS672" s="58"/>
    </row>
    <row r="673" spans="1:71" ht="15.75" customHeight="1" x14ac:dyDescent="0.2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1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0"/>
      <c r="AP673" s="90"/>
      <c r="AQ673" s="92"/>
      <c r="AR673" s="92"/>
      <c r="AS673" s="92"/>
      <c r="AT673" s="92"/>
      <c r="AU673" s="92"/>
      <c r="AV673" s="92"/>
      <c r="AW673" s="92"/>
      <c r="AX673" s="92"/>
      <c r="AY673" s="92"/>
      <c r="AZ673" s="58"/>
      <c r="BA673" s="58"/>
      <c r="BB673" s="58"/>
      <c r="BC673" s="58"/>
      <c r="BD673" s="58"/>
      <c r="BE673" s="58"/>
      <c r="BF673" s="58"/>
      <c r="BG673" s="58"/>
      <c r="BH673" s="58"/>
      <c r="BI673" s="58"/>
      <c r="BJ673" s="58"/>
      <c r="BK673" s="58"/>
      <c r="BL673" s="58"/>
      <c r="BM673" s="58"/>
      <c r="BN673" s="58"/>
      <c r="BO673" s="58"/>
      <c r="BP673" s="58"/>
      <c r="BQ673" s="58"/>
      <c r="BR673" s="58"/>
      <c r="BS673" s="58"/>
    </row>
    <row r="674" spans="1:71" ht="15.75" customHeight="1" x14ac:dyDescent="0.2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1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2"/>
      <c r="AR674" s="92"/>
      <c r="AS674" s="92"/>
      <c r="AT674" s="92"/>
      <c r="AU674" s="92"/>
      <c r="AV674" s="92"/>
      <c r="AW674" s="92"/>
      <c r="AX674" s="92"/>
      <c r="AY674" s="92"/>
      <c r="AZ674" s="58"/>
      <c r="BA674" s="58"/>
      <c r="BB674" s="58"/>
      <c r="BC674" s="58"/>
      <c r="BD674" s="58"/>
      <c r="BE674" s="58"/>
      <c r="BF674" s="58"/>
      <c r="BG674" s="58"/>
      <c r="BH674" s="58"/>
      <c r="BI674" s="58"/>
      <c r="BJ674" s="58"/>
      <c r="BK674" s="58"/>
      <c r="BL674" s="58"/>
      <c r="BM674" s="58"/>
      <c r="BN674" s="58"/>
      <c r="BO674" s="58"/>
      <c r="BP674" s="58"/>
      <c r="BQ674" s="58"/>
      <c r="BR674" s="58"/>
      <c r="BS674" s="58"/>
    </row>
    <row r="675" spans="1:71" ht="15.75" customHeight="1" x14ac:dyDescent="0.2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1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0"/>
      <c r="AP675" s="90"/>
      <c r="AQ675" s="92"/>
      <c r="AR675" s="92"/>
      <c r="AS675" s="92"/>
      <c r="AT675" s="92"/>
      <c r="AU675" s="92"/>
      <c r="AV675" s="92"/>
      <c r="AW675" s="92"/>
      <c r="AX675" s="92"/>
      <c r="AY675" s="92"/>
      <c r="AZ675" s="58"/>
      <c r="BA675" s="58"/>
      <c r="BB675" s="58"/>
      <c r="BC675" s="58"/>
      <c r="BD675" s="58"/>
      <c r="BE675" s="58"/>
      <c r="BF675" s="58"/>
      <c r="BG675" s="58"/>
      <c r="BH675" s="58"/>
      <c r="BI675" s="58"/>
      <c r="BJ675" s="58"/>
      <c r="BK675" s="58"/>
      <c r="BL675" s="58"/>
      <c r="BM675" s="58"/>
      <c r="BN675" s="58"/>
      <c r="BO675" s="58"/>
      <c r="BP675" s="58"/>
      <c r="BQ675" s="58"/>
      <c r="BR675" s="58"/>
      <c r="BS675" s="58"/>
    </row>
    <row r="676" spans="1:71" ht="15.75" customHeight="1" x14ac:dyDescent="0.2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1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2"/>
      <c r="AR676" s="92"/>
      <c r="AS676" s="92"/>
      <c r="AT676" s="92"/>
      <c r="AU676" s="92"/>
      <c r="AV676" s="92"/>
      <c r="AW676" s="92"/>
      <c r="AX676" s="92"/>
      <c r="AY676" s="92"/>
      <c r="AZ676" s="58"/>
      <c r="BA676" s="58"/>
      <c r="BB676" s="58"/>
      <c r="BC676" s="58"/>
      <c r="BD676" s="58"/>
      <c r="BE676" s="58"/>
      <c r="BF676" s="58"/>
      <c r="BG676" s="58"/>
      <c r="BH676" s="58"/>
      <c r="BI676" s="58"/>
      <c r="BJ676" s="58"/>
      <c r="BK676" s="58"/>
      <c r="BL676" s="58"/>
      <c r="BM676" s="58"/>
      <c r="BN676" s="58"/>
      <c r="BO676" s="58"/>
      <c r="BP676" s="58"/>
      <c r="BQ676" s="58"/>
      <c r="BR676" s="58"/>
      <c r="BS676" s="58"/>
    </row>
    <row r="677" spans="1:71" ht="15.75" customHeight="1" x14ac:dyDescent="0.2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1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0"/>
      <c r="AP677" s="90"/>
      <c r="AQ677" s="92"/>
      <c r="AR677" s="92"/>
      <c r="AS677" s="92"/>
      <c r="AT677" s="92"/>
      <c r="AU677" s="92"/>
      <c r="AV677" s="92"/>
      <c r="AW677" s="92"/>
      <c r="AX677" s="92"/>
      <c r="AY677" s="92"/>
      <c r="AZ677" s="58"/>
      <c r="BA677" s="58"/>
      <c r="BB677" s="58"/>
      <c r="BC677" s="58"/>
      <c r="BD677" s="58"/>
      <c r="BE677" s="58"/>
      <c r="BF677" s="58"/>
      <c r="BG677" s="58"/>
      <c r="BH677" s="58"/>
      <c r="BI677" s="58"/>
      <c r="BJ677" s="58"/>
      <c r="BK677" s="58"/>
      <c r="BL677" s="58"/>
      <c r="BM677" s="58"/>
      <c r="BN677" s="58"/>
      <c r="BO677" s="58"/>
      <c r="BP677" s="58"/>
      <c r="BQ677" s="58"/>
      <c r="BR677" s="58"/>
      <c r="BS677" s="58"/>
    </row>
    <row r="678" spans="1:71" ht="15.75" customHeight="1" x14ac:dyDescent="0.2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1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2"/>
      <c r="AR678" s="92"/>
      <c r="AS678" s="92"/>
      <c r="AT678" s="92"/>
      <c r="AU678" s="92"/>
      <c r="AV678" s="92"/>
      <c r="AW678" s="92"/>
      <c r="AX678" s="92"/>
      <c r="AY678" s="92"/>
      <c r="AZ678" s="58"/>
      <c r="BA678" s="58"/>
      <c r="BB678" s="58"/>
      <c r="BC678" s="58"/>
      <c r="BD678" s="58"/>
      <c r="BE678" s="58"/>
      <c r="BF678" s="58"/>
      <c r="BG678" s="58"/>
      <c r="BH678" s="58"/>
      <c r="BI678" s="58"/>
      <c r="BJ678" s="58"/>
      <c r="BK678" s="58"/>
      <c r="BL678" s="58"/>
      <c r="BM678" s="58"/>
      <c r="BN678" s="58"/>
      <c r="BO678" s="58"/>
      <c r="BP678" s="58"/>
      <c r="BQ678" s="58"/>
      <c r="BR678" s="58"/>
      <c r="BS678" s="58"/>
    </row>
    <row r="679" spans="1:71" ht="15.75" customHeight="1" x14ac:dyDescent="0.2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1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0"/>
      <c r="AP679" s="90"/>
      <c r="AQ679" s="92"/>
      <c r="AR679" s="92"/>
      <c r="AS679" s="92"/>
      <c r="AT679" s="92"/>
      <c r="AU679" s="92"/>
      <c r="AV679" s="92"/>
      <c r="AW679" s="92"/>
      <c r="AX679" s="92"/>
      <c r="AY679" s="92"/>
      <c r="AZ679" s="58"/>
      <c r="BA679" s="58"/>
      <c r="BB679" s="58"/>
      <c r="BC679" s="58"/>
      <c r="BD679" s="58"/>
      <c r="BE679" s="58"/>
      <c r="BF679" s="58"/>
      <c r="BG679" s="58"/>
      <c r="BH679" s="58"/>
      <c r="BI679" s="58"/>
      <c r="BJ679" s="58"/>
      <c r="BK679" s="58"/>
      <c r="BL679" s="58"/>
      <c r="BM679" s="58"/>
      <c r="BN679" s="58"/>
      <c r="BO679" s="58"/>
      <c r="BP679" s="58"/>
      <c r="BQ679" s="58"/>
      <c r="BR679" s="58"/>
      <c r="BS679" s="58"/>
    </row>
    <row r="680" spans="1:71" ht="15.75" customHeight="1" x14ac:dyDescent="0.2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1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2"/>
      <c r="AR680" s="92"/>
      <c r="AS680" s="92"/>
      <c r="AT680" s="92"/>
      <c r="AU680" s="92"/>
      <c r="AV680" s="92"/>
      <c r="AW680" s="92"/>
      <c r="AX680" s="92"/>
      <c r="AY680" s="92"/>
      <c r="AZ680" s="58"/>
      <c r="BA680" s="58"/>
      <c r="BB680" s="58"/>
      <c r="BC680" s="58"/>
      <c r="BD680" s="58"/>
      <c r="BE680" s="58"/>
      <c r="BF680" s="58"/>
      <c r="BG680" s="58"/>
      <c r="BH680" s="58"/>
      <c r="BI680" s="58"/>
      <c r="BJ680" s="58"/>
      <c r="BK680" s="58"/>
      <c r="BL680" s="58"/>
      <c r="BM680" s="58"/>
      <c r="BN680" s="58"/>
      <c r="BO680" s="58"/>
      <c r="BP680" s="58"/>
      <c r="BQ680" s="58"/>
      <c r="BR680" s="58"/>
      <c r="BS680" s="58"/>
    </row>
    <row r="681" spans="1:71" ht="15.75" customHeight="1" x14ac:dyDescent="0.2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1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0"/>
      <c r="AP681" s="90"/>
      <c r="AQ681" s="92"/>
      <c r="AR681" s="92"/>
      <c r="AS681" s="92"/>
      <c r="AT681" s="92"/>
      <c r="AU681" s="92"/>
      <c r="AV681" s="92"/>
      <c r="AW681" s="92"/>
      <c r="AX681" s="92"/>
      <c r="AY681" s="92"/>
      <c r="AZ681" s="58"/>
      <c r="BA681" s="58"/>
      <c r="BB681" s="58"/>
      <c r="BC681" s="58"/>
      <c r="BD681" s="58"/>
      <c r="BE681" s="58"/>
      <c r="BF681" s="58"/>
      <c r="BG681" s="58"/>
      <c r="BH681" s="58"/>
      <c r="BI681" s="58"/>
      <c r="BJ681" s="58"/>
      <c r="BK681" s="58"/>
      <c r="BL681" s="58"/>
      <c r="BM681" s="58"/>
      <c r="BN681" s="58"/>
      <c r="BO681" s="58"/>
      <c r="BP681" s="58"/>
      <c r="BQ681" s="58"/>
      <c r="BR681" s="58"/>
      <c r="BS681" s="58"/>
    </row>
    <row r="682" spans="1:71" ht="15.75" customHeight="1" x14ac:dyDescent="0.2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1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2"/>
      <c r="AR682" s="92"/>
      <c r="AS682" s="92"/>
      <c r="AT682" s="92"/>
      <c r="AU682" s="92"/>
      <c r="AV682" s="92"/>
      <c r="AW682" s="92"/>
      <c r="AX682" s="92"/>
      <c r="AY682" s="92"/>
      <c r="AZ682" s="58"/>
      <c r="BA682" s="58"/>
      <c r="BB682" s="58"/>
      <c r="BC682" s="58"/>
      <c r="BD682" s="58"/>
      <c r="BE682" s="58"/>
      <c r="BF682" s="58"/>
      <c r="BG682" s="58"/>
      <c r="BH682" s="58"/>
      <c r="BI682" s="58"/>
      <c r="BJ682" s="58"/>
      <c r="BK682" s="58"/>
      <c r="BL682" s="58"/>
      <c r="BM682" s="58"/>
      <c r="BN682" s="58"/>
      <c r="BO682" s="58"/>
      <c r="BP682" s="58"/>
      <c r="BQ682" s="58"/>
      <c r="BR682" s="58"/>
      <c r="BS682" s="58"/>
    </row>
    <row r="683" spans="1:71" ht="15.75" customHeight="1" x14ac:dyDescent="0.2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1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0"/>
      <c r="AP683" s="90"/>
      <c r="AQ683" s="92"/>
      <c r="AR683" s="92"/>
      <c r="AS683" s="92"/>
      <c r="AT683" s="92"/>
      <c r="AU683" s="92"/>
      <c r="AV683" s="92"/>
      <c r="AW683" s="92"/>
      <c r="AX683" s="92"/>
      <c r="AY683" s="92"/>
      <c r="AZ683" s="58"/>
      <c r="BA683" s="58"/>
      <c r="BB683" s="58"/>
      <c r="BC683" s="58"/>
      <c r="BD683" s="58"/>
      <c r="BE683" s="58"/>
      <c r="BF683" s="58"/>
      <c r="BG683" s="58"/>
      <c r="BH683" s="58"/>
      <c r="BI683" s="58"/>
      <c r="BJ683" s="58"/>
      <c r="BK683" s="58"/>
      <c r="BL683" s="58"/>
      <c r="BM683" s="58"/>
      <c r="BN683" s="58"/>
      <c r="BO683" s="58"/>
      <c r="BP683" s="58"/>
      <c r="BQ683" s="58"/>
      <c r="BR683" s="58"/>
      <c r="BS683" s="58"/>
    </row>
    <row r="684" spans="1:71" ht="15.75" customHeight="1" x14ac:dyDescent="0.2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1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2"/>
      <c r="AR684" s="92"/>
      <c r="AS684" s="92"/>
      <c r="AT684" s="92"/>
      <c r="AU684" s="92"/>
      <c r="AV684" s="92"/>
      <c r="AW684" s="92"/>
      <c r="AX684" s="92"/>
      <c r="AY684" s="92"/>
      <c r="AZ684" s="58"/>
      <c r="BA684" s="58"/>
      <c r="BB684" s="58"/>
      <c r="BC684" s="58"/>
      <c r="BD684" s="58"/>
      <c r="BE684" s="58"/>
      <c r="BF684" s="58"/>
      <c r="BG684" s="58"/>
      <c r="BH684" s="58"/>
      <c r="BI684" s="58"/>
      <c r="BJ684" s="58"/>
      <c r="BK684" s="58"/>
      <c r="BL684" s="58"/>
      <c r="BM684" s="58"/>
      <c r="BN684" s="58"/>
      <c r="BO684" s="58"/>
      <c r="BP684" s="58"/>
      <c r="BQ684" s="58"/>
      <c r="BR684" s="58"/>
      <c r="BS684" s="58"/>
    </row>
    <row r="685" spans="1:71" ht="15.75" customHeight="1" x14ac:dyDescent="0.2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1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0"/>
      <c r="AP685" s="90"/>
      <c r="AQ685" s="92"/>
      <c r="AR685" s="92"/>
      <c r="AS685" s="92"/>
      <c r="AT685" s="92"/>
      <c r="AU685" s="92"/>
      <c r="AV685" s="92"/>
      <c r="AW685" s="92"/>
      <c r="AX685" s="92"/>
      <c r="AY685" s="92"/>
      <c r="AZ685" s="58"/>
      <c r="BA685" s="58"/>
      <c r="BB685" s="58"/>
      <c r="BC685" s="58"/>
      <c r="BD685" s="58"/>
      <c r="BE685" s="58"/>
      <c r="BF685" s="58"/>
      <c r="BG685" s="58"/>
      <c r="BH685" s="58"/>
      <c r="BI685" s="58"/>
      <c r="BJ685" s="58"/>
      <c r="BK685" s="58"/>
      <c r="BL685" s="58"/>
      <c r="BM685" s="58"/>
      <c r="BN685" s="58"/>
      <c r="BO685" s="58"/>
      <c r="BP685" s="58"/>
      <c r="BQ685" s="58"/>
      <c r="BR685" s="58"/>
      <c r="BS685" s="58"/>
    </row>
    <row r="686" spans="1:71" ht="15.75" customHeight="1" x14ac:dyDescent="0.2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1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2"/>
      <c r="AR686" s="92"/>
      <c r="AS686" s="92"/>
      <c r="AT686" s="92"/>
      <c r="AU686" s="92"/>
      <c r="AV686" s="92"/>
      <c r="AW686" s="92"/>
      <c r="AX686" s="92"/>
      <c r="AY686" s="92"/>
      <c r="AZ686" s="58"/>
      <c r="BA686" s="58"/>
      <c r="BB686" s="58"/>
      <c r="BC686" s="58"/>
      <c r="BD686" s="58"/>
      <c r="BE686" s="58"/>
      <c r="BF686" s="58"/>
      <c r="BG686" s="58"/>
      <c r="BH686" s="58"/>
      <c r="BI686" s="58"/>
      <c r="BJ686" s="58"/>
      <c r="BK686" s="58"/>
      <c r="BL686" s="58"/>
      <c r="BM686" s="58"/>
      <c r="BN686" s="58"/>
      <c r="BO686" s="58"/>
      <c r="BP686" s="58"/>
      <c r="BQ686" s="58"/>
      <c r="BR686" s="58"/>
      <c r="BS686" s="58"/>
    </row>
    <row r="687" spans="1:71" ht="15.75" customHeight="1" x14ac:dyDescent="0.2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1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0"/>
      <c r="AP687" s="90"/>
      <c r="AQ687" s="92"/>
      <c r="AR687" s="92"/>
      <c r="AS687" s="92"/>
      <c r="AT687" s="92"/>
      <c r="AU687" s="92"/>
      <c r="AV687" s="92"/>
      <c r="AW687" s="92"/>
      <c r="AX687" s="92"/>
      <c r="AY687" s="92"/>
      <c r="AZ687" s="58"/>
      <c r="BA687" s="58"/>
      <c r="BB687" s="58"/>
      <c r="BC687" s="58"/>
      <c r="BD687" s="58"/>
      <c r="BE687" s="58"/>
      <c r="BF687" s="58"/>
      <c r="BG687" s="58"/>
      <c r="BH687" s="58"/>
      <c r="BI687" s="58"/>
      <c r="BJ687" s="58"/>
      <c r="BK687" s="58"/>
      <c r="BL687" s="58"/>
      <c r="BM687" s="58"/>
      <c r="BN687" s="58"/>
      <c r="BO687" s="58"/>
      <c r="BP687" s="58"/>
      <c r="BQ687" s="58"/>
      <c r="BR687" s="58"/>
      <c r="BS687" s="58"/>
    </row>
    <row r="688" spans="1:71" ht="15.75" customHeight="1" x14ac:dyDescent="0.2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1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2"/>
      <c r="AR688" s="92"/>
      <c r="AS688" s="92"/>
      <c r="AT688" s="92"/>
      <c r="AU688" s="92"/>
      <c r="AV688" s="92"/>
      <c r="AW688" s="92"/>
      <c r="AX688" s="92"/>
      <c r="AY688" s="92"/>
      <c r="AZ688" s="58"/>
      <c r="BA688" s="58"/>
      <c r="BB688" s="58"/>
      <c r="BC688" s="58"/>
      <c r="BD688" s="58"/>
      <c r="BE688" s="58"/>
      <c r="BF688" s="58"/>
      <c r="BG688" s="58"/>
      <c r="BH688" s="58"/>
      <c r="BI688" s="58"/>
      <c r="BJ688" s="58"/>
      <c r="BK688" s="58"/>
      <c r="BL688" s="58"/>
      <c r="BM688" s="58"/>
      <c r="BN688" s="58"/>
      <c r="BO688" s="58"/>
      <c r="BP688" s="58"/>
      <c r="BQ688" s="58"/>
      <c r="BR688" s="58"/>
      <c r="BS688" s="58"/>
    </row>
    <row r="689" spans="1:71" ht="15.75" customHeight="1" x14ac:dyDescent="0.2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1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0"/>
      <c r="AP689" s="90"/>
      <c r="AQ689" s="92"/>
      <c r="AR689" s="92"/>
      <c r="AS689" s="92"/>
      <c r="AT689" s="92"/>
      <c r="AU689" s="92"/>
      <c r="AV689" s="92"/>
      <c r="AW689" s="92"/>
      <c r="AX689" s="92"/>
      <c r="AY689" s="92"/>
      <c r="AZ689" s="58"/>
      <c r="BA689" s="58"/>
      <c r="BB689" s="58"/>
      <c r="BC689" s="58"/>
      <c r="BD689" s="58"/>
      <c r="BE689" s="58"/>
      <c r="BF689" s="58"/>
      <c r="BG689" s="58"/>
      <c r="BH689" s="58"/>
      <c r="BI689" s="58"/>
      <c r="BJ689" s="58"/>
      <c r="BK689" s="58"/>
      <c r="BL689" s="58"/>
      <c r="BM689" s="58"/>
      <c r="BN689" s="58"/>
      <c r="BO689" s="58"/>
      <c r="BP689" s="58"/>
      <c r="BQ689" s="58"/>
      <c r="BR689" s="58"/>
      <c r="BS689" s="58"/>
    </row>
    <row r="690" spans="1:71" ht="15.75" customHeight="1" x14ac:dyDescent="0.2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1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2"/>
      <c r="AR690" s="92"/>
      <c r="AS690" s="92"/>
      <c r="AT690" s="92"/>
      <c r="AU690" s="92"/>
      <c r="AV690" s="92"/>
      <c r="AW690" s="92"/>
      <c r="AX690" s="92"/>
      <c r="AY690" s="92"/>
      <c r="AZ690" s="58"/>
      <c r="BA690" s="58"/>
      <c r="BB690" s="58"/>
      <c r="BC690" s="58"/>
      <c r="BD690" s="58"/>
      <c r="BE690" s="58"/>
      <c r="BF690" s="58"/>
      <c r="BG690" s="58"/>
      <c r="BH690" s="58"/>
      <c r="BI690" s="58"/>
      <c r="BJ690" s="58"/>
      <c r="BK690" s="58"/>
      <c r="BL690" s="58"/>
      <c r="BM690" s="58"/>
      <c r="BN690" s="58"/>
      <c r="BO690" s="58"/>
      <c r="BP690" s="58"/>
      <c r="BQ690" s="58"/>
      <c r="BR690" s="58"/>
      <c r="BS690" s="58"/>
    </row>
    <row r="691" spans="1:71" ht="15.75" customHeight="1" x14ac:dyDescent="0.2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1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0"/>
      <c r="AP691" s="90"/>
      <c r="AQ691" s="92"/>
      <c r="AR691" s="92"/>
      <c r="AS691" s="92"/>
      <c r="AT691" s="92"/>
      <c r="AU691" s="92"/>
      <c r="AV691" s="92"/>
      <c r="AW691" s="92"/>
      <c r="AX691" s="92"/>
      <c r="AY691" s="92"/>
      <c r="AZ691" s="58"/>
      <c r="BA691" s="58"/>
      <c r="BB691" s="58"/>
      <c r="BC691" s="58"/>
      <c r="BD691" s="58"/>
      <c r="BE691" s="58"/>
      <c r="BF691" s="58"/>
      <c r="BG691" s="58"/>
      <c r="BH691" s="58"/>
      <c r="BI691" s="58"/>
      <c r="BJ691" s="58"/>
      <c r="BK691" s="58"/>
      <c r="BL691" s="58"/>
      <c r="BM691" s="58"/>
      <c r="BN691" s="58"/>
      <c r="BO691" s="58"/>
      <c r="BP691" s="58"/>
      <c r="BQ691" s="58"/>
      <c r="BR691" s="58"/>
      <c r="BS691" s="58"/>
    </row>
    <row r="692" spans="1:71" ht="15.75" customHeight="1" x14ac:dyDescent="0.2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1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2"/>
      <c r="AR692" s="92"/>
      <c r="AS692" s="92"/>
      <c r="AT692" s="92"/>
      <c r="AU692" s="92"/>
      <c r="AV692" s="92"/>
      <c r="AW692" s="92"/>
      <c r="AX692" s="92"/>
      <c r="AY692" s="92"/>
      <c r="AZ692" s="58"/>
      <c r="BA692" s="58"/>
      <c r="BB692" s="58"/>
      <c r="BC692" s="58"/>
      <c r="BD692" s="58"/>
      <c r="BE692" s="58"/>
      <c r="BF692" s="58"/>
      <c r="BG692" s="58"/>
      <c r="BH692" s="58"/>
      <c r="BI692" s="58"/>
      <c r="BJ692" s="58"/>
      <c r="BK692" s="58"/>
      <c r="BL692" s="58"/>
      <c r="BM692" s="58"/>
      <c r="BN692" s="58"/>
      <c r="BO692" s="58"/>
      <c r="BP692" s="58"/>
      <c r="BQ692" s="58"/>
      <c r="BR692" s="58"/>
      <c r="BS692" s="58"/>
    </row>
    <row r="693" spans="1:71" ht="15.75" customHeight="1" x14ac:dyDescent="0.2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1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0"/>
      <c r="AP693" s="90"/>
      <c r="AQ693" s="92"/>
      <c r="AR693" s="92"/>
      <c r="AS693" s="92"/>
      <c r="AT693" s="92"/>
      <c r="AU693" s="92"/>
      <c r="AV693" s="92"/>
      <c r="AW693" s="92"/>
      <c r="AX693" s="92"/>
      <c r="AY693" s="92"/>
      <c r="AZ693" s="58"/>
      <c r="BA693" s="58"/>
      <c r="BB693" s="58"/>
      <c r="BC693" s="58"/>
      <c r="BD693" s="58"/>
      <c r="BE693" s="58"/>
      <c r="BF693" s="58"/>
      <c r="BG693" s="58"/>
      <c r="BH693" s="58"/>
      <c r="BI693" s="58"/>
      <c r="BJ693" s="58"/>
      <c r="BK693" s="58"/>
      <c r="BL693" s="58"/>
      <c r="BM693" s="58"/>
      <c r="BN693" s="58"/>
      <c r="BO693" s="58"/>
      <c r="BP693" s="58"/>
      <c r="BQ693" s="58"/>
      <c r="BR693" s="58"/>
      <c r="BS693" s="58"/>
    </row>
    <row r="694" spans="1:71" ht="15.75" customHeight="1" x14ac:dyDescent="0.2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1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2"/>
      <c r="AR694" s="92"/>
      <c r="AS694" s="92"/>
      <c r="AT694" s="92"/>
      <c r="AU694" s="92"/>
      <c r="AV694" s="92"/>
      <c r="AW694" s="92"/>
      <c r="AX694" s="92"/>
      <c r="AY694" s="92"/>
      <c r="AZ694" s="58"/>
      <c r="BA694" s="58"/>
      <c r="BB694" s="58"/>
      <c r="BC694" s="58"/>
      <c r="BD694" s="58"/>
      <c r="BE694" s="58"/>
      <c r="BF694" s="58"/>
      <c r="BG694" s="58"/>
      <c r="BH694" s="58"/>
      <c r="BI694" s="58"/>
      <c r="BJ694" s="58"/>
      <c r="BK694" s="58"/>
      <c r="BL694" s="58"/>
      <c r="BM694" s="58"/>
      <c r="BN694" s="58"/>
      <c r="BO694" s="58"/>
      <c r="BP694" s="58"/>
      <c r="BQ694" s="58"/>
      <c r="BR694" s="58"/>
      <c r="BS694" s="58"/>
    </row>
    <row r="695" spans="1:71" ht="15.75" customHeight="1" x14ac:dyDescent="0.2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1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0"/>
      <c r="AP695" s="90"/>
      <c r="AQ695" s="92"/>
      <c r="AR695" s="92"/>
      <c r="AS695" s="92"/>
      <c r="AT695" s="92"/>
      <c r="AU695" s="92"/>
      <c r="AV695" s="92"/>
      <c r="AW695" s="92"/>
      <c r="AX695" s="92"/>
      <c r="AY695" s="92"/>
      <c r="AZ695" s="58"/>
      <c r="BA695" s="58"/>
      <c r="BB695" s="58"/>
      <c r="BC695" s="58"/>
      <c r="BD695" s="58"/>
      <c r="BE695" s="58"/>
      <c r="BF695" s="58"/>
      <c r="BG695" s="58"/>
      <c r="BH695" s="58"/>
      <c r="BI695" s="58"/>
      <c r="BJ695" s="58"/>
      <c r="BK695" s="58"/>
      <c r="BL695" s="58"/>
      <c r="BM695" s="58"/>
      <c r="BN695" s="58"/>
      <c r="BO695" s="58"/>
      <c r="BP695" s="58"/>
      <c r="BQ695" s="58"/>
      <c r="BR695" s="58"/>
      <c r="BS695" s="58"/>
    </row>
    <row r="696" spans="1:71" ht="15.75" customHeight="1" x14ac:dyDescent="0.2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1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2"/>
      <c r="AR696" s="92"/>
      <c r="AS696" s="92"/>
      <c r="AT696" s="92"/>
      <c r="AU696" s="92"/>
      <c r="AV696" s="92"/>
      <c r="AW696" s="92"/>
      <c r="AX696" s="92"/>
      <c r="AY696" s="92"/>
      <c r="AZ696" s="58"/>
      <c r="BA696" s="58"/>
      <c r="BB696" s="58"/>
      <c r="BC696" s="58"/>
      <c r="BD696" s="58"/>
      <c r="BE696" s="58"/>
      <c r="BF696" s="58"/>
      <c r="BG696" s="58"/>
      <c r="BH696" s="58"/>
      <c r="BI696" s="58"/>
      <c r="BJ696" s="58"/>
      <c r="BK696" s="58"/>
      <c r="BL696" s="58"/>
      <c r="BM696" s="58"/>
      <c r="BN696" s="58"/>
      <c r="BO696" s="58"/>
      <c r="BP696" s="58"/>
      <c r="BQ696" s="58"/>
      <c r="BR696" s="58"/>
      <c r="BS696" s="58"/>
    </row>
    <row r="697" spans="1:71" ht="15.75" customHeight="1" x14ac:dyDescent="0.2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1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0"/>
      <c r="AP697" s="90"/>
      <c r="AQ697" s="92"/>
      <c r="AR697" s="92"/>
      <c r="AS697" s="92"/>
      <c r="AT697" s="92"/>
      <c r="AU697" s="92"/>
      <c r="AV697" s="92"/>
      <c r="AW697" s="92"/>
      <c r="AX697" s="92"/>
      <c r="AY697" s="92"/>
      <c r="AZ697" s="58"/>
      <c r="BA697" s="58"/>
      <c r="BB697" s="58"/>
      <c r="BC697" s="58"/>
      <c r="BD697" s="58"/>
      <c r="BE697" s="58"/>
      <c r="BF697" s="58"/>
      <c r="BG697" s="58"/>
      <c r="BH697" s="58"/>
      <c r="BI697" s="58"/>
      <c r="BJ697" s="58"/>
      <c r="BK697" s="58"/>
      <c r="BL697" s="58"/>
      <c r="BM697" s="58"/>
      <c r="BN697" s="58"/>
      <c r="BO697" s="58"/>
      <c r="BP697" s="58"/>
      <c r="BQ697" s="58"/>
      <c r="BR697" s="58"/>
      <c r="BS697" s="58"/>
    </row>
    <row r="698" spans="1:71" ht="15.75" customHeight="1" x14ac:dyDescent="0.2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1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2"/>
      <c r="AR698" s="92"/>
      <c r="AS698" s="92"/>
      <c r="AT698" s="92"/>
      <c r="AU698" s="92"/>
      <c r="AV698" s="92"/>
      <c r="AW698" s="92"/>
      <c r="AX698" s="92"/>
      <c r="AY698" s="92"/>
      <c r="AZ698" s="58"/>
      <c r="BA698" s="58"/>
      <c r="BB698" s="58"/>
      <c r="BC698" s="58"/>
      <c r="BD698" s="58"/>
      <c r="BE698" s="58"/>
      <c r="BF698" s="58"/>
      <c r="BG698" s="58"/>
      <c r="BH698" s="58"/>
      <c r="BI698" s="58"/>
      <c r="BJ698" s="58"/>
      <c r="BK698" s="58"/>
      <c r="BL698" s="58"/>
      <c r="BM698" s="58"/>
      <c r="BN698" s="58"/>
      <c r="BO698" s="58"/>
      <c r="BP698" s="58"/>
      <c r="BQ698" s="58"/>
      <c r="BR698" s="58"/>
      <c r="BS698" s="58"/>
    </row>
    <row r="699" spans="1:71" ht="15.75" customHeight="1" x14ac:dyDescent="0.2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1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0"/>
      <c r="AP699" s="90"/>
      <c r="AQ699" s="92"/>
      <c r="AR699" s="92"/>
      <c r="AS699" s="92"/>
      <c r="AT699" s="92"/>
      <c r="AU699" s="92"/>
      <c r="AV699" s="92"/>
      <c r="AW699" s="92"/>
      <c r="AX699" s="92"/>
      <c r="AY699" s="92"/>
      <c r="AZ699" s="58"/>
      <c r="BA699" s="58"/>
      <c r="BB699" s="58"/>
      <c r="BC699" s="58"/>
      <c r="BD699" s="58"/>
      <c r="BE699" s="58"/>
      <c r="BF699" s="58"/>
      <c r="BG699" s="58"/>
      <c r="BH699" s="58"/>
      <c r="BI699" s="58"/>
      <c r="BJ699" s="58"/>
      <c r="BK699" s="58"/>
      <c r="BL699" s="58"/>
      <c r="BM699" s="58"/>
      <c r="BN699" s="58"/>
      <c r="BO699" s="58"/>
      <c r="BP699" s="58"/>
      <c r="BQ699" s="58"/>
      <c r="BR699" s="58"/>
      <c r="BS699" s="58"/>
    </row>
    <row r="700" spans="1:71" ht="15.75" customHeight="1" x14ac:dyDescent="0.2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1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2"/>
      <c r="AR700" s="92"/>
      <c r="AS700" s="92"/>
      <c r="AT700" s="92"/>
      <c r="AU700" s="92"/>
      <c r="AV700" s="92"/>
      <c r="AW700" s="92"/>
      <c r="AX700" s="92"/>
      <c r="AY700" s="92"/>
      <c r="AZ700" s="58"/>
      <c r="BA700" s="58"/>
      <c r="BB700" s="58"/>
      <c r="BC700" s="58"/>
      <c r="BD700" s="58"/>
      <c r="BE700" s="58"/>
      <c r="BF700" s="58"/>
      <c r="BG700" s="58"/>
      <c r="BH700" s="58"/>
      <c r="BI700" s="58"/>
      <c r="BJ700" s="58"/>
      <c r="BK700" s="58"/>
      <c r="BL700" s="58"/>
      <c r="BM700" s="58"/>
      <c r="BN700" s="58"/>
      <c r="BO700" s="58"/>
      <c r="BP700" s="58"/>
      <c r="BQ700" s="58"/>
      <c r="BR700" s="58"/>
      <c r="BS700" s="58"/>
    </row>
    <row r="701" spans="1:71" ht="15.75" customHeight="1" x14ac:dyDescent="0.2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1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0"/>
      <c r="AP701" s="90"/>
      <c r="AQ701" s="92"/>
      <c r="AR701" s="92"/>
      <c r="AS701" s="92"/>
      <c r="AT701" s="92"/>
      <c r="AU701" s="92"/>
      <c r="AV701" s="92"/>
      <c r="AW701" s="92"/>
      <c r="AX701" s="92"/>
      <c r="AY701" s="92"/>
      <c r="AZ701" s="58"/>
      <c r="BA701" s="58"/>
      <c r="BB701" s="58"/>
      <c r="BC701" s="58"/>
      <c r="BD701" s="58"/>
      <c r="BE701" s="58"/>
      <c r="BF701" s="58"/>
      <c r="BG701" s="58"/>
      <c r="BH701" s="58"/>
      <c r="BI701" s="58"/>
      <c r="BJ701" s="58"/>
      <c r="BK701" s="58"/>
      <c r="BL701" s="58"/>
      <c r="BM701" s="58"/>
      <c r="BN701" s="58"/>
      <c r="BO701" s="58"/>
      <c r="BP701" s="58"/>
      <c r="BQ701" s="58"/>
      <c r="BR701" s="58"/>
      <c r="BS701" s="58"/>
    </row>
    <row r="702" spans="1:71" ht="15.75" customHeight="1" x14ac:dyDescent="0.2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1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2"/>
      <c r="AR702" s="92"/>
      <c r="AS702" s="92"/>
      <c r="AT702" s="92"/>
      <c r="AU702" s="92"/>
      <c r="AV702" s="92"/>
      <c r="AW702" s="92"/>
      <c r="AX702" s="92"/>
      <c r="AY702" s="92"/>
      <c r="AZ702" s="58"/>
      <c r="BA702" s="58"/>
      <c r="BB702" s="58"/>
      <c r="BC702" s="58"/>
      <c r="BD702" s="58"/>
      <c r="BE702" s="58"/>
      <c r="BF702" s="58"/>
      <c r="BG702" s="58"/>
      <c r="BH702" s="58"/>
      <c r="BI702" s="58"/>
      <c r="BJ702" s="58"/>
      <c r="BK702" s="58"/>
      <c r="BL702" s="58"/>
      <c r="BM702" s="58"/>
      <c r="BN702" s="58"/>
      <c r="BO702" s="58"/>
      <c r="BP702" s="58"/>
      <c r="BQ702" s="58"/>
      <c r="BR702" s="58"/>
      <c r="BS702" s="58"/>
    </row>
    <row r="703" spans="1:71" ht="15.75" customHeight="1" x14ac:dyDescent="0.2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1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0"/>
      <c r="AP703" s="90"/>
      <c r="AQ703" s="92"/>
      <c r="AR703" s="92"/>
      <c r="AS703" s="92"/>
      <c r="AT703" s="92"/>
      <c r="AU703" s="92"/>
      <c r="AV703" s="92"/>
      <c r="AW703" s="92"/>
      <c r="AX703" s="92"/>
      <c r="AY703" s="92"/>
      <c r="AZ703" s="58"/>
      <c r="BA703" s="58"/>
      <c r="BB703" s="58"/>
      <c r="BC703" s="58"/>
      <c r="BD703" s="58"/>
      <c r="BE703" s="58"/>
      <c r="BF703" s="58"/>
      <c r="BG703" s="58"/>
      <c r="BH703" s="58"/>
      <c r="BI703" s="58"/>
      <c r="BJ703" s="58"/>
      <c r="BK703" s="58"/>
      <c r="BL703" s="58"/>
      <c r="BM703" s="58"/>
      <c r="BN703" s="58"/>
      <c r="BO703" s="58"/>
      <c r="BP703" s="58"/>
      <c r="BQ703" s="58"/>
      <c r="BR703" s="58"/>
      <c r="BS703" s="58"/>
    </row>
    <row r="704" spans="1:71" ht="15.75" customHeight="1" x14ac:dyDescent="0.2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1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2"/>
      <c r="AR704" s="92"/>
      <c r="AS704" s="92"/>
      <c r="AT704" s="92"/>
      <c r="AU704" s="92"/>
      <c r="AV704" s="92"/>
      <c r="AW704" s="92"/>
      <c r="AX704" s="92"/>
      <c r="AY704" s="92"/>
      <c r="AZ704" s="58"/>
      <c r="BA704" s="58"/>
      <c r="BB704" s="58"/>
      <c r="BC704" s="58"/>
      <c r="BD704" s="58"/>
      <c r="BE704" s="58"/>
      <c r="BF704" s="58"/>
      <c r="BG704" s="58"/>
      <c r="BH704" s="58"/>
      <c r="BI704" s="58"/>
      <c r="BJ704" s="58"/>
      <c r="BK704" s="58"/>
      <c r="BL704" s="58"/>
      <c r="BM704" s="58"/>
      <c r="BN704" s="58"/>
      <c r="BO704" s="58"/>
      <c r="BP704" s="58"/>
      <c r="BQ704" s="58"/>
      <c r="BR704" s="58"/>
      <c r="BS704" s="58"/>
    </row>
    <row r="705" spans="1:71" ht="15.75" customHeight="1" x14ac:dyDescent="0.2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1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0"/>
      <c r="AP705" s="90"/>
      <c r="AQ705" s="92"/>
      <c r="AR705" s="92"/>
      <c r="AS705" s="92"/>
      <c r="AT705" s="92"/>
      <c r="AU705" s="92"/>
      <c r="AV705" s="92"/>
      <c r="AW705" s="92"/>
      <c r="AX705" s="92"/>
      <c r="AY705" s="92"/>
      <c r="AZ705" s="58"/>
      <c r="BA705" s="58"/>
      <c r="BB705" s="58"/>
      <c r="BC705" s="58"/>
      <c r="BD705" s="58"/>
      <c r="BE705" s="58"/>
      <c r="BF705" s="58"/>
      <c r="BG705" s="58"/>
      <c r="BH705" s="58"/>
      <c r="BI705" s="58"/>
      <c r="BJ705" s="58"/>
      <c r="BK705" s="58"/>
      <c r="BL705" s="58"/>
      <c r="BM705" s="58"/>
      <c r="BN705" s="58"/>
      <c r="BO705" s="58"/>
      <c r="BP705" s="58"/>
      <c r="BQ705" s="58"/>
      <c r="BR705" s="58"/>
      <c r="BS705" s="58"/>
    </row>
    <row r="706" spans="1:71" ht="15.75" customHeight="1" x14ac:dyDescent="0.2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1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2"/>
      <c r="AR706" s="92"/>
      <c r="AS706" s="92"/>
      <c r="AT706" s="92"/>
      <c r="AU706" s="92"/>
      <c r="AV706" s="92"/>
      <c r="AW706" s="92"/>
      <c r="AX706" s="92"/>
      <c r="AY706" s="92"/>
      <c r="AZ706" s="58"/>
      <c r="BA706" s="58"/>
      <c r="BB706" s="58"/>
      <c r="BC706" s="58"/>
      <c r="BD706" s="58"/>
      <c r="BE706" s="58"/>
      <c r="BF706" s="58"/>
      <c r="BG706" s="58"/>
      <c r="BH706" s="58"/>
      <c r="BI706" s="58"/>
      <c r="BJ706" s="58"/>
      <c r="BK706" s="58"/>
      <c r="BL706" s="58"/>
      <c r="BM706" s="58"/>
      <c r="BN706" s="58"/>
      <c r="BO706" s="58"/>
      <c r="BP706" s="58"/>
      <c r="BQ706" s="58"/>
      <c r="BR706" s="58"/>
      <c r="BS706" s="58"/>
    </row>
    <row r="707" spans="1:71" ht="15.75" customHeight="1" x14ac:dyDescent="0.2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1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0"/>
      <c r="AP707" s="90"/>
      <c r="AQ707" s="92"/>
      <c r="AR707" s="92"/>
      <c r="AS707" s="92"/>
      <c r="AT707" s="92"/>
      <c r="AU707" s="92"/>
      <c r="AV707" s="92"/>
      <c r="AW707" s="92"/>
      <c r="AX707" s="92"/>
      <c r="AY707" s="92"/>
      <c r="AZ707" s="58"/>
      <c r="BA707" s="58"/>
      <c r="BB707" s="58"/>
      <c r="BC707" s="58"/>
      <c r="BD707" s="58"/>
      <c r="BE707" s="58"/>
      <c r="BF707" s="58"/>
      <c r="BG707" s="58"/>
      <c r="BH707" s="58"/>
      <c r="BI707" s="58"/>
      <c r="BJ707" s="58"/>
      <c r="BK707" s="58"/>
      <c r="BL707" s="58"/>
      <c r="BM707" s="58"/>
      <c r="BN707" s="58"/>
      <c r="BO707" s="58"/>
      <c r="BP707" s="58"/>
      <c r="BQ707" s="58"/>
      <c r="BR707" s="58"/>
      <c r="BS707" s="58"/>
    </row>
    <row r="708" spans="1:71" ht="15.75" customHeight="1" x14ac:dyDescent="0.2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1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2"/>
      <c r="AR708" s="92"/>
      <c r="AS708" s="92"/>
      <c r="AT708" s="92"/>
      <c r="AU708" s="92"/>
      <c r="AV708" s="92"/>
      <c r="AW708" s="92"/>
      <c r="AX708" s="92"/>
      <c r="AY708" s="92"/>
      <c r="AZ708" s="58"/>
      <c r="BA708" s="58"/>
      <c r="BB708" s="58"/>
      <c r="BC708" s="58"/>
      <c r="BD708" s="58"/>
      <c r="BE708" s="58"/>
      <c r="BF708" s="58"/>
      <c r="BG708" s="58"/>
      <c r="BH708" s="58"/>
      <c r="BI708" s="58"/>
      <c r="BJ708" s="58"/>
      <c r="BK708" s="58"/>
      <c r="BL708" s="58"/>
      <c r="BM708" s="58"/>
      <c r="BN708" s="58"/>
      <c r="BO708" s="58"/>
      <c r="BP708" s="58"/>
      <c r="BQ708" s="58"/>
      <c r="BR708" s="58"/>
      <c r="BS708" s="58"/>
    </row>
    <row r="709" spans="1:71" ht="15.75" customHeight="1" x14ac:dyDescent="0.2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1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0"/>
      <c r="AP709" s="90"/>
      <c r="AQ709" s="92"/>
      <c r="AR709" s="92"/>
      <c r="AS709" s="92"/>
      <c r="AT709" s="92"/>
      <c r="AU709" s="92"/>
      <c r="AV709" s="92"/>
      <c r="AW709" s="92"/>
      <c r="AX709" s="92"/>
      <c r="AY709" s="92"/>
      <c r="AZ709" s="58"/>
      <c r="BA709" s="58"/>
      <c r="BB709" s="58"/>
      <c r="BC709" s="58"/>
      <c r="BD709" s="58"/>
      <c r="BE709" s="58"/>
      <c r="BF709" s="58"/>
      <c r="BG709" s="58"/>
      <c r="BH709" s="58"/>
      <c r="BI709" s="58"/>
      <c r="BJ709" s="58"/>
      <c r="BK709" s="58"/>
      <c r="BL709" s="58"/>
      <c r="BM709" s="58"/>
      <c r="BN709" s="58"/>
      <c r="BO709" s="58"/>
      <c r="BP709" s="58"/>
      <c r="BQ709" s="58"/>
      <c r="BR709" s="58"/>
      <c r="BS709" s="58"/>
    </row>
    <row r="710" spans="1:71" ht="15.75" customHeight="1" x14ac:dyDescent="0.2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1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2"/>
      <c r="AR710" s="92"/>
      <c r="AS710" s="92"/>
      <c r="AT710" s="92"/>
      <c r="AU710" s="92"/>
      <c r="AV710" s="92"/>
      <c r="AW710" s="92"/>
      <c r="AX710" s="92"/>
      <c r="AY710" s="92"/>
      <c r="AZ710" s="58"/>
      <c r="BA710" s="58"/>
      <c r="BB710" s="58"/>
      <c r="BC710" s="58"/>
      <c r="BD710" s="58"/>
      <c r="BE710" s="58"/>
      <c r="BF710" s="58"/>
      <c r="BG710" s="58"/>
      <c r="BH710" s="58"/>
      <c r="BI710" s="58"/>
      <c r="BJ710" s="58"/>
      <c r="BK710" s="58"/>
      <c r="BL710" s="58"/>
      <c r="BM710" s="58"/>
      <c r="BN710" s="58"/>
      <c r="BO710" s="58"/>
      <c r="BP710" s="58"/>
      <c r="BQ710" s="58"/>
      <c r="BR710" s="58"/>
      <c r="BS710" s="58"/>
    </row>
    <row r="711" spans="1:71" ht="15.75" customHeight="1" x14ac:dyDescent="0.2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1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0"/>
      <c r="AP711" s="90"/>
      <c r="AQ711" s="92"/>
      <c r="AR711" s="92"/>
      <c r="AS711" s="92"/>
      <c r="AT711" s="92"/>
      <c r="AU711" s="92"/>
      <c r="AV711" s="92"/>
      <c r="AW711" s="92"/>
      <c r="AX711" s="92"/>
      <c r="AY711" s="92"/>
      <c r="AZ711" s="58"/>
      <c r="BA711" s="58"/>
      <c r="BB711" s="58"/>
      <c r="BC711" s="58"/>
      <c r="BD711" s="58"/>
      <c r="BE711" s="58"/>
      <c r="BF711" s="58"/>
      <c r="BG711" s="58"/>
      <c r="BH711" s="58"/>
      <c r="BI711" s="58"/>
      <c r="BJ711" s="58"/>
      <c r="BK711" s="58"/>
      <c r="BL711" s="58"/>
      <c r="BM711" s="58"/>
      <c r="BN711" s="58"/>
      <c r="BO711" s="58"/>
      <c r="BP711" s="58"/>
      <c r="BQ711" s="58"/>
      <c r="BR711" s="58"/>
      <c r="BS711" s="58"/>
    </row>
    <row r="712" spans="1:71" ht="15.75" customHeight="1" x14ac:dyDescent="0.2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1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2"/>
      <c r="AR712" s="92"/>
      <c r="AS712" s="92"/>
      <c r="AT712" s="92"/>
      <c r="AU712" s="92"/>
      <c r="AV712" s="92"/>
      <c r="AW712" s="92"/>
      <c r="AX712" s="92"/>
      <c r="AY712" s="92"/>
      <c r="AZ712" s="58"/>
      <c r="BA712" s="58"/>
      <c r="BB712" s="58"/>
      <c r="BC712" s="58"/>
      <c r="BD712" s="58"/>
      <c r="BE712" s="58"/>
      <c r="BF712" s="58"/>
      <c r="BG712" s="58"/>
      <c r="BH712" s="58"/>
      <c r="BI712" s="58"/>
      <c r="BJ712" s="58"/>
      <c r="BK712" s="58"/>
      <c r="BL712" s="58"/>
      <c r="BM712" s="58"/>
      <c r="BN712" s="58"/>
      <c r="BO712" s="58"/>
      <c r="BP712" s="58"/>
      <c r="BQ712" s="58"/>
      <c r="BR712" s="58"/>
      <c r="BS712" s="58"/>
    </row>
    <row r="713" spans="1:71" ht="15.75" customHeight="1" x14ac:dyDescent="0.2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1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0"/>
      <c r="AP713" s="90"/>
      <c r="AQ713" s="92"/>
      <c r="AR713" s="92"/>
      <c r="AS713" s="92"/>
      <c r="AT713" s="92"/>
      <c r="AU713" s="92"/>
      <c r="AV713" s="92"/>
      <c r="AW713" s="92"/>
      <c r="AX713" s="92"/>
      <c r="AY713" s="92"/>
      <c r="AZ713" s="58"/>
      <c r="BA713" s="58"/>
      <c r="BB713" s="58"/>
      <c r="BC713" s="58"/>
      <c r="BD713" s="58"/>
      <c r="BE713" s="58"/>
      <c r="BF713" s="58"/>
      <c r="BG713" s="58"/>
      <c r="BH713" s="58"/>
      <c r="BI713" s="58"/>
      <c r="BJ713" s="58"/>
      <c r="BK713" s="58"/>
      <c r="BL713" s="58"/>
      <c r="BM713" s="58"/>
      <c r="BN713" s="58"/>
      <c r="BO713" s="58"/>
      <c r="BP713" s="58"/>
      <c r="BQ713" s="58"/>
      <c r="BR713" s="58"/>
      <c r="BS713" s="58"/>
    </row>
    <row r="714" spans="1:71" ht="15.75" customHeight="1" x14ac:dyDescent="0.2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1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2"/>
      <c r="AR714" s="92"/>
      <c r="AS714" s="92"/>
      <c r="AT714" s="92"/>
      <c r="AU714" s="92"/>
      <c r="AV714" s="92"/>
      <c r="AW714" s="92"/>
      <c r="AX714" s="92"/>
      <c r="AY714" s="92"/>
      <c r="AZ714" s="58"/>
      <c r="BA714" s="58"/>
      <c r="BB714" s="58"/>
      <c r="BC714" s="58"/>
      <c r="BD714" s="58"/>
      <c r="BE714" s="58"/>
      <c r="BF714" s="58"/>
      <c r="BG714" s="58"/>
      <c r="BH714" s="58"/>
      <c r="BI714" s="58"/>
      <c r="BJ714" s="58"/>
      <c r="BK714" s="58"/>
      <c r="BL714" s="58"/>
      <c r="BM714" s="58"/>
      <c r="BN714" s="58"/>
      <c r="BO714" s="58"/>
      <c r="BP714" s="58"/>
      <c r="BQ714" s="58"/>
      <c r="BR714" s="58"/>
      <c r="BS714" s="58"/>
    </row>
    <row r="715" spans="1:71" ht="15.75" customHeight="1" x14ac:dyDescent="0.2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1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0"/>
      <c r="AP715" s="90"/>
      <c r="AQ715" s="92"/>
      <c r="AR715" s="92"/>
      <c r="AS715" s="92"/>
      <c r="AT715" s="92"/>
      <c r="AU715" s="92"/>
      <c r="AV715" s="92"/>
      <c r="AW715" s="92"/>
      <c r="AX715" s="92"/>
      <c r="AY715" s="92"/>
      <c r="AZ715" s="58"/>
      <c r="BA715" s="58"/>
      <c r="BB715" s="58"/>
      <c r="BC715" s="58"/>
      <c r="BD715" s="58"/>
      <c r="BE715" s="58"/>
      <c r="BF715" s="58"/>
      <c r="BG715" s="58"/>
      <c r="BH715" s="58"/>
      <c r="BI715" s="58"/>
      <c r="BJ715" s="58"/>
      <c r="BK715" s="58"/>
      <c r="BL715" s="58"/>
      <c r="BM715" s="58"/>
      <c r="BN715" s="58"/>
      <c r="BO715" s="58"/>
      <c r="BP715" s="58"/>
      <c r="BQ715" s="58"/>
      <c r="BR715" s="58"/>
      <c r="BS715" s="58"/>
    </row>
    <row r="716" spans="1:71" ht="15.75" customHeight="1" x14ac:dyDescent="0.2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1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2"/>
      <c r="AR716" s="92"/>
      <c r="AS716" s="92"/>
      <c r="AT716" s="92"/>
      <c r="AU716" s="92"/>
      <c r="AV716" s="92"/>
      <c r="AW716" s="92"/>
      <c r="AX716" s="92"/>
      <c r="AY716" s="92"/>
      <c r="AZ716" s="58"/>
      <c r="BA716" s="58"/>
      <c r="BB716" s="58"/>
      <c r="BC716" s="58"/>
      <c r="BD716" s="58"/>
      <c r="BE716" s="58"/>
      <c r="BF716" s="58"/>
      <c r="BG716" s="58"/>
      <c r="BH716" s="58"/>
      <c r="BI716" s="58"/>
      <c r="BJ716" s="58"/>
      <c r="BK716" s="58"/>
      <c r="BL716" s="58"/>
      <c r="BM716" s="58"/>
      <c r="BN716" s="58"/>
      <c r="BO716" s="58"/>
      <c r="BP716" s="58"/>
      <c r="BQ716" s="58"/>
      <c r="BR716" s="58"/>
      <c r="BS716" s="58"/>
    </row>
    <row r="717" spans="1:71" ht="15.75" customHeight="1" x14ac:dyDescent="0.2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1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0"/>
      <c r="AP717" s="90"/>
      <c r="AQ717" s="92"/>
      <c r="AR717" s="92"/>
      <c r="AS717" s="92"/>
      <c r="AT717" s="92"/>
      <c r="AU717" s="92"/>
      <c r="AV717" s="92"/>
      <c r="AW717" s="92"/>
      <c r="AX717" s="92"/>
      <c r="AY717" s="92"/>
      <c r="AZ717" s="58"/>
      <c r="BA717" s="58"/>
      <c r="BB717" s="58"/>
      <c r="BC717" s="58"/>
      <c r="BD717" s="58"/>
      <c r="BE717" s="58"/>
      <c r="BF717" s="58"/>
      <c r="BG717" s="58"/>
      <c r="BH717" s="58"/>
      <c r="BI717" s="58"/>
      <c r="BJ717" s="58"/>
      <c r="BK717" s="58"/>
      <c r="BL717" s="58"/>
      <c r="BM717" s="58"/>
      <c r="BN717" s="58"/>
      <c r="BO717" s="58"/>
      <c r="BP717" s="58"/>
      <c r="BQ717" s="58"/>
      <c r="BR717" s="58"/>
      <c r="BS717" s="58"/>
    </row>
    <row r="718" spans="1:71" ht="15.75" customHeight="1" x14ac:dyDescent="0.2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1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2"/>
      <c r="AR718" s="92"/>
      <c r="AS718" s="92"/>
      <c r="AT718" s="92"/>
      <c r="AU718" s="92"/>
      <c r="AV718" s="92"/>
      <c r="AW718" s="92"/>
      <c r="AX718" s="92"/>
      <c r="AY718" s="92"/>
      <c r="AZ718" s="58"/>
      <c r="BA718" s="58"/>
      <c r="BB718" s="58"/>
      <c r="BC718" s="58"/>
      <c r="BD718" s="58"/>
      <c r="BE718" s="58"/>
      <c r="BF718" s="58"/>
      <c r="BG718" s="58"/>
      <c r="BH718" s="58"/>
      <c r="BI718" s="58"/>
      <c r="BJ718" s="58"/>
      <c r="BK718" s="58"/>
      <c r="BL718" s="58"/>
      <c r="BM718" s="58"/>
      <c r="BN718" s="58"/>
      <c r="BO718" s="58"/>
      <c r="BP718" s="58"/>
      <c r="BQ718" s="58"/>
      <c r="BR718" s="58"/>
      <c r="BS718" s="58"/>
    </row>
    <row r="719" spans="1:71" ht="15.75" customHeight="1" x14ac:dyDescent="0.2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1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0"/>
      <c r="AP719" s="90"/>
      <c r="AQ719" s="92"/>
      <c r="AR719" s="92"/>
      <c r="AS719" s="92"/>
      <c r="AT719" s="92"/>
      <c r="AU719" s="92"/>
      <c r="AV719" s="92"/>
      <c r="AW719" s="92"/>
      <c r="AX719" s="92"/>
      <c r="AY719" s="92"/>
      <c r="AZ719" s="58"/>
      <c r="BA719" s="58"/>
      <c r="BB719" s="58"/>
      <c r="BC719" s="58"/>
      <c r="BD719" s="58"/>
      <c r="BE719" s="58"/>
      <c r="BF719" s="58"/>
      <c r="BG719" s="58"/>
      <c r="BH719" s="58"/>
      <c r="BI719" s="58"/>
      <c r="BJ719" s="58"/>
      <c r="BK719" s="58"/>
      <c r="BL719" s="58"/>
      <c r="BM719" s="58"/>
      <c r="BN719" s="58"/>
      <c r="BO719" s="58"/>
      <c r="BP719" s="58"/>
      <c r="BQ719" s="58"/>
      <c r="BR719" s="58"/>
      <c r="BS719" s="58"/>
    </row>
    <row r="720" spans="1:71" ht="15.75" customHeight="1" x14ac:dyDescent="0.2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1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2"/>
      <c r="AR720" s="92"/>
      <c r="AS720" s="92"/>
      <c r="AT720" s="92"/>
      <c r="AU720" s="92"/>
      <c r="AV720" s="92"/>
      <c r="AW720" s="92"/>
      <c r="AX720" s="92"/>
      <c r="AY720" s="92"/>
      <c r="AZ720" s="58"/>
      <c r="BA720" s="58"/>
      <c r="BB720" s="58"/>
      <c r="BC720" s="58"/>
      <c r="BD720" s="58"/>
      <c r="BE720" s="58"/>
      <c r="BF720" s="58"/>
      <c r="BG720" s="58"/>
      <c r="BH720" s="58"/>
      <c r="BI720" s="58"/>
      <c r="BJ720" s="58"/>
      <c r="BK720" s="58"/>
      <c r="BL720" s="58"/>
      <c r="BM720" s="58"/>
      <c r="BN720" s="58"/>
      <c r="BO720" s="58"/>
      <c r="BP720" s="58"/>
      <c r="BQ720" s="58"/>
      <c r="BR720" s="58"/>
      <c r="BS720" s="58"/>
    </row>
    <row r="721" spans="1:71" ht="15.75" customHeight="1" x14ac:dyDescent="0.2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1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0"/>
      <c r="AP721" s="90"/>
      <c r="AQ721" s="92"/>
      <c r="AR721" s="92"/>
      <c r="AS721" s="92"/>
      <c r="AT721" s="92"/>
      <c r="AU721" s="92"/>
      <c r="AV721" s="92"/>
      <c r="AW721" s="92"/>
      <c r="AX721" s="92"/>
      <c r="AY721" s="92"/>
      <c r="AZ721" s="58"/>
      <c r="BA721" s="58"/>
      <c r="BB721" s="58"/>
      <c r="BC721" s="58"/>
      <c r="BD721" s="58"/>
      <c r="BE721" s="58"/>
      <c r="BF721" s="58"/>
      <c r="BG721" s="58"/>
      <c r="BH721" s="58"/>
      <c r="BI721" s="58"/>
      <c r="BJ721" s="58"/>
      <c r="BK721" s="58"/>
      <c r="BL721" s="58"/>
      <c r="BM721" s="58"/>
      <c r="BN721" s="58"/>
      <c r="BO721" s="58"/>
      <c r="BP721" s="58"/>
      <c r="BQ721" s="58"/>
      <c r="BR721" s="58"/>
      <c r="BS721" s="58"/>
    </row>
    <row r="722" spans="1:71" ht="15.75" customHeight="1" x14ac:dyDescent="0.2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1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2"/>
      <c r="AR722" s="92"/>
      <c r="AS722" s="92"/>
      <c r="AT722" s="92"/>
      <c r="AU722" s="92"/>
      <c r="AV722" s="92"/>
      <c r="AW722" s="92"/>
      <c r="AX722" s="92"/>
      <c r="AY722" s="92"/>
      <c r="AZ722" s="58"/>
      <c r="BA722" s="58"/>
      <c r="BB722" s="58"/>
      <c r="BC722" s="58"/>
      <c r="BD722" s="58"/>
      <c r="BE722" s="58"/>
      <c r="BF722" s="58"/>
      <c r="BG722" s="58"/>
      <c r="BH722" s="58"/>
      <c r="BI722" s="58"/>
      <c r="BJ722" s="58"/>
      <c r="BK722" s="58"/>
      <c r="BL722" s="58"/>
      <c r="BM722" s="58"/>
      <c r="BN722" s="58"/>
      <c r="BO722" s="58"/>
      <c r="BP722" s="58"/>
      <c r="BQ722" s="58"/>
      <c r="BR722" s="58"/>
      <c r="BS722" s="58"/>
    </row>
    <row r="723" spans="1:71" ht="15.75" customHeight="1" x14ac:dyDescent="0.2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1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0"/>
      <c r="AP723" s="90"/>
      <c r="AQ723" s="92"/>
      <c r="AR723" s="92"/>
      <c r="AS723" s="92"/>
      <c r="AT723" s="92"/>
      <c r="AU723" s="92"/>
      <c r="AV723" s="92"/>
      <c r="AW723" s="92"/>
      <c r="AX723" s="92"/>
      <c r="AY723" s="92"/>
      <c r="AZ723" s="58"/>
      <c r="BA723" s="58"/>
      <c r="BB723" s="58"/>
      <c r="BC723" s="58"/>
      <c r="BD723" s="58"/>
      <c r="BE723" s="58"/>
      <c r="BF723" s="58"/>
      <c r="BG723" s="58"/>
      <c r="BH723" s="58"/>
      <c r="BI723" s="58"/>
      <c r="BJ723" s="58"/>
      <c r="BK723" s="58"/>
      <c r="BL723" s="58"/>
      <c r="BM723" s="58"/>
      <c r="BN723" s="58"/>
      <c r="BO723" s="58"/>
      <c r="BP723" s="58"/>
      <c r="BQ723" s="58"/>
      <c r="BR723" s="58"/>
      <c r="BS723" s="58"/>
    </row>
    <row r="724" spans="1:71" ht="15.75" customHeight="1" x14ac:dyDescent="0.2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1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2"/>
      <c r="AR724" s="92"/>
      <c r="AS724" s="92"/>
      <c r="AT724" s="92"/>
      <c r="AU724" s="92"/>
      <c r="AV724" s="92"/>
      <c r="AW724" s="92"/>
      <c r="AX724" s="92"/>
      <c r="AY724" s="92"/>
      <c r="AZ724" s="58"/>
      <c r="BA724" s="58"/>
      <c r="BB724" s="58"/>
      <c r="BC724" s="58"/>
      <c r="BD724" s="58"/>
      <c r="BE724" s="58"/>
      <c r="BF724" s="58"/>
      <c r="BG724" s="58"/>
      <c r="BH724" s="58"/>
      <c r="BI724" s="58"/>
      <c r="BJ724" s="58"/>
      <c r="BK724" s="58"/>
      <c r="BL724" s="58"/>
      <c r="BM724" s="58"/>
      <c r="BN724" s="58"/>
      <c r="BO724" s="58"/>
      <c r="BP724" s="58"/>
      <c r="BQ724" s="58"/>
      <c r="BR724" s="58"/>
      <c r="BS724" s="58"/>
    </row>
    <row r="725" spans="1:71" ht="15.75" customHeight="1" x14ac:dyDescent="0.2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1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0"/>
      <c r="AP725" s="90"/>
      <c r="AQ725" s="92"/>
      <c r="AR725" s="92"/>
      <c r="AS725" s="92"/>
      <c r="AT725" s="92"/>
      <c r="AU725" s="92"/>
      <c r="AV725" s="92"/>
      <c r="AW725" s="92"/>
      <c r="AX725" s="92"/>
      <c r="AY725" s="92"/>
      <c r="AZ725" s="58"/>
      <c r="BA725" s="58"/>
      <c r="BB725" s="58"/>
      <c r="BC725" s="58"/>
      <c r="BD725" s="58"/>
      <c r="BE725" s="58"/>
      <c r="BF725" s="58"/>
      <c r="BG725" s="58"/>
      <c r="BH725" s="58"/>
      <c r="BI725" s="58"/>
      <c r="BJ725" s="58"/>
      <c r="BK725" s="58"/>
      <c r="BL725" s="58"/>
      <c r="BM725" s="58"/>
      <c r="BN725" s="58"/>
      <c r="BO725" s="58"/>
      <c r="BP725" s="58"/>
      <c r="BQ725" s="58"/>
      <c r="BR725" s="58"/>
      <c r="BS725" s="58"/>
    </row>
    <row r="726" spans="1:71" ht="15.75" customHeight="1" x14ac:dyDescent="0.2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1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2"/>
      <c r="AR726" s="92"/>
      <c r="AS726" s="92"/>
      <c r="AT726" s="92"/>
      <c r="AU726" s="92"/>
      <c r="AV726" s="92"/>
      <c r="AW726" s="92"/>
      <c r="AX726" s="92"/>
      <c r="AY726" s="92"/>
      <c r="AZ726" s="58"/>
      <c r="BA726" s="58"/>
      <c r="BB726" s="58"/>
      <c r="BC726" s="58"/>
      <c r="BD726" s="58"/>
      <c r="BE726" s="58"/>
      <c r="BF726" s="58"/>
      <c r="BG726" s="58"/>
      <c r="BH726" s="58"/>
      <c r="BI726" s="58"/>
      <c r="BJ726" s="58"/>
      <c r="BK726" s="58"/>
      <c r="BL726" s="58"/>
      <c r="BM726" s="58"/>
      <c r="BN726" s="58"/>
      <c r="BO726" s="58"/>
      <c r="BP726" s="58"/>
      <c r="BQ726" s="58"/>
      <c r="BR726" s="58"/>
      <c r="BS726" s="58"/>
    </row>
    <row r="727" spans="1:71" ht="15.75" customHeight="1" x14ac:dyDescent="0.2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1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0"/>
      <c r="AP727" s="90"/>
      <c r="AQ727" s="92"/>
      <c r="AR727" s="92"/>
      <c r="AS727" s="92"/>
      <c r="AT727" s="92"/>
      <c r="AU727" s="92"/>
      <c r="AV727" s="92"/>
      <c r="AW727" s="92"/>
      <c r="AX727" s="92"/>
      <c r="AY727" s="92"/>
      <c r="AZ727" s="58"/>
      <c r="BA727" s="58"/>
      <c r="BB727" s="58"/>
      <c r="BC727" s="58"/>
      <c r="BD727" s="58"/>
      <c r="BE727" s="58"/>
      <c r="BF727" s="58"/>
      <c r="BG727" s="58"/>
      <c r="BH727" s="58"/>
      <c r="BI727" s="58"/>
      <c r="BJ727" s="58"/>
      <c r="BK727" s="58"/>
      <c r="BL727" s="58"/>
      <c r="BM727" s="58"/>
      <c r="BN727" s="58"/>
      <c r="BO727" s="58"/>
      <c r="BP727" s="58"/>
      <c r="BQ727" s="58"/>
      <c r="BR727" s="58"/>
      <c r="BS727" s="58"/>
    </row>
    <row r="728" spans="1:71" ht="15.75" customHeight="1" x14ac:dyDescent="0.2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1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2"/>
      <c r="AR728" s="92"/>
      <c r="AS728" s="92"/>
      <c r="AT728" s="92"/>
      <c r="AU728" s="92"/>
      <c r="AV728" s="92"/>
      <c r="AW728" s="92"/>
      <c r="AX728" s="92"/>
      <c r="AY728" s="92"/>
      <c r="AZ728" s="58"/>
      <c r="BA728" s="58"/>
      <c r="BB728" s="58"/>
      <c r="BC728" s="58"/>
      <c r="BD728" s="58"/>
      <c r="BE728" s="58"/>
      <c r="BF728" s="58"/>
      <c r="BG728" s="58"/>
      <c r="BH728" s="58"/>
      <c r="BI728" s="58"/>
      <c r="BJ728" s="58"/>
      <c r="BK728" s="58"/>
      <c r="BL728" s="58"/>
      <c r="BM728" s="58"/>
      <c r="BN728" s="58"/>
      <c r="BO728" s="58"/>
      <c r="BP728" s="58"/>
      <c r="BQ728" s="58"/>
      <c r="BR728" s="58"/>
      <c r="BS728" s="58"/>
    </row>
    <row r="729" spans="1:71" ht="15.75" customHeight="1" x14ac:dyDescent="0.2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1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0"/>
      <c r="AP729" s="90"/>
      <c r="AQ729" s="92"/>
      <c r="AR729" s="92"/>
      <c r="AS729" s="92"/>
      <c r="AT729" s="92"/>
      <c r="AU729" s="92"/>
      <c r="AV729" s="92"/>
      <c r="AW729" s="92"/>
      <c r="AX729" s="92"/>
      <c r="AY729" s="92"/>
      <c r="AZ729" s="58"/>
      <c r="BA729" s="58"/>
      <c r="BB729" s="58"/>
      <c r="BC729" s="58"/>
      <c r="BD729" s="58"/>
      <c r="BE729" s="58"/>
      <c r="BF729" s="58"/>
      <c r="BG729" s="58"/>
      <c r="BH729" s="58"/>
      <c r="BI729" s="58"/>
      <c r="BJ729" s="58"/>
      <c r="BK729" s="58"/>
      <c r="BL729" s="58"/>
      <c r="BM729" s="58"/>
      <c r="BN729" s="58"/>
      <c r="BO729" s="58"/>
      <c r="BP729" s="58"/>
      <c r="BQ729" s="58"/>
      <c r="BR729" s="58"/>
      <c r="BS729" s="58"/>
    </row>
    <row r="730" spans="1:71" ht="15.75" customHeight="1" x14ac:dyDescent="0.2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1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2"/>
      <c r="AR730" s="92"/>
      <c r="AS730" s="92"/>
      <c r="AT730" s="92"/>
      <c r="AU730" s="92"/>
      <c r="AV730" s="92"/>
      <c r="AW730" s="92"/>
      <c r="AX730" s="92"/>
      <c r="AY730" s="92"/>
      <c r="AZ730" s="58"/>
      <c r="BA730" s="58"/>
      <c r="BB730" s="58"/>
      <c r="BC730" s="58"/>
      <c r="BD730" s="58"/>
      <c r="BE730" s="58"/>
      <c r="BF730" s="58"/>
      <c r="BG730" s="58"/>
      <c r="BH730" s="58"/>
      <c r="BI730" s="58"/>
      <c r="BJ730" s="58"/>
      <c r="BK730" s="58"/>
      <c r="BL730" s="58"/>
      <c r="BM730" s="58"/>
      <c r="BN730" s="58"/>
      <c r="BO730" s="58"/>
      <c r="BP730" s="58"/>
      <c r="BQ730" s="58"/>
      <c r="BR730" s="58"/>
      <c r="BS730" s="58"/>
    </row>
    <row r="731" spans="1:71" ht="15.75" customHeight="1" x14ac:dyDescent="0.2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1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0"/>
      <c r="AP731" s="90"/>
      <c r="AQ731" s="92"/>
      <c r="AR731" s="92"/>
      <c r="AS731" s="92"/>
      <c r="AT731" s="92"/>
      <c r="AU731" s="92"/>
      <c r="AV731" s="92"/>
      <c r="AW731" s="92"/>
      <c r="AX731" s="92"/>
      <c r="AY731" s="92"/>
      <c r="AZ731" s="58"/>
      <c r="BA731" s="58"/>
      <c r="BB731" s="58"/>
      <c r="BC731" s="58"/>
      <c r="BD731" s="58"/>
      <c r="BE731" s="58"/>
      <c r="BF731" s="58"/>
      <c r="BG731" s="58"/>
      <c r="BH731" s="58"/>
      <c r="BI731" s="58"/>
      <c r="BJ731" s="58"/>
      <c r="BK731" s="58"/>
      <c r="BL731" s="58"/>
      <c r="BM731" s="58"/>
      <c r="BN731" s="58"/>
      <c r="BO731" s="58"/>
      <c r="BP731" s="58"/>
      <c r="BQ731" s="58"/>
      <c r="BR731" s="58"/>
      <c r="BS731" s="58"/>
    </row>
    <row r="732" spans="1:71" ht="15.75" customHeight="1" x14ac:dyDescent="0.2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1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2"/>
      <c r="AR732" s="92"/>
      <c r="AS732" s="92"/>
      <c r="AT732" s="92"/>
      <c r="AU732" s="92"/>
      <c r="AV732" s="92"/>
      <c r="AW732" s="92"/>
      <c r="AX732" s="92"/>
      <c r="AY732" s="92"/>
      <c r="AZ732" s="58"/>
      <c r="BA732" s="58"/>
      <c r="BB732" s="58"/>
      <c r="BC732" s="58"/>
      <c r="BD732" s="58"/>
      <c r="BE732" s="58"/>
      <c r="BF732" s="58"/>
      <c r="BG732" s="58"/>
      <c r="BH732" s="58"/>
      <c r="BI732" s="58"/>
      <c r="BJ732" s="58"/>
      <c r="BK732" s="58"/>
      <c r="BL732" s="58"/>
      <c r="BM732" s="58"/>
      <c r="BN732" s="58"/>
      <c r="BO732" s="58"/>
      <c r="BP732" s="58"/>
      <c r="BQ732" s="58"/>
      <c r="BR732" s="58"/>
      <c r="BS732" s="58"/>
    </row>
    <row r="733" spans="1:71" ht="15.75" customHeight="1" x14ac:dyDescent="0.2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1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0"/>
      <c r="AP733" s="90"/>
      <c r="AQ733" s="92"/>
      <c r="AR733" s="92"/>
      <c r="AS733" s="92"/>
      <c r="AT733" s="92"/>
      <c r="AU733" s="92"/>
      <c r="AV733" s="92"/>
      <c r="AW733" s="92"/>
      <c r="AX733" s="92"/>
      <c r="AY733" s="92"/>
      <c r="AZ733" s="58"/>
      <c r="BA733" s="58"/>
      <c r="BB733" s="58"/>
      <c r="BC733" s="58"/>
      <c r="BD733" s="58"/>
      <c r="BE733" s="58"/>
      <c r="BF733" s="58"/>
      <c r="BG733" s="58"/>
      <c r="BH733" s="58"/>
      <c r="BI733" s="58"/>
      <c r="BJ733" s="58"/>
      <c r="BK733" s="58"/>
      <c r="BL733" s="58"/>
      <c r="BM733" s="58"/>
      <c r="BN733" s="58"/>
      <c r="BO733" s="58"/>
      <c r="BP733" s="58"/>
      <c r="BQ733" s="58"/>
      <c r="BR733" s="58"/>
      <c r="BS733" s="58"/>
    </row>
    <row r="734" spans="1:71" ht="15.75" customHeight="1" x14ac:dyDescent="0.2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1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2"/>
      <c r="AR734" s="92"/>
      <c r="AS734" s="92"/>
      <c r="AT734" s="92"/>
      <c r="AU734" s="92"/>
      <c r="AV734" s="92"/>
      <c r="AW734" s="92"/>
      <c r="AX734" s="92"/>
      <c r="AY734" s="92"/>
      <c r="AZ734" s="58"/>
      <c r="BA734" s="58"/>
      <c r="BB734" s="58"/>
      <c r="BC734" s="58"/>
      <c r="BD734" s="58"/>
      <c r="BE734" s="58"/>
      <c r="BF734" s="58"/>
      <c r="BG734" s="58"/>
      <c r="BH734" s="58"/>
      <c r="BI734" s="58"/>
      <c r="BJ734" s="58"/>
      <c r="BK734" s="58"/>
      <c r="BL734" s="58"/>
      <c r="BM734" s="58"/>
      <c r="BN734" s="58"/>
      <c r="BO734" s="58"/>
      <c r="BP734" s="58"/>
      <c r="BQ734" s="58"/>
      <c r="BR734" s="58"/>
      <c r="BS734" s="58"/>
    </row>
    <row r="735" spans="1:71" ht="15.75" customHeight="1" x14ac:dyDescent="0.2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1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0"/>
      <c r="AP735" s="90"/>
      <c r="AQ735" s="92"/>
      <c r="AR735" s="92"/>
      <c r="AS735" s="92"/>
      <c r="AT735" s="92"/>
      <c r="AU735" s="92"/>
      <c r="AV735" s="92"/>
      <c r="AW735" s="92"/>
      <c r="AX735" s="92"/>
      <c r="AY735" s="92"/>
      <c r="AZ735" s="58"/>
      <c r="BA735" s="58"/>
      <c r="BB735" s="58"/>
      <c r="BC735" s="58"/>
      <c r="BD735" s="58"/>
      <c r="BE735" s="58"/>
      <c r="BF735" s="58"/>
      <c r="BG735" s="58"/>
      <c r="BH735" s="58"/>
      <c r="BI735" s="58"/>
      <c r="BJ735" s="58"/>
      <c r="BK735" s="58"/>
      <c r="BL735" s="58"/>
      <c r="BM735" s="58"/>
      <c r="BN735" s="58"/>
      <c r="BO735" s="58"/>
      <c r="BP735" s="58"/>
      <c r="BQ735" s="58"/>
      <c r="BR735" s="58"/>
      <c r="BS735" s="58"/>
    </row>
    <row r="736" spans="1:71" ht="15.75" customHeight="1" x14ac:dyDescent="0.2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1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2"/>
      <c r="AR736" s="92"/>
      <c r="AS736" s="92"/>
      <c r="AT736" s="92"/>
      <c r="AU736" s="92"/>
      <c r="AV736" s="92"/>
      <c r="AW736" s="92"/>
      <c r="AX736" s="92"/>
      <c r="AY736" s="92"/>
      <c r="AZ736" s="58"/>
      <c r="BA736" s="58"/>
      <c r="BB736" s="58"/>
      <c r="BC736" s="58"/>
      <c r="BD736" s="58"/>
      <c r="BE736" s="58"/>
      <c r="BF736" s="58"/>
      <c r="BG736" s="58"/>
      <c r="BH736" s="58"/>
      <c r="BI736" s="58"/>
      <c r="BJ736" s="58"/>
      <c r="BK736" s="58"/>
      <c r="BL736" s="58"/>
      <c r="BM736" s="58"/>
      <c r="BN736" s="58"/>
      <c r="BO736" s="58"/>
      <c r="BP736" s="58"/>
      <c r="BQ736" s="58"/>
      <c r="BR736" s="58"/>
      <c r="BS736" s="58"/>
    </row>
    <row r="737" spans="1:71" ht="15.75" customHeight="1" x14ac:dyDescent="0.2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1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0"/>
      <c r="AP737" s="90"/>
      <c r="AQ737" s="92"/>
      <c r="AR737" s="92"/>
      <c r="AS737" s="92"/>
      <c r="AT737" s="92"/>
      <c r="AU737" s="92"/>
      <c r="AV737" s="92"/>
      <c r="AW737" s="92"/>
      <c r="AX737" s="92"/>
      <c r="AY737" s="92"/>
      <c r="AZ737" s="58"/>
      <c r="BA737" s="58"/>
      <c r="BB737" s="58"/>
      <c r="BC737" s="58"/>
      <c r="BD737" s="58"/>
      <c r="BE737" s="58"/>
      <c r="BF737" s="58"/>
      <c r="BG737" s="58"/>
      <c r="BH737" s="58"/>
      <c r="BI737" s="58"/>
      <c r="BJ737" s="58"/>
      <c r="BK737" s="58"/>
      <c r="BL737" s="58"/>
      <c r="BM737" s="58"/>
      <c r="BN737" s="58"/>
      <c r="BO737" s="58"/>
      <c r="BP737" s="58"/>
      <c r="BQ737" s="58"/>
      <c r="BR737" s="58"/>
      <c r="BS737" s="58"/>
    </row>
    <row r="738" spans="1:71" ht="15.75" customHeight="1" x14ac:dyDescent="0.2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1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2"/>
      <c r="AR738" s="92"/>
      <c r="AS738" s="92"/>
      <c r="AT738" s="92"/>
      <c r="AU738" s="92"/>
      <c r="AV738" s="92"/>
      <c r="AW738" s="92"/>
      <c r="AX738" s="92"/>
      <c r="AY738" s="92"/>
      <c r="AZ738" s="58"/>
      <c r="BA738" s="58"/>
      <c r="BB738" s="58"/>
      <c r="BC738" s="58"/>
      <c r="BD738" s="58"/>
      <c r="BE738" s="58"/>
      <c r="BF738" s="58"/>
      <c r="BG738" s="58"/>
      <c r="BH738" s="58"/>
      <c r="BI738" s="58"/>
      <c r="BJ738" s="58"/>
      <c r="BK738" s="58"/>
      <c r="BL738" s="58"/>
      <c r="BM738" s="58"/>
      <c r="BN738" s="58"/>
      <c r="BO738" s="58"/>
      <c r="BP738" s="58"/>
      <c r="BQ738" s="58"/>
      <c r="BR738" s="58"/>
      <c r="BS738" s="58"/>
    </row>
    <row r="739" spans="1:71" ht="15.75" customHeight="1" x14ac:dyDescent="0.2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1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0"/>
      <c r="AP739" s="90"/>
      <c r="AQ739" s="92"/>
      <c r="AR739" s="92"/>
      <c r="AS739" s="92"/>
      <c r="AT739" s="92"/>
      <c r="AU739" s="92"/>
      <c r="AV739" s="92"/>
      <c r="AW739" s="92"/>
      <c r="AX739" s="92"/>
      <c r="AY739" s="92"/>
      <c r="AZ739" s="58"/>
      <c r="BA739" s="58"/>
      <c r="BB739" s="58"/>
      <c r="BC739" s="58"/>
      <c r="BD739" s="58"/>
      <c r="BE739" s="58"/>
      <c r="BF739" s="58"/>
      <c r="BG739" s="58"/>
      <c r="BH739" s="58"/>
      <c r="BI739" s="58"/>
      <c r="BJ739" s="58"/>
      <c r="BK739" s="58"/>
      <c r="BL739" s="58"/>
      <c r="BM739" s="58"/>
      <c r="BN739" s="58"/>
      <c r="BO739" s="58"/>
      <c r="BP739" s="58"/>
      <c r="BQ739" s="58"/>
      <c r="BR739" s="58"/>
      <c r="BS739" s="58"/>
    </row>
    <row r="740" spans="1:71" ht="15.75" customHeight="1" x14ac:dyDescent="0.2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1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2"/>
      <c r="AR740" s="92"/>
      <c r="AS740" s="92"/>
      <c r="AT740" s="92"/>
      <c r="AU740" s="92"/>
      <c r="AV740" s="92"/>
      <c r="AW740" s="92"/>
      <c r="AX740" s="92"/>
      <c r="AY740" s="92"/>
      <c r="AZ740" s="58"/>
      <c r="BA740" s="58"/>
      <c r="BB740" s="58"/>
      <c r="BC740" s="58"/>
      <c r="BD740" s="58"/>
      <c r="BE740" s="58"/>
      <c r="BF740" s="58"/>
      <c r="BG740" s="58"/>
      <c r="BH740" s="58"/>
      <c r="BI740" s="58"/>
      <c r="BJ740" s="58"/>
      <c r="BK740" s="58"/>
      <c r="BL740" s="58"/>
      <c r="BM740" s="58"/>
      <c r="BN740" s="58"/>
      <c r="BO740" s="58"/>
      <c r="BP740" s="58"/>
      <c r="BQ740" s="58"/>
      <c r="BR740" s="58"/>
      <c r="BS740" s="58"/>
    </row>
    <row r="741" spans="1:71" ht="15.75" customHeight="1" x14ac:dyDescent="0.2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1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0"/>
      <c r="AP741" s="90"/>
      <c r="AQ741" s="92"/>
      <c r="AR741" s="92"/>
      <c r="AS741" s="92"/>
      <c r="AT741" s="92"/>
      <c r="AU741" s="92"/>
      <c r="AV741" s="92"/>
      <c r="AW741" s="92"/>
      <c r="AX741" s="92"/>
      <c r="AY741" s="92"/>
      <c r="AZ741" s="58"/>
      <c r="BA741" s="58"/>
      <c r="BB741" s="58"/>
      <c r="BC741" s="58"/>
      <c r="BD741" s="58"/>
      <c r="BE741" s="58"/>
      <c r="BF741" s="58"/>
      <c r="BG741" s="58"/>
      <c r="BH741" s="58"/>
      <c r="BI741" s="58"/>
      <c r="BJ741" s="58"/>
      <c r="BK741" s="58"/>
      <c r="BL741" s="58"/>
      <c r="BM741" s="58"/>
      <c r="BN741" s="58"/>
      <c r="BO741" s="58"/>
      <c r="BP741" s="58"/>
      <c r="BQ741" s="58"/>
      <c r="BR741" s="58"/>
      <c r="BS741" s="58"/>
    </row>
    <row r="742" spans="1:71" ht="15.75" customHeight="1" x14ac:dyDescent="0.2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1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2"/>
      <c r="AR742" s="92"/>
      <c r="AS742" s="92"/>
      <c r="AT742" s="92"/>
      <c r="AU742" s="92"/>
      <c r="AV742" s="92"/>
      <c r="AW742" s="92"/>
      <c r="AX742" s="92"/>
      <c r="AY742" s="92"/>
      <c r="AZ742" s="58"/>
      <c r="BA742" s="58"/>
      <c r="BB742" s="58"/>
      <c r="BC742" s="58"/>
      <c r="BD742" s="58"/>
      <c r="BE742" s="58"/>
      <c r="BF742" s="58"/>
      <c r="BG742" s="58"/>
      <c r="BH742" s="58"/>
      <c r="BI742" s="58"/>
      <c r="BJ742" s="58"/>
      <c r="BK742" s="58"/>
      <c r="BL742" s="58"/>
      <c r="BM742" s="58"/>
      <c r="BN742" s="58"/>
      <c r="BO742" s="58"/>
      <c r="BP742" s="58"/>
      <c r="BQ742" s="58"/>
      <c r="BR742" s="58"/>
      <c r="BS742" s="58"/>
    </row>
    <row r="743" spans="1:71" ht="15.75" customHeight="1" x14ac:dyDescent="0.2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1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0"/>
      <c r="AP743" s="90"/>
      <c r="AQ743" s="92"/>
      <c r="AR743" s="92"/>
      <c r="AS743" s="92"/>
      <c r="AT743" s="92"/>
      <c r="AU743" s="92"/>
      <c r="AV743" s="92"/>
      <c r="AW743" s="92"/>
      <c r="AX743" s="92"/>
      <c r="AY743" s="92"/>
      <c r="AZ743" s="58"/>
      <c r="BA743" s="58"/>
      <c r="BB743" s="58"/>
      <c r="BC743" s="58"/>
      <c r="BD743" s="58"/>
      <c r="BE743" s="58"/>
      <c r="BF743" s="58"/>
      <c r="BG743" s="58"/>
      <c r="BH743" s="58"/>
      <c r="BI743" s="58"/>
      <c r="BJ743" s="58"/>
      <c r="BK743" s="58"/>
      <c r="BL743" s="58"/>
      <c r="BM743" s="58"/>
      <c r="BN743" s="58"/>
      <c r="BO743" s="58"/>
      <c r="BP743" s="58"/>
      <c r="BQ743" s="58"/>
      <c r="BR743" s="58"/>
      <c r="BS743" s="58"/>
    </row>
    <row r="744" spans="1:71" ht="15.75" customHeight="1" x14ac:dyDescent="0.2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1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2"/>
      <c r="AR744" s="92"/>
      <c r="AS744" s="92"/>
      <c r="AT744" s="92"/>
      <c r="AU744" s="92"/>
      <c r="AV744" s="92"/>
      <c r="AW744" s="92"/>
      <c r="AX744" s="92"/>
      <c r="AY744" s="92"/>
      <c r="AZ744" s="58"/>
      <c r="BA744" s="58"/>
      <c r="BB744" s="58"/>
      <c r="BC744" s="58"/>
      <c r="BD744" s="58"/>
      <c r="BE744" s="58"/>
      <c r="BF744" s="58"/>
      <c r="BG744" s="58"/>
      <c r="BH744" s="58"/>
      <c r="BI744" s="58"/>
      <c r="BJ744" s="58"/>
      <c r="BK744" s="58"/>
      <c r="BL744" s="58"/>
      <c r="BM744" s="58"/>
      <c r="BN744" s="58"/>
      <c r="BO744" s="58"/>
      <c r="BP744" s="58"/>
      <c r="BQ744" s="58"/>
      <c r="BR744" s="58"/>
      <c r="BS744" s="58"/>
    </row>
    <row r="745" spans="1:71" ht="15.75" customHeight="1" x14ac:dyDescent="0.2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1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0"/>
      <c r="AP745" s="90"/>
      <c r="AQ745" s="92"/>
      <c r="AR745" s="92"/>
      <c r="AS745" s="92"/>
      <c r="AT745" s="92"/>
      <c r="AU745" s="92"/>
      <c r="AV745" s="92"/>
      <c r="AW745" s="92"/>
      <c r="AX745" s="92"/>
      <c r="AY745" s="92"/>
      <c r="AZ745" s="58"/>
      <c r="BA745" s="58"/>
      <c r="BB745" s="58"/>
      <c r="BC745" s="58"/>
      <c r="BD745" s="58"/>
      <c r="BE745" s="58"/>
      <c r="BF745" s="58"/>
      <c r="BG745" s="58"/>
      <c r="BH745" s="58"/>
      <c r="BI745" s="58"/>
      <c r="BJ745" s="58"/>
      <c r="BK745" s="58"/>
      <c r="BL745" s="58"/>
      <c r="BM745" s="58"/>
      <c r="BN745" s="58"/>
      <c r="BO745" s="58"/>
      <c r="BP745" s="58"/>
      <c r="BQ745" s="58"/>
      <c r="BR745" s="58"/>
      <c r="BS745" s="58"/>
    </row>
    <row r="746" spans="1:71" ht="15.75" customHeight="1" x14ac:dyDescent="0.2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1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2"/>
      <c r="AR746" s="92"/>
      <c r="AS746" s="92"/>
      <c r="AT746" s="92"/>
      <c r="AU746" s="92"/>
      <c r="AV746" s="92"/>
      <c r="AW746" s="92"/>
      <c r="AX746" s="92"/>
      <c r="AY746" s="92"/>
      <c r="AZ746" s="58"/>
      <c r="BA746" s="58"/>
      <c r="BB746" s="58"/>
      <c r="BC746" s="58"/>
      <c r="BD746" s="58"/>
      <c r="BE746" s="58"/>
      <c r="BF746" s="58"/>
      <c r="BG746" s="58"/>
      <c r="BH746" s="58"/>
      <c r="BI746" s="58"/>
      <c r="BJ746" s="58"/>
      <c r="BK746" s="58"/>
      <c r="BL746" s="58"/>
      <c r="BM746" s="58"/>
      <c r="BN746" s="58"/>
      <c r="BO746" s="58"/>
      <c r="BP746" s="58"/>
      <c r="BQ746" s="58"/>
      <c r="BR746" s="58"/>
      <c r="BS746" s="58"/>
    </row>
    <row r="747" spans="1:71" ht="15.75" customHeight="1" x14ac:dyDescent="0.2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1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0"/>
      <c r="AP747" s="90"/>
      <c r="AQ747" s="92"/>
      <c r="AR747" s="92"/>
      <c r="AS747" s="92"/>
      <c r="AT747" s="92"/>
      <c r="AU747" s="92"/>
      <c r="AV747" s="92"/>
      <c r="AW747" s="92"/>
      <c r="AX747" s="92"/>
      <c r="AY747" s="92"/>
      <c r="AZ747" s="58"/>
      <c r="BA747" s="58"/>
      <c r="BB747" s="58"/>
      <c r="BC747" s="58"/>
      <c r="BD747" s="58"/>
      <c r="BE747" s="58"/>
      <c r="BF747" s="58"/>
      <c r="BG747" s="58"/>
      <c r="BH747" s="58"/>
      <c r="BI747" s="58"/>
      <c r="BJ747" s="58"/>
      <c r="BK747" s="58"/>
      <c r="BL747" s="58"/>
      <c r="BM747" s="58"/>
      <c r="BN747" s="58"/>
      <c r="BO747" s="58"/>
      <c r="BP747" s="58"/>
      <c r="BQ747" s="58"/>
      <c r="BR747" s="58"/>
      <c r="BS747" s="58"/>
    </row>
    <row r="748" spans="1:71" ht="15.75" customHeight="1" x14ac:dyDescent="0.2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1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2"/>
      <c r="AR748" s="92"/>
      <c r="AS748" s="92"/>
      <c r="AT748" s="92"/>
      <c r="AU748" s="92"/>
      <c r="AV748" s="92"/>
      <c r="AW748" s="92"/>
      <c r="AX748" s="92"/>
      <c r="AY748" s="92"/>
      <c r="AZ748" s="58"/>
      <c r="BA748" s="58"/>
      <c r="BB748" s="58"/>
      <c r="BC748" s="58"/>
      <c r="BD748" s="58"/>
      <c r="BE748" s="58"/>
      <c r="BF748" s="58"/>
      <c r="BG748" s="58"/>
      <c r="BH748" s="58"/>
      <c r="BI748" s="58"/>
      <c r="BJ748" s="58"/>
      <c r="BK748" s="58"/>
      <c r="BL748" s="58"/>
      <c r="BM748" s="58"/>
      <c r="BN748" s="58"/>
      <c r="BO748" s="58"/>
      <c r="BP748" s="58"/>
      <c r="BQ748" s="58"/>
      <c r="BR748" s="58"/>
      <c r="BS748" s="58"/>
    </row>
    <row r="749" spans="1:71" ht="15.75" customHeight="1" x14ac:dyDescent="0.2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1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0"/>
      <c r="AP749" s="90"/>
      <c r="AQ749" s="92"/>
      <c r="AR749" s="92"/>
      <c r="AS749" s="92"/>
      <c r="AT749" s="92"/>
      <c r="AU749" s="92"/>
      <c r="AV749" s="92"/>
      <c r="AW749" s="92"/>
      <c r="AX749" s="92"/>
      <c r="AY749" s="92"/>
      <c r="AZ749" s="58"/>
      <c r="BA749" s="58"/>
      <c r="BB749" s="58"/>
      <c r="BC749" s="58"/>
      <c r="BD749" s="58"/>
      <c r="BE749" s="58"/>
      <c r="BF749" s="58"/>
      <c r="BG749" s="58"/>
      <c r="BH749" s="58"/>
      <c r="BI749" s="58"/>
      <c r="BJ749" s="58"/>
      <c r="BK749" s="58"/>
      <c r="BL749" s="58"/>
      <c r="BM749" s="58"/>
      <c r="BN749" s="58"/>
      <c r="BO749" s="58"/>
      <c r="BP749" s="58"/>
      <c r="BQ749" s="58"/>
      <c r="BR749" s="58"/>
      <c r="BS749" s="58"/>
    </row>
    <row r="750" spans="1:71" ht="15.75" customHeight="1" x14ac:dyDescent="0.2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1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2"/>
      <c r="AR750" s="92"/>
      <c r="AS750" s="92"/>
      <c r="AT750" s="92"/>
      <c r="AU750" s="92"/>
      <c r="AV750" s="92"/>
      <c r="AW750" s="92"/>
      <c r="AX750" s="92"/>
      <c r="AY750" s="92"/>
      <c r="AZ750" s="58"/>
      <c r="BA750" s="58"/>
      <c r="BB750" s="58"/>
      <c r="BC750" s="58"/>
      <c r="BD750" s="58"/>
      <c r="BE750" s="58"/>
      <c r="BF750" s="58"/>
      <c r="BG750" s="58"/>
      <c r="BH750" s="58"/>
      <c r="BI750" s="58"/>
      <c r="BJ750" s="58"/>
      <c r="BK750" s="58"/>
      <c r="BL750" s="58"/>
      <c r="BM750" s="58"/>
      <c r="BN750" s="58"/>
      <c r="BO750" s="58"/>
      <c r="BP750" s="58"/>
      <c r="BQ750" s="58"/>
      <c r="BR750" s="58"/>
      <c r="BS750" s="58"/>
    </row>
    <row r="751" spans="1:71" ht="15.75" customHeight="1" x14ac:dyDescent="0.2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1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0"/>
      <c r="AP751" s="90"/>
      <c r="AQ751" s="92"/>
      <c r="AR751" s="92"/>
      <c r="AS751" s="92"/>
      <c r="AT751" s="92"/>
      <c r="AU751" s="92"/>
      <c r="AV751" s="92"/>
      <c r="AW751" s="92"/>
      <c r="AX751" s="92"/>
      <c r="AY751" s="92"/>
      <c r="AZ751" s="58"/>
      <c r="BA751" s="58"/>
      <c r="BB751" s="58"/>
      <c r="BC751" s="58"/>
      <c r="BD751" s="58"/>
      <c r="BE751" s="58"/>
      <c r="BF751" s="58"/>
      <c r="BG751" s="58"/>
      <c r="BH751" s="58"/>
      <c r="BI751" s="58"/>
      <c r="BJ751" s="58"/>
      <c r="BK751" s="58"/>
      <c r="BL751" s="58"/>
      <c r="BM751" s="58"/>
      <c r="BN751" s="58"/>
      <c r="BO751" s="58"/>
      <c r="BP751" s="58"/>
      <c r="BQ751" s="58"/>
      <c r="BR751" s="58"/>
      <c r="BS751" s="58"/>
    </row>
    <row r="752" spans="1:71" ht="15.75" customHeight="1" x14ac:dyDescent="0.2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1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2"/>
      <c r="AR752" s="92"/>
      <c r="AS752" s="92"/>
      <c r="AT752" s="92"/>
      <c r="AU752" s="92"/>
      <c r="AV752" s="92"/>
      <c r="AW752" s="92"/>
      <c r="AX752" s="92"/>
      <c r="AY752" s="92"/>
      <c r="AZ752" s="58"/>
      <c r="BA752" s="58"/>
      <c r="BB752" s="58"/>
      <c r="BC752" s="58"/>
      <c r="BD752" s="58"/>
      <c r="BE752" s="58"/>
      <c r="BF752" s="58"/>
      <c r="BG752" s="58"/>
      <c r="BH752" s="58"/>
      <c r="BI752" s="58"/>
      <c r="BJ752" s="58"/>
      <c r="BK752" s="58"/>
      <c r="BL752" s="58"/>
      <c r="BM752" s="58"/>
      <c r="BN752" s="58"/>
      <c r="BO752" s="58"/>
      <c r="BP752" s="58"/>
      <c r="BQ752" s="58"/>
      <c r="BR752" s="58"/>
      <c r="BS752" s="58"/>
    </row>
    <row r="753" spans="1:71" ht="15.75" customHeight="1" x14ac:dyDescent="0.2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1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0"/>
      <c r="AP753" s="90"/>
      <c r="AQ753" s="92"/>
      <c r="AR753" s="92"/>
      <c r="AS753" s="92"/>
      <c r="AT753" s="92"/>
      <c r="AU753" s="92"/>
      <c r="AV753" s="92"/>
      <c r="AW753" s="92"/>
      <c r="AX753" s="92"/>
      <c r="AY753" s="92"/>
      <c r="AZ753" s="58"/>
      <c r="BA753" s="58"/>
      <c r="BB753" s="58"/>
      <c r="BC753" s="58"/>
      <c r="BD753" s="58"/>
      <c r="BE753" s="58"/>
      <c r="BF753" s="58"/>
      <c r="BG753" s="58"/>
      <c r="BH753" s="58"/>
      <c r="BI753" s="58"/>
      <c r="BJ753" s="58"/>
      <c r="BK753" s="58"/>
      <c r="BL753" s="58"/>
      <c r="BM753" s="58"/>
      <c r="BN753" s="58"/>
      <c r="BO753" s="58"/>
      <c r="BP753" s="58"/>
      <c r="BQ753" s="58"/>
      <c r="BR753" s="58"/>
      <c r="BS753" s="58"/>
    </row>
    <row r="754" spans="1:71" ht="15.75" customHeight="1" x14ac:dyDescent="0.2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1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2"/>
      <c r="AR754" s="92"/>
      <c r="AS754" s="92"/>
      <c r="AT754" s="92"/>
      <c r="AU754" s="92"/>
      <c r="AV754" s="92"/>
      <c r="AW754" s="92"/>
      <c r="AX754" s="92"/>
      <c r="AY754" s="92"/>
      <c r="AZ754" s="58"/>
      <c r="BA754" s="58"/>
      <c r="BB754" s="58"/>
      <c r="BC754" s="58"/>
      <c r="BD754" s="58"/>
      <c r="BE754" s="58"/>
      <c r="BF754" s="58"/>
      <c r="BG754" s="58"/>
      <c r="BH754" s="58"/>
      <c r="BI754" s="58"/>
      <c r="BJ754" s="58"/>
      <c r="BK754" s="58"/>
      <c r="BL754" s="58"/>
      <c r="BM754" s="58"/>
      <c r="BN754" s="58"/>
      <c r="BO754" s="58"/>
      <c r="BP754" s="58"/>
      <c r="BQ754" s="58"/>
      <c r="BR754" s="58"/>
      <c r="BS754" s="58"/>
    </row>
    <row r="755" spans="1:71" ht="15.75" customHeight="1" x14ac:dyDescent="0.2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1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0"/>
      <c r="AP755" s="90"/>
      <c r="AQ755" s="92"/>
      <c r="AR755" s="92"/>
      <c r="AS755" s="92"/>
      <c r="AT755" s="92"/>
      <c r="AU755" s="92"/>
      <c r="AV755" s="92"/>
      <c r="AW755" s="92"/>
      <c r="AX755" s="92"/>
      <c r="AY755" s="92"/>
      <c r="AZ755" s="58"/>
      <c r="BA755" s="58"/>
      <c r="BB755" s="58"/>
      <c r="BC755" s="58"/>
      <c r="BD755" s="58"/>
      <c r="BE755" s="58"/>
      <c r="BF755" s="58"/>
      <c r="BG755" s="58"/>
      <c r="BH755" s="58"/>
      <c r="BI755" s="58"/>
      <c r="BJ755" s="58"/>
      <c r="BK755" s="58"/>
      <c r="BL755" s="58"/>
      <c r="BM755" s="58"/>
      <c r="BN755" s="58"/>
      <c r="BO755" s="58"/>
      <c r="BP755" s="58"/>
      <c r="BQ755" s="58"/>
      <c r="BR755" s="58"/>
      <c r="BS755" s="58"/>
    </row>
    <row r="756" spans="1:71" ht="15.75" customHeight="1" x14ac:dyDescent="0.2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1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2"/>
      <c r="AR756" s="92"/>
      <c r="AS756" s="92"/>
      <c r="AT756" s="92"/>
      <c r="AU756" s="92"/>
      <c r="AV756" s="92"/>
      <c r="AW756" s="92"/>
      <c r="AX756" s="92"/>
      <c r="AY756" s="92"/>
      <c r="AZ756" s="58"/>
      <c r="BA756" s="58"/>
      <c r="BB756" s="58"/>
      <c r="BC756" s="58"/>
      <c r="BD756" s="58"/>
      <c r="BE756" s="58"/>
      <c r="BF756" s="58"/>
      <c r="BG756" s="58"/>
      <c r="BH756" s="58"/>
      <c r="BI756" s="58"/>
      <c r="BJ756" s="58"/>
      <c r="BK756" s="58"/>
      <c r="BL756" s="58"/>
      <c r="BM756" s="58"/>
      <c r="BN756" s="58"/>
      <c r="BO756" s="58"/>
      <c r="BP756" s="58"/>
      <c r="BQ756" s="58"/>
      <c r="BR756" s="58"/>
      <c r="BS756" s="58"/>
    </row>
    <row r="757" spans="1:71" ht="15.75" customHeight="1" x14ac:dyDescent="0.2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1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0"/>
      <c r="AP757" s="90"/>
      <c r="AQ757" s="92"/>
      <c r="AR757" s="92"/>
      <c r="AS757" s="92"/>
      <c r="AT757" s="92"/>
      <c r="AU757" s="92"/>
      <c r="AV757" s="92"/>
      <c r="AW757" s="92"/>
      <c r="AX757" s="92"/>
      <c r="AY757" s="92"/>
      <c r="AZ757" s="58"/>
      <c r="BA757" s="58"/>
      <c r="BB757" s="58"/>
      <c r="BC757" s="58"/>
      <c r="BD757" s="58"/>
      <c r="BE757" s="58"/>
      <c r="BF757" s="58"/>
      <c r="BG757" s="58"/>
      <c r="BH757" s="58"/>
      <c r="BI757" s="58"/>
      <c r="BJ757" s="58"/>
      <c r="BK757" s="58"/>
      <c r="BL757" s="58"/>
      <c r="BM757" s="58"/>
      <c r="BN757" s="58"/>
      <c r="BO757" s="58"/>
      <c r="BP757" s="58"/>
      <c r="BQ757" s="58"/>
      <c r="BR757" s="58"/>
      <c r="BS757" s="58"/>
    </row>
    <row r="758" spans="1:71" ht="15.75" customHeight="1" x14ac:dyDescent="0.2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1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2"/>
      <c r="AR758" s="92"/>
      <c r="AS758" s="92"/>
      <c r="AT758" s="92"/>
      <c r="AU758" s="92"/>
      <c r="AV758" s="92"/>
      <c r="AW758" s="92"/>
      <c r="AX758" s="92"/>
      <c r="AY758" s="92"/>
      <c r="AZ758" s="58"/>
      <c r="BA758" s="58"/>
      <c r="BB758" s="58"/>
      <c r="BC758" s="58"/>
      <c r="BD758" s="58"/>
      <c r="BE758" s="58"/>
      <c r="BF758" s="58"/>
      <c r="BG758" s="58"/>
      <c r="BH758" s="58"/>
      <c r="BI758" s="58"/>
      <c r="BJ758" s="58"/>
      <c r="BK758" s="58"/>
      <c r="BL758" s="58"/>
      <c r="BM758" s="58"/>
      <c r="BN758" s="58"/>
      <c r="BO758" s="58"/>
      <c r="BP758" s="58"/>
      <c r="BQ758" s="58"/>
      <c r="BR758" s="58"/>
      <c r="BS758" s="58"/>
    </row>
    <row r="759" spans="1:71" ht="15.75" customHeight="1" x14ac:dyDescent="0.2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1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0"/>
      <c r="AP759" s="90"/>
      <c r="AQ759" s="92"/>
      <c r="AR759" s="92"/>
      <c r="AS759" s="92"/>
      <c r="AT759" s="92"/>
      <c r="AU759" s="92"/>
      <c r="AV759" s="92"/>
      <c r="AW759" s="92"/>
      <c r="AX759" s="92"/>
      <c r="AY759" s="92"/>
      <c r="AZ759" s="58"/>
      <c r="BA759" s="58"/>
      <c r="BB759" s="58"/>
      <c r="BC759" s="58"/>
      <c r="BD759" s="58"/>
      <c r="BE759" s="58"/>
      <c r="BF759" s="58"/>
      <c r="BG759" s="58"/>
      <c r="BH759" s="58"/>
      <c r="BI759" s="58"/>
      <c r="BJ759" s="58"/>
      <c r="BK759" s="58"/>
      <c r="BL759" s="58"/>
      <c r="BM759" s="58"/>
      <c r="BN759" s="58"/>
      <c r="BO759" s="58"/>
      <c r="BP759" s="58"/>
      <c r="BQ759" s="58"/>
      <c r="BR759" s="58"/>
      <c r="BS759" s="58"/>
    </row>
    <row r="760" spans="1:71" ht="15.75" customHeight="1" x14ac:dyDescent="0.2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1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2"/>
      <c r="AR760" s="92"/>
      <c r="AS760" s="92"/>
      <c r="AT760" s="92"/>
      <c r="AU760" s="92"/>
      <c r="AV760" s="92"/>
      <c r="AW760" s="92"/>
      <c r="AX760" s="92"/>
      <c r="AY760" s="92"/>
      <c r="AZ760" s="58"/>
      <c r="BA760" s="58"/>
      <c r="BB760" s="58"/>
      <c r="BC760" s="58"/>
      <c r="BD760" s="58"/>
      <c r="BE760" s="58"/>
      <c r="BF760" s="58"/>
      <c r="BG760" s="58"/>
      <c r="BH760" s="58"/>
      <c r="BI760" s="58"/>
      <c r="BJ760" s="58"/>
      <c r="BK760" s="58"/>
      <c r="BL760" s="58"/>
      <c r="BM760" s="58"/>
      <c r="BN760" s="58"/>
      <c r="BO760" s="58"/>
      <c r="BP760" s="58"/>
      <c r="BQ760" s="58"/>
      <c r="BR760" s="58"/>
      <c r="BS760" s="58"/>
    </row>
    <row r="761" spans="1:71" ht="15.75" customHeight="1" x14ac:dyDescent="0.2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1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0"/>
      <c r="AP761" s="90"/>
      <c r="AQ761" s="92"/>
      <c r="AR761" s="92"/>
      <c r="AS761" s="92"/>
      <c r="AT761" s="92"/>
      <c r="AU761" s="92"/>
      <c r="AV761" s="92"/>
      <c r="AW761" s="92"/>
      <c r="AX761" s="92"/>
      <c r="AY761" s="92"/>
      <c r="AZ761" s="58"/>
      <c r="BA761" s="58"/>
      <c r="BB761" s="58"/>
      <c r="BC761" s="58"/>
      <c r="BD761" s="58"/>
      <c r="BE761" s="58"/>
      <c r="BF761" s="58"/>
      <c r="BG761" s="58"/>
      <c r="BH761" s="58"/>
      <c r="BI761" s="58"/>
      <c r="BJ761" s="58"/>
      <c r="BK761" s="58"/>
      <c r="BL761" s="58"/>
      <c r="BM761" s="58"/>
      <c r="BN761" s="58"/>
      <c r="BO761" s="58"/>
      <c r="BP761" s="58"/>
      <c r="BQ761" s="58"/>
      <c r="BR761" s="58"/>
      <c r="BS761" s="58"/>
    </row>
    <row r="762" spans="1:71" ht="15.75" customHeight="1" x14ac:dyDescent="0.2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1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2"/>
      <c r="AR762" s="92"/>
      <c r="AS762" s="92"/>
      <c r="AT762" s="92"/>
      <c r="AU762" s="92"/>
      <c r="AV762" s="92"/>
      <c r="AW762" s="92"/>
      <c r="AX762" s="92"/>
      <c r="AY762" s="92"/>
      <c r="AZ762" s="58"/>
      <c r="BA762" s="58"/>
      <c r="BB762" s="58"/>
      <c r="BC762" s="58"/>
      <c r="BD762" s="58"/>
      <c r="BE762" s="58"/>
      <c r="BF762" s="58"/>
      <c r="BG762" s="58"/>
      <c r="BH762" s="58"/>
      <c r="BI762" s="58"/>
      <c r="BJ762" s="58"/>
      <c r="BK762" s="58"/>
      <c r="BL762" s="58"/>
      <c r="BM762" s="58"/>
      <c r="BN762" s="58"/>
      <c r="BO762" s="58"/>
      <c r="BP762" s="58"/>
      <c r="BQ762" s="58"/>
      <c r="BR762" s="58"/>
      <c r="BS762" s="58"/>
    </row>
    <row r="763" spans="1:71" ht="15.75" customHeight="1" x14ac:dyDescent="0.2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1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0"/>
      <c r="AP763" s="90"/>
      <c r="AQ763" s="92"/>
      <c r="AR763" s="92"/>
      <c r="AS763" s="92"/>
      <c r="AT763" s="92"/>
      <c r="AU763" s="92"/>
      <c r="AV763" s="92"/>
      <c r="AW763" s="92"/>
      <c r="AX763" s="92"/>
      <c r="AY763" s="92"/>
      <c r="AZ763" s="58"/>
      <c r="BA763" s="58"/>
      <c r="BB763" s="58"/>
      <c r="BC763" s="58"/>
      <c r="BD763" s="58"/>
      <c r="BE763" s="58"/>
      <c r="BF763" s="58"/>
      <c r="BG763" s="58"/>
      <c r="BH763" s="58"/>
      <c r="BI763" s="58"/>
      <c r="BJ763" s="58"/>
      <c r="BK763" s="58"/>
      <c r="BL763" s="58"/>
      <c r="BM763" s="58"/>
      <c r="BN763" s="58"/>
      <c r="BO763" s="58"/>
      <c r="BP763" s="58"/>
      <c r="BQ763" s="58"/>
      <c r="BR763" s="58"/>
      <c r="BS763" s="58"/>
    </row>
    <row r="764" spans="1:71" ht="15.75" customHeight="1" x14ac:dyDescent="0.2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1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2"/>
      <c r="AR764" s="92"/>
      <c r="AS764" s="92"/>
      <c r="AT764" s="92"/>
      <c r="AU764" s="92"/>
      <c r="AV764" s="92"/>
      <c r="AW764" s="92"/>
      <c r="AX764" s="92"/>
      <c r="AY764" s="92"/>
      <c r="AZ764" s="58"/>
      <c r="BA764" s="58"/>
      <c r="BB764" s="58"/>
      <c r="BC764" s="58"/>
      <c r="BD764" s="58"/>
      <c r="BE764" s="58"/>
      <c r="BF764" s="58"/>
      <c r="BG764" s="58"/>
      <c r="BH764" s="58"/>
      <c r="BI764" s="58"/>
      <c r="BJ764" s="58"/>
      <c r="BK764" s="58"/>
      <c r="BL764" s="58"/>
      <c r="BM764" s="58"/>
      <c r="BN764" s="58"/>
      <c r="BO764" s="58"/>
      <c r="BP764" s="58"/>
      <c r="BQ764" s="58"/>
      <c r="BR764" s="58"/>
      <c r="BS764" s="58"/>
    </row>
    <row r="765" spans="1:71" ht="15.75" customHeight="1" x14ac:dyDescent="0.2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1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0"/>
      <c r="AP765" s="90"/>
      <c r="AQ765" s="92"/>
      <c r="AR765" s="92"/>
      <c r="AS765" s="92"/>
      <c r="AT765" s="92"/>
      <c r="AU765" s="92"/>
      <c r="AV765" s="92"/>
      <c r="AW765" s="92"/>
      <c r="AX765" s="92"/>
      <c r="AY765" s="92"/>
      <c r="AZ765" s="58"/>
      <c r="BA765" s="58"/>
      <c r="BB765" s="58"/>
      <c r="BC765" s="58"/>
      <c r="BD765" s="58"/>
      <c r="BE765" s="58"/>
      <c r="BF765" s="58"/>
      <c r="BG765" s="58"/>
      <c r="BH765" s="58"/>
      <c r="BI765" s="58"/>
      <c r="BJ765" s="58"/>
      <c r="BK765" s="58"/>
      <c r="BL765" s="58"/>
      <c r="BM765" s="58"/>
      <c r="BN765" s="58"/>
      <c r="BO765" s="58"/>
      <c r="BP765" s="58"/>
      <c r="BQ765" s="58"/>
      <c r="BR765" s="58"/>
      <c r="BS765" s="58"/>
    </row>
    <row r="766" spans="1:71" ht="15.75" customHeight="1" x14ac:dyDescent="0.2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1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2"/>
      <c r="AR766" s="92"/>
      <c r="AS766" s="92"/>
      <c r="AT766" s="92"/>
      <c r="AU766" s="92"/>
      <c r="AV766" s="92"/>
      <c r="AW766" s="92"/>
      <c r="AX766" s="92"/>
      <c r="AY766" s="92"/>
      <c r="AZ766" s="58"/>
      <c r="BA766" s="58"/>
      <c r="BB766" s="58"/>
      <c r="BC766" s="58"/>
      <c r="BD766" s="58"/>
      <c r="BE766" s="58"/>
      <c r="BF766" s="58"/>
      <c r="BG766" s="58"/>
      <c r="BH766" s="58"/>
      <c r="BI766" s="58"/>
      <c r="BJ766" s="58"/>
      <c r="BK766" s="58"/>
      <c r="BL766" s="58"/>
      <c r="BM766" s="58"/>
      <c r="BN766" s="58"/>
      <c r="BO766" s="58"/>
      <c r="BP766" s="58"/>
      <c r="BQ766" s="58"/>
      <c r="BR766" s="58"/>
      <c r="BS766" s="58"/>
    </row>
    <row r="767" spans="1:71" ht="15.75" customHeight="1" x14ac:dyDescent="0.2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1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0"/>
      <c r="AP767" s="90"/>
      <c r="AQ767" s="92"/>
      <c r="AR767" s="92"/>
      <c r="AS767" s="92"/>
      <c r="AT767" s="92"/>
      <c r="AU767" s="92"/>
      <c r="AV767" s="92"/>
      <c r="AW767" s="92"/>
      <c r="AX767" s="92"/>
      <c r="AY767" s="92"/>
      <c r="AZ767" s="58"/>
      <c r="BA767" s="58"/>
      <c r="BB767" s="58"/>
      <c r="BC767" s="58"/>
      <c r="BD767" s="58"/>
      <c r="BE767" s="58"/>
      <c r="BF767" s="58"/>
      <c r="BG767" s="58"/>
      <c r="BH767" s="58"/>
      <c r="BI767" s="58"/>
      <c r="BJ767" s="58"/>
      <c r="BK767" s="58"/>
      <c r="BL767" s="58"/>
      <c r="BM767" s="58"/>
      <c r="BN767" s="58"/>
      <c r="BO767" s="58"/>
      <c r="BP767" s="58"/>
      <c r="BQ767" s="58"/>
      <c r="BR767" s="58"/>
      <c r="BS767" s="58"/>
    </row>
    <row r="768" spans="1:71" ht="15.75" customHeight="1" x14ac:dyDescent="0.2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1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2"/>
      <c r="AR768" s="92"/>
      <c r="AS768" s="92"/>
      <c r="AT768" s="92"/>
      <c r="AU768" s="92"/>
      <c r="AV768" s="92"/>
      <c r="AW768" s="92"/>
      <c r="AX768" s="92"/>
      <c r="AY768" s="92"/>
      <c r="AZ768" s="58"/>
      <c r="BA768" s="58"/>
      <c r="BB768" s="58"/>
      <c r="BC768" s="58"/>
      <c r="BD768" s="58"/>
      <c r="BE768" s="58"/>
      <c r="BF768" s="58"/>
      <c r="BG768" s="58"/>
      <c r="BH768" s="58"/>
      <c r="BI768" s="58"/>
      <c r="BJ768" s="58"/>
      <c r="BK768" s="58"/>
      <c r="BL768" s="58"/>
      <c r="BM768" s="58"/>
      <c r="BN768" s="58"/>
      <c r="BO768" s="58"/>
      <c r="BP768" s="58"/>
      <c r="BQ768" s="58"/>
      <c r="BR768" s="58"/>
      <c r="BS768" s="58"/>
    </row>
    <row r="769" spans="1:71" ht="15.75" customHeight="1" x14ac:dyDescent="0.2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1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0"/>
      <c r="AP769" s="90"/>
      <c r="AQ769" s="92"/>
      <c r="AR769" s="92"/>
      <c r="AS769" s="92"/>
      <c r="AT769" s="92"/>
      <c r="AU769" s="92"/>
      <c r="AV769" s="92"/>
      <c r="AW769" s="92"/>
      <c r="AX769" s="92"/>
      <c r="AY769" s="92"/>
      <c r="AZ769" s="58"/>
      <c r="BA769" s="58"/>
      <c r="BB769" s="58"/>
      <c r="BC769" s="58"/>
      <c r="BD769" s="58"/>
      <c r="BE769" s="58"/>
      <c r="BF769" s="58"/>
      <c r="BG769" s="58"/>
      <c r="BH769" s="58"/>
      <c r="BI769" s="58"/>
      <c r="BJ769" s="58"/>
      <c r="BK769" s="58"/>
      <c r="BL769" s="58"/>
      <c r="BM769" s="58"/>
      <c r="BN769" s="58"/>
      <c r="BO769" s="58"/>
      <c r="BP769" s="58"/>
      <c r="BQ769" s="58"/>
      <c r="BR769" s="58"/>
      <c r="BS769" s="58"/>
    </row>
    <row r="770" spans="1:71" ht="15.75" customHeight="1" x14ac:dyDescent="0.2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1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2"/>
      <c r="AR770" s="92"/>
      <c r="AS770" s="92"/>
      <c r="AT770" s="92"/>
      <c r="AU770" s="92"/>
      <c r="AV770" s="92"/>
      <c r="AW770" s="92"/>
      <c r="AX770" s="92"/>
      <c r="AY770" s="92"/>
      <c r="AZ770" s="58"/>
      <c r="BA770" s="58"/>
      <c r="BB770" s="58"/>
      <c r="BC770" s="58"/>
      <c r="BD770" s="58"/>
      <c r="BE770" s="58"/>
      <c r="BF770" s="58"/>
      <c r="BG770" s="58"/>
      <c r="BH770" s="58"/>
      <c r="BI770" s="58"/>
      <c r="BJ770" s="58"/>
      <c r="BK770" s="58"/>
      <c r="BL770" s="58"/>
      <c r="BM770" s="58"/>
      <c r="BN770" s="58"/>
      <c r="BO770" s="58"/>
      <c r="BP770" s="58"/>
      <c r="BQ770" s="58"/>
      <c r="BR770" s="58"/>
      <c r="BS770" s="58"/>
    </row>
    <row r="771" spans="1:71" ht="15.75" customHeight="1" x14ac:dyDescent="0.2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1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0"/>
      <c r="AP771" s="90"/>
      <c r="AQ771" s="92"/>
      <c r="AR771" s="92"/>
      <c r="AS771" s="92"/>
      <c r="AT771" s="92"/>
      <c r="AU771" s="92"/>
      <c r="AV771" s="92"/>
      <c r="AW771" s="92"/>
      <c r="AX771" s="92"/>
      <c r="AY771" s="92"/>
      <c r="AZ771" s="58"/>
      <c r="BA771" s="58"/>
      <c r="BB771" s="58"/>
      <c r="BC771" s="58"/>
      <c r="BD771" s="58"/>
      <c r="BE771" s="58"/>
      <c r="BF771" s="58"/>
      <c r="BG771" s="58"/>
      <c r="BH771" s="58"/>
      <c r="BI771" s="58"/>
      <c r="BJ771" s="58"/>
      <c r="BK771" s="58"/>
      <c r="BL771" s="58"/>
      <c r="BM771" s="58"/>
      <c r="BN771" s="58"/>
      <c r="BO771" s="58"/>
      <c r="BP771" s="58"/>
      <c r="BQ771" s="58"/>
      <c r="BR771" s="58"/>
      <c r="BS771" s="58"/>
    </row>
    <row r="772" spans="1:71" ht="15.75" customHeight="1" x14ac:dyDescent="0.2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1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2"/>
      <c r="AR772" s="92"/>
      <c r="AS772" s="92"/>
      <c r="AT772" s="92"/>
      <c r="AU772" s="92"/>
      <c r="AV772" s="92"/>
      <c r="AW772" s="92"/>
      <c r="AX772" s="92"/>
      <c r="AY772" s="92"/>
      <c r="AZ772" s="58"/>
      <c r="BA772" s="58"/>
      <c r="BB772" s="58"/>
      <c r="BC772" s="58"/>
      <c r="BD772" s="58"/>
      <c r="BE772" s="58"/>
      <c r="BF772" s="58"/>
      <c r="BG772" s="58"/>
      <c r="BH772" s="58"/>
      <c r="BI772" s="58"/>
      <c r="BJ772" s="58"/>
      <c r="BK772" s="58"/>
      <c r="BL772" s="58"/>
      <c r="BM772" s="58"/>
      <c r="BN772" s="58"/>
      <c r="BO772" s="58"/>
      <c r="BP772" s="58"/>
      <c r="BQ772" s="58"/>
      <c r="BR772" s="58"/>
      <c r="BS772" s="58"/>
    </row>
    <row r="773" spans="1:71" ht="15.75" customHeight="1" x14ac:dyDescent="0.2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1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0"/>
      <c r="AP773" s="90"/>
      <c r="AQ773" s="92"/>
      <c r="AR773" s="92"/>
      <c r="AS773" s="92"/>
      <c r="AT773" s="92"/>
      <c r="AU773" s="92"/>
      <c r="AV773" s="92"/>
      <c r="AW773" s="92"/>
      <c r="AX773" s="92"/>
      <c r="AY773" s="92"/>
      <c r="AZ773" s="58"/>
      <c r="BA773" s="58"/>
      <c r="BB773" s="58"/>
      <c r="BC773" s="58"/>
      <c r="BD773" s="58"/>
      <c r="BE773" s="58"/>
      <c r="BF773" s="58"/>
      <c r="BG773" s="58"/>
      <c r="BH773" s="58"/>
      <c r="BI773" s="58"/>
      <c r="BJ773" s="58"/>
      <c r="BK773" s="58"/>
      <c r="BL773" s="58"/>
      <c r="BM773" s="58"/>
      <c r="BN773" s="58"/>
      <c r="BO773" s="58"/>
      <c r="BP773" s="58"/>
      <c r="BQ773" s="58"/>
      <c r="BR773" s="58"/>
      <c r="BS773" s="58"/>
    </row>
    <row r="774" spans="1:71" ht="15.75" customHeight="1" x14ac:dyDescent="0.2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1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2"/>
      <c r="AR774" s="92"/>
      <c r="AS774" s="92"/>
      <c r="AT774" s="92"/>
      <c r="AU774" s="92"/>
      <c r="AV774" s="92"/>
      <c r="AW774" s="92"/>
      <c r="AX774" s="92"/>
      <c r="AY774" s="92"/>
      <c r="AZ774" s="58"/>
      <c r="BA774" s="58"/>
      <c r="BB774" s="58"/>
      <c r="BC774" s="58"/>
      <c r="BD774" s="58"/>
      <c r="BE774" s="58"/>
      <c r="BF774" s="58"/>
      <c r="BG774" s="58"/>
      <c r="BH774" s="58"/>
      <c r="BI774" s="58"/>
      <c r="BJ774" s="58"/>
      <c r="BK774" s="58"/>
      <c r="BL774" s="58"/>
      <c r="BM774" s="58"/>
      <c r="BN774" s="58"/>
      <c r="BO774" s="58"/>
      <c r="BP774" s="58"/>
      <c r="BQ774" s="58"/>
      <c r="BR774" s="58"/>
      <c r="BS774" s="58"/>
    </row>
    <row r="775" spans="1:71" ht="15.75" customHeight="1" x14ac:dyDescent="0.2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1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0"/>
      <c r="AP775" s="90"/>
      <c r="AQ775" s="92"/>
      <c r="AR775" s="92"/>
      <c r="AS775" s="92"/>
      <c r="AT775" s="92"/>
      <c r="AU775" s="92"/>
      <c r="AV775" s="92"/>
      <c r="AW775" s="92"/>
      <c r="AX775" s="92"/>
      <c r="AY775" s="92"/>
      <c r="AZ775" s="58"/>
      <c r="BA775" s="58"/>
      <c r="BB775" s="58"/>
      <c r="BC775" s="58"/>
      <c r="BD775" s="58"/>
      <c r="BE775" s="58"/>
      <c r="BF775" s="58"/>
      <c r="BG775" s="58"/>
      <c r="BH775" s="58"/>
      <c r="BI775" s="58"/>
      <c r="BJ775" s="58"/>
      <c r="BK775" s="58"/>
      <c r="BL775" s="58"/>
      <c r="BM775" s="58"/>
      <c r="BN775" s="58"/>
      <c r="BO775" s="58"/>
      <c r="BP775" s="58"/>
      <c r="BQ775" s="58"/>
      <c r="BR775" s="58"/>
      <c r="BS775" s="58"/>
    </row>
    <row r="776" spans="1:71" ht="15.75" customHeight="1" x14ac:dyDescent="0.2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1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2"/>
      <c r="AR776" s="92"/>
      <c r="AS776" s="92"/>
      <c r="AT776" s="92"/>
      <c r="AU776" s="92"/>
      <c r="AV776" s="92"/>
      <c r="AW776" s="92"/>
      <c r="AX776" s="92"/>
      <c r="AY776" s="92"/>
      <c r="AZ776" s="58"/>
      <c r="BA776" s="58"/>
      <c r="BB776" s="58"/>
      <c r="BC776" s="58"/>
      <c r="BD776" s="58"/>
      <c r="BE776" s="58"/>
      <c r="BF776" s="58"/>
      <c r="BG776" s="58"/>
      <c r="BH776" s="58"/>
      <c r="BI776" s="58"/>
      <c r="BJ776" s="58"/>
      <c r="BK776" s="58"/>
      <c r="BL776" s="58"/>
      <c r="BM776" s="58"/>
      <c r="BN776" s="58"/>
      <c r="BO776" s="58"/>
      <c r="BP776" s="58"/>
      <c r="BQ776" s="58"/>
      <c r="BR776" s="58"/>
      <c r="BS776" s="58"/>
    </row>
    <row r="777" spans="1:71" ht="15.75" customHeight="1" x14ac:dyDescent="0.2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1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0"/>
      <c r="AP777" s="90"/>
      <c r="AQ777" s="92"/>
      <c r="AR777" s="92"/>
      <c r="AS777" s="92"/>
      <c r="AT777" s="92"/>
      <c r="AU777" s="92"/>
      <c r="AV777" s="92"/>
      <c r="AW777" s="92"/>
      <c r="AX777" s="92"/>
      <c r="AY777" s="92"/>
      <c r="AZ777" s="58"/>
      <c r="BA777" s="58"/>
      <c r="BB777" s="58"/>
      <c r="BC777" s="58"/>
      <c r="BD777" s="58"/>
      <c r="BE777" s="58"/>
      <c r="BF777" s="58"/>
      <c r="BG777" s="58"/>
      <c r="BH777" s="58"/>
      <c r="BI777" s="58"/>
      <c r="BJ777" s="58"/>
      <c r="BK777" s="58"/>
      <c r="BL777" s="58"/>
      <c r="BM777" s="58"/>
      <c r="BN777" s="58"/>
      <c r="BO777" s="58"/>
      <c r="BP777" s="58"/>
      <c r="BQ777" s="58"/>
      <c r="BR777" s="58"/>
      <c r="BS777" s="58"/>
    </row>
    <row r="778" spans="1:71" ht="15.75" customHeight="1" x14ac:dyDescent="0.2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1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2"/>
      <c r="AR778" s="92"/>
      <c r="AS778" s="92"/>
      <c r="AT778" s="92"/>
      <c r="AU778" s="92"/>
      <c r="AV778" s="92"/>
      <c r="AW778" s="92"/>
      <c r="AX778" s="92"/>
      <c r="AY778" s="92"/>
      <c r="AZ778" s="58"/>
      <c r="BA778" s="58"/>
      <c r="BB778" s="58"/>
      <c r="BC778" s="58"/>
      <c r="BD778" s="58"/>
      <c r="BE778" s="58"/>
      <c r="BF778" s="58"/>
      <c r="BG778" s="58"/>
      <c r="BH778" s="58"/>
      <c r="BI778" s="58"/>
      <c r="BJ778" s="58"/>
      <c r="BK778" s="58"/>
      <c r="BL778" s="58"/>
      <c r="BM778" s="58"/>
      <c r="BN778" s="58"/>
      <c r="BO778" s="58"/>
      <c r="BP778" s="58"/>
      <c r="BQ778" s="58"/>
      <c r="BR778" s="58"/>
      <c r="BS778" s="58"/>
    </row>
    <row r="779" spans="1:71" ht="15.75" customHeight="1" x14ac:dyDescent="0.2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1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0"/>
      <c r="AP779" s="90"/>
      <c r="AQ779" s="92"/>
      <c r="AR779" s="92"/>
      <c r="AS779" s="92"/>
      <c r="AT779" s="92"/>
      <c r="AU779" s="92"/>
      <c r="AV779" s="92"/>
      <c r="AW779" s="92"/>
      <c r="AX779" s="92"/>
      <c r="AY779" s="92"/>
      <c r="AZ779" s="58"/>
      <c r="BA779" s="58"/>
      <c r="BB779" s="58"/>
      <c r="BC779" s="58"/>
      <c r="BD779" s="58"/>
      <c r="BE779" s="58"/>
      <c r="BF779" s="58"/>
      <c r="BG779" s="58"/>
      <c r="BH779" s="58"/>
      <c r="BI779" s="58"/>
      <c r="BJ779" s="58"/>
      <c r="BK779" s="58"/>
      <c r="BL779" s="58"/>
      <c r="BM779" s="58"/>
      <c r="BN779" s="58"/>
      <c r="BO779" s="58"/>
      <c r="BP779" s="58"/>
      <c r="BQ779" s="58"/>
      <c r="BR779" s="58"/>
      <c r="BS779" s="58"/>
    </row>
    <row r="780" spans="1:71" ht="15.75" customHeight="1" x14ac:dyDescent="0.2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1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2"/>
      <c r="AR780" s="92"/>
      <c r="AS780" s="92"/>
      <c r="AT780" s="92"/>
      <c r="AU780" s="92"/>
      <c r="AV780" s="92"/>
      <c r="AW780" s="92"/>
      <c r="AX780" s="92"/>
      <c r="AY780" s="92"/>
      <c r="AZ780" s="58"/>
      <c r="BA780" s="58"/>
      <c r="BB780" s="58"/>
      <c r="BC780" s="58"/>
      <c r="BD780" s="58"/>
      <c r="BE780" s="58"/>
      <c r="BF780" s="58"/>
      <c r="BG780" s="58"/>
      <c r="BH780" s="58"/>
      <c r="BI780" s="58"/>
      <c r="BJ780" s="58"/>
      <c r="BK780" s="58"/>
      <c r="BL780" s="58"/>
      <c r="BM780" s="58"/>
      <c r="BN780" s="58"/>
      <c r="BO780" s="58"/>
      <c r="BP780" s="58"/>
      <c r="BQ780" s="58"/>
      <c r="BR780" s="58"/>
      <c r="BS780" s="58"/>
    </row>
    <row r="781" spans="1:71" ht="15.75" customHeight="1" x14ac:dyDescent="0.2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1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0"/>
      <c r="AP781" s="90"/>
      <c r="AQ781" s="92"/>
      <c r="AR781" s="92"/>
      <c r="AS781" s="92"/>
      <c r="AT781" s="92"/>
      <c r="AU781" s="92"/>
      <c r="AV781" s="92"/>
      <c r="AW781" s="92"/>
      <c r="AX781" s="92"/>
      <c r="AY781" s="92"/>
      <c r="AZ781" s="58"/>
      <c r="BA781" s="58"/>
      <c r="BB781" s="58"/>
      <c r="BC781" s="58"/>
      <c r="BD781" s="58"/>
      <c r="BE781" s="58"/>
      <c r="BF781" s="58"/>
      <c r="BG781" s="58"/>
      <c r="BH781" s="58"/>
      <c r="BI781" s="58"/>
      <c r="BJ781" s="58"/>
      <c r="BK781" s="58"/>
      <c r="BL781" s="58"/>
      <c r="BM781" s="58"/>
      <c r="BN781" s="58"/>
      <c r="BO781" s="58"/>
      <c r="BP781" s="58"/>
      <c r="BQ781" s="58"/>
      <c r="BR781" s="58"/>
      <c r="BS781" s="58"/>
    </row>
    <row r="782" spans="1:71" ht="15.75" customHeight="1" x14ac:dyDescent="0.2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1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2"/>
      <c r="AR782" s="92"/>
      <c r="AS782" s="92"/>
      <c r="AT782" s="92"/>
      <c r="AU782" s="92"/>
      <c r="AV782" s="92"/>
      <c r="AW782" s="92"/>
      <c r="AX782" s="92"/>
      <c r="AY782" s="92"/>
      <c r="AZ782" s="58"/>
      <c r="BA782" s="58"/>
      <c r="BB782" s="58"/>
      <c r="BC782" s="58"/>
      <c r="BD782" s="58"/>
      <c r="BE782" s="58"/>
      <c r="BF782" s="58"/>
      <c r="BG782" s="58"/>
      <c r="BH782" s="58"/>
      <c r="BI782" s="58"/>
      <c r="BJ782" s="58"/>
      <c r="BK782" s="58"/>
      <c r="BL782" s="58"/>
      <c r="BM782" s="58"/>
      <c r="BN782" s="58"/>
      <c r="BO782" s="58"/>
      <c r="BP782" s="58"/>
      <c r="BQ782" s="58"/>
      <c r="BR782" s="58"/>
      <c r="BS782" s="58"/>
    </row>
    <row r="783" spans="1:71" ht="15.75" customHeight="1" x14ac:dyDescent="0.2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1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0"/>
      <c r="AP783" s="90"/>
      <c r="AQ783" s="92"/>
      <c r="AR783" s="92"/>
      <c r="AS783" s="92"/>
      <c r="AT783" s="92"/>
      <c r="AU783" s="92"/>
      <c r="AV783" s="92"/>
      <c r="AW783" s="92"/>
      <c r="AX783" s="92"/>
      <c r="AY783" s="92"/>
      <c r="AZ783" s="58"/>
      <c r="BA783" s="58"/>
      <c r="BB783" s="58"/>
      <c r="BC783" s="58"/>
      <c r="BD783" s="58"/>
      <c r="BE783" s="58"/>
      <c r="BF783" s="58"/>
      <c r="BG783" s="58"/>
      <c r="BH783" s="58"/>
      <c r="BI783" s="58"/>
      <c r="BJ783" s="58"/>
      <c r="BK783" s="58"/>
      <c r="BL783" s="58"/>
      <c r="BM783" s="58"/>
      <c r="BN783" s="58"/>
      <c r="BO783" s="58"/>
      <c r="BP783" s="58"/>
      <c r="BQ783" s="58"/>
      <c r="BR783" s="58"/>
      <c r="BS783" s="58"/>
    </row>
    <row r="784" spans="1:71" ht="15.75" customHeight="1" x14ac:dyDescent="0.2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1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2"/>
      <c r="AR784" s="92"/>
      <c r="AS784" s="92"/>
      <c r="AT784" s="92"/>
      <c r="AU784" s="92"/>
      <c r="AV784" s="92"/>
      <c r="AW784" s="92"/>
      <c r="AX784" s="92"/>
      <c r="AY784" s="92"/>
      <c r="AZ784" s="58"/>
      <c r="BA784" s="58"/>
      <c r="BB784" s="58"/>
      <c r="BC784" s="58"/>
      <c r="BD784" s="58"/>
      <c r="BE784" s="58"/>
      <c r="BF784" s="58"/>
      <c r="BG784" s="58"/>
      <c r="BH784" s="58"/>
      <c r="BI784" s="58"/>
      <c r="BJ784" s="58"/>
      <c r="BK784" s="58"/>
      <c r="BL784" s="58"/>
      <c r="BM784" s="58"/>
      <c r="BN784" s="58"/>
      <c r="BO784" s="58"/>
      <c r="BP784" s="58"/>
      <c r="BQ784" s="58"/>
      <c r="BR784" s="58"/>
      <c r="BS784" s="58"/>
    </row>
    <row r="785" spans="1:71" ht="15.75" customHeight="1" x14ac:dyDescent="0.2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1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0"/>
      <c r="AP785" s="90"/>
      <c r="AQ785" s="92"/>
      <c r="AR785" s="92"/>
      <c r="AS785" s="92"/>
      <c r="AT785" s="92"/>
      <c r="AU785" s="92"/>
      <c r="AV785" s="92"/>
      <c r="AW785" s="92"/>
      <c r="AX785" s="92"/>
      <c r="AY785" s="92"/>
      <c r="AZ785" s="58"/>
      <c r="BA785" s="58"/>
      <c r="BB785" s="58"/>
      <c r="BC785" s="58"/>
      <c r="BD785" s="58"/>
      <c r="BE785" s="58"/>
      <c r="BF785" s="58"/>
      <c r="BG785" s="58"/>
      <c r="BH785" s="58"/>
      <c r="BI785" s="58"/>
      <c r="BJ785" s="58"/>
      <c r="BK785" s="58"/>
      <c r="BL785" s="58"/>
      <c r="BM785" s="58"/>
      <c r="BN785" s="58"/>
      <c r="BO785" s="58"/>
      <c r="BP785" s="58"/>
      <c r="BQ785" s="58"/>
      <c r="BR785" s="58"/>
      <c r="BS785" s="58"/>
    </row>
    <row r="786" spans="1:71" ht="15.75" customHeight="1" x14ac:dyDescent="0.2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1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2"/>
      <c r="AR786" s="92"/>
      <c r="AS786" s="92"/>
      <c r="AT786" s="92"/>
      <c r="AU786" s="92"/>
      <c r="AV786" s="92"/>
      <c r="AW786" s="92"/>
      <c r="AX786" s="92"/>
      <c r="AY786" s="92"/>
      <c r="AZ786" s="58"/>
      <c r="BA786" s="58"/>
      <c r="BB786" s="58"/>
      <c r="BC786" s="58"/>
      <c r="BD786" s="58"/>
      <c r="BE786" s="58"/>
      <c r="BF786" s="58"/>
      <c r="BG786" s="58"/>
      <c r="BH786" s="58"/>
      <c r="BI786" s="58"/>
      <c r="BJ786" s="58"/>
      <c r="BK786" s="58"/>
      <c r="BL786" s="58"/>
      <c r="BM786" s="58"/>
      <c r="BN786" s="58"/>
      <c r="BO786" s="58"/>
      <c r="BP786" s="58"/>
      <c r="BQ786" s="58"/>
      <c r="BR786" s="58"/>
      <c r="BS786" s="58"/>
    </row>
    <row r="787" spans="1:71" ht="15.75" customHeight="1" x14ac:dyDescent="0.2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1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0"/>
      <c r="AP787" s="90"/>
      <c r="AQ787" s="92"/>
      <c r="AR787" s="92"/>
      <c r="AS787" s="92"/>
      <c r="AT787" s="92"/>
      <c r="AU787" s="92"/>
      <c r="AV787" s="92"/>
      <c r="AW787" s="92"/>
      <c r="AX787" s="92"/>
      <c r="AY787" s="92"/>
      <c r="AZ787" s="58"/>
      <c r="BA787" s="58"/>
      <c r="BB787" s="58"/>
      <c r="BC787" s="58"/>
      <c r="BD787" s="58"/>
      <c r="BE787" s="58"/>
      <c r="BF787" s="58"/>
      <c r="BG787" s="58"/>
      <c r="BH787" s="58"/>
      <c r="BI787" s="58"/>
      <c r="BJ787" s="58"/>
      <c r="BK787" s="58"/>
      <c r="BL787" s="58"/>
      <c r="BM787" s="58"/>
      <c r="BN787" s="58"/>
      <c r="BO787" s="58"/>
      <c r="BP787" s="58"/>
      <c r="BQ787" s="58"/>
      <c r="BR787" s="58"/>
      <c r="BS787" s="58"/>
    </row>
    <row r="788" spans="1:71" ht="15.75" customHeight="1" x14ac:dyDescent="0.2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1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2"/>
      <c r="AR788" s="92"/>
      <c r="AS788" s="92"/>
      <c r="AT788" s="92"/>
      <c r="AU788" s="92"/>
      <c r="AV788" s="92"/>
      <c r="AW788" s="92"/>
      <c r="AX788" s="92"/>
      <c r="AY788" s="92"/>
      <c r="AZ788" s="58"/>
      <c r="BA788" s="58"/>
      <c r="BB788" s="58"/>
      <c r="BC788" s="58"/>
      <c r="BD788" s="58"/>
      <c r="BE788" s="58"/>
      <c r="BF788" s="58"/>
      <c r="BG788" s="58"/>
      <c r="BH788" s="58"/>
      <c r="BI788" s="58"/>
      <c r="BJ788" s="58"/>
      <c r="BK788" s="58"/>
      <c r="BL788" s="58"/>
      <c r="BM788" s="58"/>
      <c r="BN788" s="58"/>
      <c r="BO788" s="58"/>
      <c r="BP788" s="58"/>
      <c r="BQ788" s="58"/>
      <c r="BR788" s="58"/>
      <c r="BS788" s="58"/>
    </row>
    <row r="789" spans="1:71" ht="15.75" customHeight="1" x14ac:dyDescent="0.2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1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0"/>
      <c r="AP789" s="90"/>
      <c r="AQ789" s="92"/>
      <c r="AR789" s="92"/>
      <c r="AS789" s="92"/>
      <c r="AT789" s="92"/>
      <c r="AU789" s="92"/>
      <c r="AV789" s="92"/>
      <c r="AW789" s="92"/>
      <c r="AX789" s="92"/>
      <c r="AY789" s="92"/>
      <c r="AZ789" s="58"/>
      <c r="BA789" s="58"/>
      <c r="BB789" s="58"/>
      <c r="BC789" s="58"/>
      <c r="BD789" s="58"/>
      <c r="BE789" s="58"/>
      <c r="BF789" s="58"/>
      <c r="BG789" s="58"/>
      <c r="BH789" s="58"/>
      <c r="BI789" s="58"/>
      <c r="BJ789" s="58"/>
      <c r="BK789" s="58"/>
      <c r="BL789" s="58"/>
      <c r="BM789" s="58"/>
      <c r="BN789" s="58"/>
      <c r="BO789" s="58"/>
      <c r="BP789" s="58"/>
      <c r="BQ789" s="58"/>
      <c r="BR789" s="58"/>
      <c r="BS789" s="58"/>
    </row>
    <row r="790" spans="1:71" ht="15.75" customHeight="1" x14ac:dyDescent="0.2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1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2"/>
      <c r="AR790" s="92"/>
      <c r="AS790" s="92"/>
      <c r="AT790" s="92"/>
      <c r="AU790" s="92"/>
      <c r="AV790" s="92"/>
      <c r="AW790" s="92"/>
      <c r="AX790" s="92"/>
      <c r="AY790" s="92"/>
      <c r="AZ790" s="58"/>
      <c r="BA790" s="58"/>
      <c r="BB790" s="58"/>
      <c r="BC790" s="58"/>
      <c r="BD790" s="58"/>
      <c r="BE790" s="58"/>
      <c r="BF790" s="58"/>
      <c r="BG790" s="58"/>
      <c r="BH790" s="58"/>
      <c r="BI790" s="58"/>
      <c r="BJ790" s="58"/>
      <c r="BK790" s="58"/>
      <c r="BL790" s="58"/>
      <c r="BM790" s="58"/>
      <c r="BN790" s="58"/>
      <c r="BO790" s="58"/>
      <c r="BP790" s="58"/>
      <c r="BQ790" s="58"/>
      <c r="BR790" s="58"/>
      <c r="BS790" s="58"/>
    </row>
    <row r="791" spans="1:71" ht="15.75" customHeight="1" x14ac:dyDescent="0.2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1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0"/>
      <c r="AP791" s="90"/>
      <c r="AQ791" s="92"/>
      <c r="AR791" s="92"/>
      <c r="AS791" s="92"/>
      <c r="AT791" s="92"/>
      <c r="AU791" s="92"/>
      <c r="AV791" s="92"/>
      <c r="AW791" s="92"/>
      <c r="AX791" s="92"/>
      <c r="AY791" s="92"/>
      <c r="AZ791" s="58"/>
      <c r="BA791" s="58"/>
      <c r="BB791" s="58"/>
      <c r="BC791" s="58"/>
      <c r="BD791" s="58"/>
      <c r="BE791" s="58"/>
      <c r="BF791" s="58"/>
      <c r="BG791" s="58"/>
      <c r="BH791" s="58"/>
      <c r="BI791" s="58"/>
      <c r="BJ791" s="58"/>
      <c r="BK791" s="58"/>
      <c r="BL791" s="58"/>
      <c r="BM791" s="58"/>
      <c r="BN791" s="58"/>
      <c r="BO791" s="58"/>
      <c r="BP791" s="58"/>
      <c r="BQ791" s="58"/>
      <c r="BR791" s="58"/>
      <c r="BS791" s="58"/>
    </row>
    <row r="792" spans="1:71" ht="15.75" customHeight="1" x14ac:dyDescent="0.2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1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2"/>
      <c r="AR792" s="92"/>
      <c r="AS792" s="92"/>
      <c r="AT792" s="92"/>
      <c r="AU792" s="92"/>
      <c r="AV792" s="92"/>
      <c r="AW792" s="92"/>
      <c r="AX792" s="92"/>
      <c r="AY792" s="92"/>
      <c r="AZ792" s="58"/>
      <c r="BA792" s="58"/>
      <c r="BB792" s="58"/>
      <c r="BC792" s="58"/>
      <c r="BD792" s="58"/>
      <c r="BE792" s="58"/>
      <c r="BF792" s="58"/>
      <c r="BG792" s="58"/>
      <c r="BH792" s="58"/>
      <c r="BI792" s="58"/>
      <c r="BJ792" s="58"/>
      <c r="BK792" s="58"/>
      <c r="BL792" s="58"/>
      <c r="BM792" s="58"/>
      <c r="BN792" s="58"/>
      <c r="BO792" s="58"/>
      <c r="BP792" s="58"/>
      <c r="BQ792" s="58"/>
      <c r="BR792" s="58"/>
      <c r="BS792" s="58"/>
    </row>
    <row r="793" spans="1:71" ht="15.75" customHeight="1" x14ac:dyDescent="0.2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1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0"/>
      <c r="AP793" s="90"/>
      <c r="AQ793" s="92"/>
      <c r="AR793" s="92"/>
      <c r="AS793" s="92"/>
      <c r="AT793" s="92"/>
      <c r="AU793" s="92"/>
      <c r="AV793" s="92"/>
      <c r="AW793" s="92"/>
      <c r="AX793" s="92"/>
      <c r="AY793" s="92"/>
      <c r="AZ793" s="58"/>
      <c r="BA793" s="58"/>
      <c r="BB793" s="58"/>
      <c r="BC793" s="58"/>
      <c r="BD793" s="58"/>
      <c r="BE793" s="58"/>
      <c r="BF793" s="58"/>
      <c r="BG793" s="58"/>
      <c r="BH793" s="58"/>
      <c r="BI793" s="58"/>
      <c r="BJ793" s="58"/>
      <c r="BK793" s="58"/>
      <c r="BL793" s="58"/>
      <c r="BM793" s="58"/>
      <c r="BN793" s="58"/>
      <c r="BO793" s="58"/>
      <c r="BP793" s="58"/>
      <c r="BQ793" s="58"/>
      <c r="BR793" s="58"/>
      <c r="BS793" s="58"/>
    </row>
    <row r="794" spans="1:71" ht="15.75" customHeight="1" x14ac:dyDescent="0.2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1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2"/>
      <c r="AR794" s="92"/>
      <c r="AS794" s="92"/>
      <c r="AT794" s="92"/>
      <c r="AU794" s="92"/>
      <c r="AV794" s="92"/>
      <c r="AW794" s="92"/>
      <c r="AX794" s="92"/>
      <c r="AY794" s="92"/>
      <c r="AZ794" s="58"/>
      <c r="BA794" s="58"/>
      <c r="BB794" s="58"/>
      <c r="BC794" s="58"/>
      <c r="BD794" s="58"/>
      <c r="BE794" s="58"/>
      <c r="BF794" s="58"/>
      <c r="BG794" s="58"/>
      <c r="BH794" s="58"/>
      <c r="BI794" s="58"/>
      <c r="BJ794" s="58"/>
      <c r="BK794" s="58"/>
      <c r="BL794" s="58"/>
      <c r="BM794" s="58"/>
      <c r="BN794" s="58"/>
      <c r="BO794" s="58"/>
      <c r="BP794" s="58"/>
      <c r="BQ794" s="58"/>
      <c r="BR794" s="58"/>
      <c r="BS794" s="58"/>
    </row>
    <row r="795" spans="1:71" ht="15.75" customHeight="1" x14ac:dyDescent="0.2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1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0"/>
      <c r="AP795" s="90"/>
      <c r="AQ795" s="92"/>
      <c r="AR795" s="92"/>
      <c r="AS795" s="92"/>
      <c r="AT795" s="92"/>
      <c r="AU795" s="92"/>
      <c r="AV795" s="92"/>
      <c r="AW795" s="92"/>
      <c r="AX795" s="92"/>
      <c r="AY795" s="92"/>
      <c r="AZ795" s="58"/>
      <c r="BA795" s="58"/>
      <c r="BB795" s="58"/>
      <c r="BC795" s="58"/>
      <c r="BD795" s="58"/>
      <c r="BE795" s="58"/>
      <c r="BF795" s="58"/>
      <c r="BG795" s="58"/>
      <c r="BH795" s="58"/>
      <c r="BI795" s="58"/>
      <c r="BJ795" s="58"/>
      <c r="BK795" s="58"/>
      <c r="BL795" s="58"/>
      <c r="BM795" s="58"/>
      <c r="BN795" s="58"/>
      <c r="BO795" s="58"/>
      <c r="BP795" s="58"/>
      <c r="BQ795" s="58"/>
      <c r="BR795" s="58"/>
      <c r="BS795" s="58"/>
    </row>
    <row r="796" spans="1:71" ht="15.75" customHeight="1" x14ac:dyDescent="0.2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1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2"/>
      <c r="AR796" s="92"/>
      <c r="AS796" s="92"/>
      <c r="AT796" s="92"/>
      <c r="AU796" s="92"/>
      <c r="AV796" s="92"/>
      <c r="AW796" s="92"/>
      <c r="AX796" s="92"/>
      <c r="AY796" s="92"/>
      <c r="AZ796" s="58"/>
      <c r="BA796" s="58"/>
      <c r="BB796" s="58"/>
      <c r="BC796" s="58"/>
      <c r="BD796" s="58"/>
      <c r="BE796" s="58"/>
      <c r="BF796" s="58"/>
      <c r="BG796" s="58"/>
      <c r="BH796" s="58"/>
      <c r="BI796" s="58"/>
      <c r="BJ796" s="58"/>
      <c r="BK796" s="58"/>
      <c r="BL796" s="58"/>
      <c r="BM796" s="58"/>
      <c r="BN796" s="58"/>
      <c r="BO796" s="58"/>
      <c r="BP796" s="58"/>
      <c r="BQ796" s="58"/>
      <c r="BR796" s="58"/>
      <c r="BS796" s="58"/>
    </row>
    <row r="797" spans="1:71" ht="15.75" customHeight="1" x14ac:dyDescent="0.2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1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0"/>
      <c r="AP797" s="90"/>
      <c r="AQ797" s="92"/>
      <c r="AR797" s="92"/>
      <c r="AS797" s="92"/>
      <c r="AT797" s="92"/>
      <c r="AU797" s="92"/>
      <c r="AV797" s="92"/>
      <c r="AW797" s="92"/>
      <c r="AX797" s="92"/>
      <c r="AY797" s="92"/>
      <c r="AZ797" s="58"/>
      <c r="BA797" s="58"/>
      <c r="BB797" s="58"/>
      <c r="BC797" s="58"/>
      <c r="BD797" s="58"/>
      <c r="BE797" s="58"/>
      <c r="BF797" s="58"/>
      <c r="BG797" s="58"/>
      <c r="BH797" s="58"/>
      <c r="BI797" s="58"/>
      <c r="BJ797" s="58"/>
      <c r="BK797" s="58"/>
      <c r="BL797" s="58"/>
      <c r="BM797" s="58"/>
      <c r="BN797" s="58"/>
      <c r="BO797" s="58"/>
      <c r="BP797" s="58"/>
      <c r="BQ797" s="58"/>
      <c r="BR797" s="58"/>
      <c r="BS797" s="58"/>
    </row>
    <row r="798" spans="1:71" ht="15.75" customHeight="1" x14ac:dyDescent="0.2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1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2"/>
      <c r="AR798" s="92"/>
      <c r="AS798" s="92"/>
      <c r="AT798" s="92"/>
      <c r="AU798" s="92"/>
      <c r="AV798" s="92"/>
      <c r="AW798" s="92"/>
      <c r="AX798" s="92"/>
      <c r="AY798" s="92"/>
      <c r="AZ798" s="58"/>
      <c r="BA798" s="58"/>
      <c r="BB798" s="58"/>
      <c r="BC798" s="58"/>
      <c r="BD798" s="58"/>
      <c r="BE798" s="58"/>
      <c r="BF798" s="58"/>
      <c r="BG798" s="58"/>
      <c r="BH798" s="58"/>
      <c r="BI798" s="58"/>
      <c r="BJ798" s="58"/>
      <c r="BK798" s="58"/>
      <c r="BL798" s="58"/>
      <c r="BM798" s="58"/>
      <c r="BN798" s="58"/>
      <c r="BO798" s="58"/>
      <c r="BP798" s="58"/>
      <c r="BQ798" s="58"/>
      <c r="BR798" s="58"/>
      <c r="BS798" s="58"/>
    </row>
    <row r="799" spans="1:71" ht="15.75" customHeight="1" x14ac:dyDescent="0.2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1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0"/>
      <c r="AP799" s="90"/>
      <c r="AQ799" s="92"/>
      <c r="AR799" s="92"/>
      <c r="AS799" s="92"/>
      <c r="AT799" s="92"/>
      <c r="AU799" s="92"/>
      <c r="AV799" s="92"/>
      <c r="AW799" s="92"/>
      <c r="AX799" s="92"/>
      <c r="AY799" s="92"/>
      <c r="AZ799" s="58"/>
      <c r="BA799" s="58"/>
      <c r="BB799" s="58"/>
      <c r="BC799" s="58"/>
      <c r="BD799" s="58"/>
      <c r="BE799" s="58"/>
      <c r="BF799" s="58"/>
      <c r="BG799" s="58"/>
      <c r="BH799" s="58"/>
      <c r="BI799" s="58"/>
      <c r="BJ799" s="58"/>
      <c r="BK799" s="58"/>
      <c r="BL799" s="58"/>
      <c r="BM799" s="58"/>
      <c r="BN799" s="58"/>
      <c r="BO799" s="58"/>
      <c r="BP799" s="58"/>
      <c r="BQ799" s="58"/>
      <c r="BR799" s="58"/>
      <c r="BS799" s="58"/>
    </row>
    <row r="800" spans="1:71" ht="15.75" customHeight="1" x14ac:dyDescent="0.2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1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2"/>
      <c r="AR800" s="92"/>
      <c r="AS800" s="92"/>
      <c r="AT800" s="92"/>
      <c r="AU800" s="92"/>
      <c r="AV800" s="92"/>
      <c r="AW800" s="92"/>
      <c r="AX800" s="92"/>
      <c r="AY800" s="92"/>
      <c r="AZ800" s="58"/>
      <c r="BA800" s="58"/>
      <c r="BB800" s="58"/>
      <c r="BC800" s="58"/>
      <c r="BD800" s="58"/>
      <c r="BE800" s="58"/>
      <c r="BF800" s="58"/>
      <c r="BG800" s="58"/>
      <c r="BH800" s="58"/>
      <c r="BI800" s="58"/>
      <c r="BJ800" s="58"/>
      <c r="BK800" s="58"/>
      <c r="BL800" s="58"/>
      <c r="BM800" s="58"/>
      <c r="BN800" s="58"/>
      <c r="BO800" s="58"/>
      <c r="BP800" s="58"/>
      <c r="BQ800" s="58"/>
      <c r="BR800" s="58"/>
      <c r="BS800" s="58"/>
    </row>
    <row r="801" spans="1:71" ht="15.75" customHeight="1" x14ac:dyDescent="0.2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1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0"/>
      <c r="AP801" s="90"/>
      <c r="AQ801" s="92"/>
      <c r="AR801" s="92"/>
      <c r="AS801" s="92"/>
      <c r="AT801" s="92"/>
      <c r="AU801" s="92"/>
      <c r="AV801" s="92"/>
      <c r="AW801" s="92"/>
      <c r="AX801" s="92"/>
      <c r="AY801" s="92"/>
      <c r="AZ801" s="58"/>
      <c r="BA801" s="58"/>
      <c r="BB801" s="58"/>
      <c r="BC801" s="58"/>
      <c r="BD801" s="58"/>
      <c r="BE801" s="58"/>
      <c r="BF801" s="58"/>
      <c r="BG801" s="58"/>
      <c r="BH801" s="58"/>
      <c r="BI801" s="58"/>
      <c r="BJ801" s="58"/>
      <c r="BK801" s="58"/>
      <c r="BL801" s="58"/>
      <c r="BM801" s="58"/>
      <c r="BN801" s="58"/>
      <c r="BO801" s="58"/>
      <c r="BP801" s="58"/>
      <c r="BQ801" s="58"/>
      <c r="BR801" s="58"/>
      <c r="BS801" s="58"/>
    </row>
    <row r="802" spans="1:71" ht="15.75" customHeight="1" x14ac:dyDescent="0.2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1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2"/>
      <c r="AR802" s="92"/>
      <c r="AS802" s="92"/>
      <c r="AT802" s="92"/>
      <c r="AU802" s="92"/>
      <c r="AV802" s="92"/>
      <c r="AW802" s="92"/>
      <c r="AX802" s="92"/>
      <c r="AY802" s="92"/>
      <c r="AZ802" s="58"/>
      <c r="BA802" s="58"/>
      <c r="BB802" s="58"/>
      <c r="BC802" s="58"/>
      <c r="BD802" s="58"/>
      <c r="BE802" s="58"/>
      <c r="BF802" s="58"/>
      <c r="BG802" s="58"/>
      <c r="BH802" s="58"/>
      <c r="BI802" s="58"/>
      <c r="BJ802" s="58"/>
      <c r="BK802" s="58"/>
      <c r="BL802" s="58"/>
      <c r="BM802" s="58"/>
      <c r="BN802" s="58"/>
      <c r="BO802" s="58"/>
      <c r="BP802" s="58"/>
      <c r="BQ802" s="58"/>
      <c r="BR802" s="58"/>
      <c r="BS802" s="58"/>
    </row>
    <row r="803" spans="1:71" ht="15.75" customHeight="1" x14ac:dyDescent="0.2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1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0"/>
      <c r="AP803" s="90"/>
      <c r="AQ803" s="92"/>
      <c r="AR803" s="92"/>
      <c r="AS803" s="92"/>
      <c r="AT803" s="92"/>
      <c r="AU803" s="92"/>
      <c r="AV803" s="92"/>
      <c r="AW803" s="92"/>
      <c r="AX803" s="92"/>
      <c r="AY803" s="92"/>
      <c r="AZ803" s="58"/>
      <c r="BA803" s="58"/>
      <c r="BB803" s="58"/>
      <c r="BC803" s="58"/>
      <c r="BD803" s="58"/>
      <c r="BE803" s="58"/>
      <c r="BF803" s="58"/>
      <c r="BG803" s="58"/>
      <c r="BH803" s="58"/>
      <c r="BI803" s="58"/>
      <c r="BJ803" s="58"/>
      <c r="BK803" s="58"/>
      <c r="BL803" s="58"/>
      <c r="BM803" s="58"/>
      <c r="BN803" s="58"/>
      <c r="BO803" s="58"/>
      <c r="BP803" s="58"/>
      <c r="BQ803" s="58"/>
      <c r="BR803" s="58"/>
      <c r="BS803" s="58"/>
    </row>
    <row r="804" spans="1:71" ht="15.75" customHeight="1" x14ac:dyDescent="0.2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1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2"/>
      <c r="AR804" s="92"/>
      <c r="AS804" s="92"/>
      <c r="AT804" s="92"/>
      <c r="AU804" s="92"/>
      <c r="AV804" s="92"/>
      <c r="AW804" s="92"/>
      <c r="AX804" s="92"/>
      <c r="AY804" s="92"/>
      <c r="AZ804" s="58"/>
      <c r="BA804" s="58"/>
      <c r="BB804" s="58"/>
      <c r="BC804" s="58"/>
      <c r="BD804" s="58"/>
      <c r="BE804" s="58"/>
      <c r="BF804" s="58"/>
      <c r="BG804" s="58"/>
      <c r="BH804" s="58"/>
      <c r="BI804" s="58"/>
      <c r="BJ804" s="58"/>
      <c r="BK804" s="58"/>
      <c r="BL804" s="58"/>
      <c r="BM804" s="58"/>
      <c r="BN804" s="58"/>
      <c r="BO804" s="58"/>
      <c r="BP804" s="58"/>
      <c r="BQ804" s="58"/>
      <c r="BR804" s="58"/>
      <c r="BS804" s="58"/>
    </row>
    <row r="805" spans="1:71" ht="15.75" customHeight="1" x14ac:dyDescent="0.2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1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0"/>
      <c r="AP805" s="90"/>
      <c r="AQ805" s="92"/>
      <c r="AR805" s="92"/>
      <c r="AS805" s="92"/>
      <c r="AT805" s="92"/>
      <c r="AU805" s="92"/>
      <c r="AV805" s="92"/>
      <c r="AW805" s="92"/>
      <c r="AX805" s="92"/>
      <c r="AY805" s="92"/>
      <c r="AZ805" s="58"/>
      <c r="BA805" s="58"/>
      <c r="BB805" s="58"/>
      <c r="BC805" s="58"/>
      <c r="BD805" s="58"/>
      <c r="BE805" s="58"/>
      <c r="BF805" s="58"/>
      <c r="BG805" s="58"/>
      <c r="BH805" s="58"/>
      <c r="BI805" s="58"/>
      <c r="BJ805" s="58"/>
      <c r="BK805" s="58"/>
      <c r="BL805" s="58"/>
      <c r="BM805" s="58"/>
      <c r="BN805" s="58"/>
      <c r="BO805" s="58"/>
      <c r="BP805" s="58"/>
      <c r="BQ805" s="58"/>
      <c r="BR805" s="58"/>
      <c r="BS805" s="58"/>
    </row>
    <row r="806" spans="1:71" ht="15.75" customHeight="1" x14ac:dyDescent="0.2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1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2"/>
      <c r="AR806" s="92"/>
      <c r="AS806" s="92"/>
      <c r="AT806" s="92"/>
      <c r="AU806" s="92"/>
      <c r="AV806" s="92"/>
      <c r="AW806" s="92"/>
      <c r="AX806" s="92"/>
      <c r="AY806" s="92"/>
      <c r="AZ806" s="58"/>
      <c r="BA806" s="58"/>
      <c r="BB806" s="58"/>
      <c r="BC806" s="58"/>
      <c r="BD806" s="58"/>
      <c r="BE806" s="58"/>
      <c r="BF806" s="58"/>
      <c r="BG806" s="58"/>
      <c r="BH806" s="58"/>
      <c r="BI806" s="58"/>
      <c r="BJ806" s="58"/>
      <c r="BK806" s="58"/>
      <c r="BL806" s="58"/>
      <c r="BM806" s="58"/>
      <c r="BN806" s="58"/>
      <c r="BO806" s="58"/>
      <c r="BP806" s="58"/>
      <c r="BQ806" s="58"/>
      <c r="BR806" s="58"/>
      <c r="BS806" s="58"/>
    </row>
    <row r="807" spans="1:71" ht="15.75" customHeight="1" x14ac:dyDescent="0.2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1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0"/>
      <c r="AP807" s="90"/>
      <c r="AQ807" s="92"/>
      <c r="AR807" s="92"/>
      <c r="AS807" s="92"/>
      <c r="AT807" s="92"/>
      <c r="AU807" s="92"/>
      <c r="AV807" s="92"/>
      <c r="AW807" s="92"/>
      <c r="AX807" s="92"/>
      <c r="AY807" s="92"/>
      <c r="AZ807" s="58"/>
      <c r="BA807" s="58"/>
      <c r="BB807" s="58"/>
      <c r="BC807" s="58"/>
      <c r="BD807" s="58"/>
      <c r="BE807" s="58"/>
      <c r="BF807" s="58"/>
      <c r="BG807" s="58"/>
      <c r="BH807" s="58"/>
      <c r="BI807" s="58"/>
      <c r="BJ807" s="58"/>
      <c r="BK807" s="58"/>
      <c r="BL807" s="58"/>
      <c r="BM807" s="58"/>
      <c r="BN807" s="58"/>
      <c r="BO807" s="58"/>
      <c r="BP807" s="58"/>
      <c r="BQ807" s="58"/>
      <c r="BR807" s="58"/>
      <c r="BS807" s="58"/>
    </row>
    <row r="808" spans="1:71" ht="15.75" customHeight="1" x14ac:dyDescent="0.2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1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2"/>
      <c r="AR808" s="92"/>
      <c r="AS808" s="92"/>
      <c r="AT808" s="92"/>
      <c r="AU808" s="92"/>
      <c r="AV808" s="92"/>
      <c r="AW808" s="92"/>
      <c r="AX808" s="92"/>
      <c r="AY808" s="92"/>
      <c r="AZ808" s="58"/>
      <c r="BA808" s="58"/>
      <c r="BB808" s="58"/>
      <c r="BC808" s="58"/>
      <c r="BD808" s="58"/>
      <c r="BE808" s="58"/>
      <c r="BF808" s="58"/>
      <c r="BG808" s="58"/>
      <c r="BH808" s="58"/>
      <c r="BI808" s="58"/>
      <c r="BJ808" s="58"/>
      <c r="BK808" s="58"/>
      <c r="BL808" s="58"/>
      <c r="BM808" s="58"/>
      <c r="BN808" s="58"/>
      <c r="BO808" s="58"/>
      <c r="BP808" s="58"/>
      <c r="BQ808" s="58"/>
      <c r="BR808" s="58"/>
      <c r="BS808" s="58"/>
    </row>
    <row r="809" spans="1:71" ht="15.75" customHeight="1" x14ac:dyDescent="0.2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1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0"/>
      <c r="AP809" s="90"/>
      <c r="AQ809" s="92"/>
      <c r="AR809" s="92"/>
      <c r="AS809" s="92"/>
      <c r="AT809" s="92"/>
      <c r="AU809" s="92"/>
      <c r="AV809" s="92"/>
      <c r="AW809" s="92"/>
      <c r="AX809" s="92"/>
      <c r="AY809" s="92"/>
      <c r="AZ809" s="58"/>
      <c r="BA809" s="58"/>
      <c r="BB809" s="58"/>
      <c r="BC809" s="58"/>
      <c r="BD809" s="58"/>
      <c r="BE809" s="58"/>
      <c r="BF809" s="58"/>
      <c r="BG809" s="58"/>
      <c r="BH809" s="58"/>
      <c r="BI809" s="58"/>
      <c r="BJ809" s="58"/>
      <c r="BK809" s="58"/>
      <c r="BL809" s="58"/>
      <c r="BM809" s="58"/>
      <c r="BN809" s="58"/>
      <c r="BO809" s="58"/>
      <c r="BP809" s="58"/>
      <c r="BQ809" s="58"/>
      <c r="BR809" s="58"/>
      <c r="BS809" s="58"/>
    </row>
    <row r="810" spans="1:71" ht="15.75" customHeight="1" x14ac:dyDescent="0.2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1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2"/>
      <c r="AR810" s="92"/>
      <c r="AS810" s="92"/>
      <c r="AT810" s="92"/>
      <c r="AU810" s="92"/>
      <c r="AV810" s="92"/>
      <c r="AW810" s="92"/>
      <c r="AX810" s="92"/>
      <c r="AY810" s="92"/>
      <c r="AZ810" s="58"/>
      <c r="BA810" s="58"/>
      <c r="BB810" s="58"/>
      <c r="BC810" s="58"/>
      <c r="BD810" s="58"/>
      <c r="BE810" s="58"/>
      <c r="BF810" s="58"/>
      <c r="BG810" s="58"/>
      <c r="BH810" s="58"/>
      <c r="BI810" s="58"/>
      <c r="BJ810" s="58"/>
      <c r="BK810" s="58"/>
      <c r="BL810" s="58"/>
      <c r="BM810" s="58"/>
      <c r="BN810" s="58"/>
      <c r="BO810" s="58"/>
      <c r="BP810" s="58"/>
      <c r="BQ810" s="58"/>
      <c r="BR810" s="58"/>
      <c r="BS810" s="58"/>
    </row>
    <row r="811" spans="1:71" ht="15.75" customHeight="1" x14ac:dyDescent="0.2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1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0"/>
      <c r="AP811" s="90"/>
      <c r="AQ811" s="92"/>
      <c r="AR811" s="92"/>
      <c r="AS811" s="92"/>
      <c r="AT811" s="92"/>
      <c r="AU811" s="92"/>
      <c r="AV811" s="92"/>
      <c r="AW811" s="92"/>
      <c r="AX811" s="92"/>
      <c r="AY811" s="92"/>
      <c r="AZ811" s="58"/>
      <c r="BA811" s="58"/>
      <c r="BB811" s="58"/>
      <c r="BC811" s="58"/>
      <c r="BD811" s="58"/>
      <c r="BE811" s="58"/>
      <c r="BF811" s="58"/>
      <c r="BG811" s="58"/>
      <c r="BH811" s="58"/>
      <c r="BI811" s="58"/>
      <c r="BJ811" s="58"/>
      <c r="BK811" s="58"/>
      <c r="BL811" s="58"/>
      <c r="BM811" s="58"/>
      <c r="BN811" s="58"/>
      <c r="BO811" s="58"/>
      <c r="BP811" s="58"/>
      <c r="BQ811" s="58"/>
      <c r="BR811" s="58"/>
      <c r="BS811" s="58"/>
    </row>
    <row r="812" spans="1:71" ht="15.75" customHeight="1" x14ac:dyDescent="0.2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1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2"/>
      <c r="AR812" s="92"/>
      <c r="AS812" s="92"/>
      <c r="AT812" s="92"/>
      <c r="AU812" s="92"/>
      <c r="AV812" s="92"/>
      <c r="AW812" s="92"/>
      <c r="AX812" s="92"/>
      <c r="AY812" s="92"/>
      <c r="AZ812" s="58"/>
      <c r="BA812" s="58"/>
      <c r="BB812" s="58"/>
      <c r="BC812" s="58"/>
      <c r="BD812" s="58"/>
      <c r="BE812" s="58"/>
      <c r="BF812" s="58"/>
      <c r="BG812" s="58"/>
      <c r="BH812" s="58"/>
      <c r="BI812" s="58"/>
      <c r="BJ812" s="58"/>
      <c r="BK812" s="58"/>
      <c r="BL812" s="58"/>
      <c r="BM812" s="58"/>
      <c r="BN812" s="58"/>
      <c r="BO812" s="58"/>
      <c r="BP812" s="58"/>
      <c r="BQ812" s="58"/>
      <c r="BR812" s="58"/>
      <c r="BS812" s="58"/>
    </row>
    <row r="813" spans="1:71" ht="15.75" customHeight="1" x14ac:dyDescent="0.2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1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0"/>
      <c r="AP813" s="90"/>
      <c r="AQ813" s="92"/>
      <c r="AR813" s="92"/>
      <c r="AS813" s="92"/>
      <c r="AT813" s="92"/>
      <c r="AU813" s="92"/>
      <c r="AV813" s="92"/>
      <c r="AW813" s="92"/>
      <c r="AX813" s="92"/>
      <c r="AY813" s="92"/>
      <c r="AZ813" s="58"/>
      <c r="BA813" s="58"/>
      <c r="BB813" s="58"/>
      <c r="BC813" s="58"/>
      <c r="BD813" s="58"/>
      <c r="BE813" s="58"/>
      <c r="BF813" s="58"/>
      <c r="BG813" s="58"/>
      <c r="BH813" s="58"/>
      <c r="BI813" s="58"/>
      <c r="BJ813" s="58"/>
      <c r="BK813" s="58"/>
      <c r="BL813" s="58"/>
      <c r="BM813" s="58"/>
      <c r="BN813" s="58"/>
      <c r="BO813" s="58"/>
      <c r="BP813" s="58"/>
      <c r="BQ813" s="58"/>
      <c r="BR813" s="58"/>
      <c r="BS813" s="58"/>
    </row>
    <row r="814" spans="1:71" ht="15.75" customHeight="1" x14ac:dyDescent="0.2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1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2"/>
      <c r="AR814" s="92"/>
      <c r="AS814" s="92"/>
      <c r="AT814" s="92"/>
      <c r="AU814" s="92"/>
      <c r="AV814" s="92"/>
      <c r="AW814" s="92"/>
      <c r="AX814" s="92"/>
      <c r="AY814" s="92"/>
      <c r="AZ814" s="58"/>
      <c r="BA814" s="58"/>
      <c r="BB814" s="58"/>
      <c r="BC814" s="58"/>
      <c r="BD814" s="58"/>
      <c r="BE814" s="58"/>
      <c r="BF814" s="58"/>
      <c r="BG814" s="58"/>
      <c r="BH814" s="58"/>
      <c r="BI814" s="58"/>
      <c r="BJ814" s="58"/>
      <c r="BK814" s="58"/>
      <c r="BL814" s="58"/>
      <c r="BM814" s="58"/>
      <c r="BN814" s="58"/>
      <c r="BO814" s="58"/>
      <c r="BP814" s="58"/>
      <c r="BQ814" s="58"/>
      <c r="BR814" s="58"/>
      <c r="BS814" s="58"/>
    </row>
    <row r="815" spans="1:71" ht="15.75" customHeight="1" x14ac:dyDescent="0.2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1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0"/>
      <c r="AP815" s="90"/>
      <c r="AQ815" s="92"/>
      <c r="AR815" s="92"/>
      <c r="AS815" s="92"/>
      <c r="AT815" s="92"/>
      <c r="AU815" s="92"/>
      <c r="AV815" s="92"/>
      <c r="AW815" s="92"/>
      <c r="AX815" s="92"/>
      <c r="AY815" s="92"/>
      <c r="AZ815" s="58"/>
      <c r="BA815" s="58"/>
      <c r="BB815" s="58"/>
      <c r="BC815" s="58"/>
      <c r="BD815" s="58"/>
      <c r="BE815" s="58"/>
      <c r="BF815" s="58"/>
      <c r="BG815" s="58"/>
      <c r="BH815" s="58"/>
      <c r="BI815" s="58"/>
      <c r="BJ815" s="58"/>
      <c r="BK815" s="58"/>
      <c r="BL815" s="58"/>
      <c r="BM815" s="58"/>
      <c r="BN815" s="58"/>
      <c r="BO815" s="58"/>
      <c r="BP815" s="58"/>
      <c r="BQ815" s="58"/>
      <c r="BR815" s="58"/>
      <c r="BS815" s="58"/>
    </row>
    <row r="816" spans="1:71" ht="15.75" customHeight="1" x14ac:dyDescent="0.2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1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2"/>
      <c r="AR816" s="92"/>
      <c r="AS816" s="92"/>
      <c r="AT816" s="92"/>
      <c r="AU816" s="92"/>
      <c r="AV816" s="92"/>
      <c r="AW816" s="92"/>
      <c r="AX816" s="92"/>
      <c r="AY816" s="92"/>
      <c r="AZ816" s="58"/>
      <c r="BA816" s="58"/>
      <c r="BB816" s="58"/>
      <c r="BC816" s="58"/>
      <c r="BD816" s="58"/>
      <c r="BE816" s="58"/>
      <c r="BF816" s="58"/>
      <c r="BG816" s="58"/>
      <c r="BH816" s="58"/>
      <c r="BI816" s="58"/>
      <c r="BJ816" s="58"/>
      <c r="BK816" s="58"/>
      <c r="BL816" s="58"/>
      <c r="BM816" s="58"/>
      <c r="BN816" s="58"/>
      <c r="BO816" s="58"/>
      <c r="BP816" s="58"/>
      <c r="BQ816" s="58"/>
      <c r="BR816" s="58"/>
      <c r="BS816" s="58"/>
    </row>
    <row r="817" spans="1:71" ht="15.75" customHeight="1" x14ac:dyDescent="0.2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1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0"/>
      <c r="AP817" s="90"/>
      <c r="AQ817" s="92"/>
      <c r="AR817" s="92"/>
      <c r="AS817" s="92"/>
      <c r="AT817" s="92"/>
      <c r="AU817" s="92"/>
      <c r="AV817" s="92"/>
      <c r="AW817" s="92"/>
      <c r="AX817" s="92"/>
      <c r="AY817" s="92"/>
      <c r="AZ817" s="58"/>
      <c r="BA817" s="58"/>
      <c r="BB817" s="58"/>
      <c r="BC817" s="58"/>
      <c r="BD817" s="58"/>
      <c r="BE817" s="58"/>
      <c r="BF817" s="58"/>
      <c r="BG817" s="58"/>
      <c r="BH817" s="58"/>
      <c r="BI817" s="58"/>
      <c r="BJ817" s="58"/>
      <c r="BK817" s="58"/>
      <c r="BL817" s="58"/>
      <c r="BM817" s="58"/>
      <c r="BN817" s="58"/>
      <c r="BO817" s="58"/>
      <c r="BP817" s="58"/>
      <c r="BQ817" s="58"/>
      <c r="BR817" s="58"/>
      <c r="BS817" s="58"/>
    </row>
    <row r="818" spans="1:71" ht="15.75" customHeight="1" x14ac:dyDescent="0.2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1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2"/>
      <c r="AR818" s="92"/>
      <c r="AS818" s="92"/>
      <c r="AT818" s="92"/>
      <c r="AU818" s="92"/>
      <c r="AV818" s="92"/>
      <c r="AW818" s="92"/>
      <c r="AX818" s="92"/>
      <c r="AY818" s="92"/>
      <c r="AZ818" s="58"/>
      <c r="BA818" s="58"/>
      <c r="BB818" s="58"/>
      <c r="BC818" s="58"/>
      <c r="BD818" s="58"/>
      <c r="BE818" s="58"/>
      <c r="BF818" s="58"/>
      <c r="BG818" s="58"/>
      <c r="BH818" s="58"/>
      <c r="BI818" s="58"/>
      <c r="BJ818" s="58"/>
      <c r="BK818" s="58"/>
      <c r="BL818" s="58"/>
      <c r="BM818" s="58"/>
      <c r="BN818" s="58"/>
      <c r="BO818" s="58"/>
      <c r="BP818" s="58"/>
      <c r="BQ818" s="58"/>
      <c r="BR818" s="58"/>
      <c r="BS818" s="58"/>
    </row>
    <row r="819" spans="1:71" ht="15.75" customHeight="1" x14ac:dyDescent="0.2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1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0"/>
      <c r="AP819" s="90"/>
      <c r="AQ819" s="92"/>
      <c r="AR819" s="92"/>
      <c r="AS819" s="92"/>
      <c r="AT819" s="92"/>
      <c r="AU819" s="92"/>
      <c r="AV819" s="92"/>
      <c r="AW819" s="92"/>
      <c r="AX819" s="92"/>
      <c r="AY819" s="92"/>
      <c r="AZ819" s="58"/>
      <c r="BA819" s="58"/>
      <c r="BB819" s="58"/>
      <c r="BC819" s="58"/>
      <c r="BD819" s="58"/>
      <c r="BE819" s="58"/>
      <c r="BF819" s="58"/>
      <c r="BG819" s="58"/>
      <c r="BH819" s="58"/>
      <c r="BI819" s="58"/>
      <c r="BJ819" s="58"/>
      <c r="BK819" s="58"/>
      <c r="BL819" s="58"/>
      <c r="BM819" s="58"/>
      <c r="BN819" s="58"/>
      <c r="BO819" s="58"/>
      <c r="BP819" s="58"/>
      <c r="BQ819" s="58"/>
      <c r="BR819" s="58"/>
      <c r="BS819" s="58"/>
    </row>
    <row r="820" spans="1:71" ht="15.75" customHeight="1" x14ac:dyDescent="0.2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1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2"/>
      <c r="AR820" s="92"/>
      <c r="AS820" s="92"/>
      <c r="AT820" s="92"/>
      <c r="AU820" s="92"/>
      <c r="AV820" s="92"/>
      <c r="AW820" s="92"/>
      <c r="AX820" s="92"/>
      <c r="AY820" s="92"/>
      <c r="AZ820" s="58"/>
      <c r="BA820" s="58"/>
      <c r="BB820" s="58"/>
      <c r="BC820" s="58"/>
      <c r="BD820" s="58"/>
      <c r="BE820" s="58"/>
      <c r="BF820" s="58"/>
      <c r="BG820" s="58"/>
      <c r="BH820" s="58"/>
      <c r="BI820" s="58"/>
      <c r="BJ820" s="58"/>
      <c r="BK820" s="58"/>
      <c r="BL820" s="58"/>
      <c r="BM820" s="58"/>
      <c r="BN820" s="58"/>
      <c r="BO820" s="58"/>
      <c r="BP820" s="58"/>
      <c r="BQ820" s="58"/>
      <c r="BR820" s="58"/>
      <c r="BS820" s="58"/>
    </row>
    <row r="821" spans="1:71" ht="15.75" customHeight="1" x14ac:dyDescent="0.2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1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0"/>
      <c r="AP821" s="90"/>
      <c r="AQ821" s="92"/>
      <c r="AR821" s="92"/>
      <c r="AS821" s="92"/>
      <c r="AT821" s="92"/>
      <c r="AU821" s="92"/>
      <c r="AV821" s="92"/>
      <c r="AW821" s="92"/>
      <c r="AX821" s="92"/>
      <c r="AY821" s="92"/>
      <c r="AZ821" s="58"/>
      <c r="BA821" s="58"/>
      <c r="BB821" s="58"/>
      <c r="BC821" s="58"/>
      <c r="BD821" s="58"/>
      <c r="BE821" s="58"/>
      <c r="BF821" s="58"/>
      <c r="BG821" s="58"/>
      <c r="BH821" s="58"/>
      <c r="BI821" s="58"/>
      <c r="BJ821" s="58"/>
      <c r="BK821" s="58"/>
      <c r="BL821" s="58"/>
      <c r="BM821" s="58"/>
      <c r="BN821" s="58"/>
      <c r="BO821" s="58"/>
      <c r="BP821" s="58"/>
      <c r="BQ821" s="58"/>
      <c r="BR821" s="58"/>
      <c r="BS821" s="58"/>
    </row>
    <row r="822" spans="1:71" ht="15.75" customHeight="1" x14ac:dyDescent="0.2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1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2"/>
      <c r="AR822" s="92"/>
      <c r="AS822" s="92"/>
      <c r="AT822" s="92"/>
      <c r="AU822" s="92"/>
      <c r="AV822" s="92"/>
      <c r="AW822" s="92"/>
      <c r="AX822" s="92"/>
      <c r="AY822" s="92"/>
      <c r="AZ822" s="58"/>
      <c r="BA822" s="58"/>
      <c r="BB822" s="58"/>
      <c r="BC822" s="58"/>
      <c r="BD822" s="58"/>
      <c r="BE822" s="58"/>
      <c r="BF822" s="58"/>
      <c r="BG822" s="58"/>
      <c r="BH822" s="58"/>
      <c r="BI822" s="58"/>
      <c r="BJ822" s="58"/>
      <c r="BK822" s="58"/>
      <c r="BL822" s="58"/>
      <c r="BM822" s="58"/>
      <c r="BN822" s="58"/>
      <c r="BO822" s="58"/>
      <c r="BP822" s="58"/>
      <c r="BQ822" s="58"/>
      <c r="BR822" s="58"/>
      <c r="BS822" s="58"/>
    </row>
    <row r="823" spans="1:71" ht="15.75" customHeight="1" x14ac:dyDescent="0.2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1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0"/>
      <c r="AP823" s="90"/>
      <c r="AQ823" s="92"/>
      <c r="AR823" s="92"/>
      <c r="AS823" s="92"/>
      <c r="AT823" s="92"/>
      <c r="AU823" s="92"/>
      <c r="AV823" s="92"/>
      <c r="AW823" s="92"/>
      <c r="AX823" s="92"/>
      <c r="AY823" s="92"/>
      <c r="AZ823" s="58"/>
      <c r="BA823" s="58"/>
      <c r="BB823" s="58"/>
      <c r="BC823" s="58"/>
      <c r="BD823" s="58"/>
      <c r="BE823" s="58"/>
      <c r="BF823" s="58"/>
      <c r="BG823" s="58"/>
      <c r="BH823" s="58"/>
      <c r="BI823" s="58"/>
      <c r="BJ823" s="58"/>
      <c r="BK823" s="58"/>
      <c r="BL823" s="58"/>
      <c r="BM823" s="58"/>
      <c r="BN823" s="58"/>
      <c r="BO823" s="58"/>
      <c r="BP823" s="58"/>
      <c r="BQ823" s="58"/>
      <c r="BR823" s="58"/>
      <c r="BS823" s="58"/>
    </row>
    <row r="824" spans="1:71" ht="15.75" customHeight="1" x14ac:dyDescent="0.2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1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2"/>
      <c r="AR824" s="92"/>
      <c r="AS824" s="92"/>
      <c r="AT824" s="92"/>
      <c r="AU824" s="92"/>
      <c r="AV824" s="92"/>
      <c r="AW824" s="92"/>
      <c r="AX824" s="92"/>
      <c r="AY824" s="92"/>
      <c r="AZ824" s="58"/>
      <c r="BA824" s="58"/>
      <c r="BB824" s="58"/>
      <c r="BC824" s="58"/>
      <c r="BD824" s="58"/>
      <c r="BE824" s="58"/>
      <c r="BF824" s="58"/>
      <c r="BG824" s="58"/>
      <c r="BH824" s="58"/>
      <c r="BI824" s="58"/>
      <c r="BJ824" s="58"/>
      <c r="BK824" s="58"/>
      <c r="BL824" s="58"/>
      <c r="BM824" s="58"/>
      <c r="BN824" s="58"/>
      <c r="BO824" s="58"/>
      <c r="BP824" s="58"/>
      <c r="BQ824" s="58"/>
      <c r="BR824" s="58"/>
      <c r="BS824" s="58"/>
    </row>
    <row r="825" spans="1:71" ht="15.75" customHeight="1" x14ac:dyDescent="0.2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1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0"/>
      <c r="AP825" s="90"/>
      <c r="AQ825" s="92"/>
      <c r="AR825" s="92"/>
      <c r="AS825" s="92"/>
      <c r="AT825" s="92"/>
      <c r="AU825" s="92"/>
      <c r="AV825" s="92"/>
      <c r="AW825" s="92"/>
      <c r="AX825" s="92"/>
      <c r="AY825" s="92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</row>
    <row r="826" spans="1:71" ht="15.75" customHeight="1" x14ac:dyDescent="0.2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1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2"/>
      <c r="AR826" s="92"/>
      <c r="AS826" s="92"/>
      <c r="AT826" s="92"/>
      <c r="AU826" s="92"/>
      <c r="AV826" s="92"/>
      <c r="AW826" s="92"/>
      <c r="AX826" s="92"/>
      <c r="AY826" s="92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</row>
    <row r="827" spans="1:71" ht="15.75" customHeight="1" x14ac:dyDescent="0.2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1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0"/>
      <c r="AP827" s="90"/>
      <c r="AQ827" s="92"/>
      <c r="AR827" s="92"/>
      <c r="AS827" s="92"/>
      <c r="AT827" s="92"/>
      <c r="AU827" s="92"/>
      <c r="AV827" s="92"/>
      <c r="AW827" s="92"/>
      <c r="AX827" s="92"/>
      <c r="AY827" s="92"/>
      <c r="AZ827" s="58"/>
      <c r="BA827" s="58"/>
      <c r="BB827" s="58"/>
      <c r="BC827" s="58"/>
      <c r="BD827" s="58"/>
      <c r="BE827" s="58"/>
      <c r="BF827" s="58"/>
      <c r="BG827" s="58"/>
      <c r="BH827" s="58"/>
      <c r="BI827" s="58"/>
      <c r="BJ827" s="58"/>
      <c r="BK827" s="58"/>
      <c r="BL827" s="58"/>
      <c r="BM827" s="58"/>
      <c r="BN827" s="58"/>
      <c r="BO827" s="58"/>
      <c r="BP827" s="58"/>
      <c r="BQ827" s="58"/>
      <c r="BR827" s="58"/>
      <c r="BS827" s="58"/>
    </row>
    <row r="828" spans="1:71" ht="15.75" customHeight="1" x14ac:dyDescent="0.2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1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2"/>
      <c r="AR828" s="92"/>
      <c r="AS828" s="92"/>
      <c r="AT828" s="92"/>
      <c r="AU828" s="92"/>
      <c r="AV828" s="92"/>
      <c r="AW828" s="92"/>
      <c r="AX828" s="92"/>
      <c r="AY828" s="92"/>
      <c r="AZ828" s="58"/>
      <c r="BA828" s="58"/>
      <c r="BB828" s="58"/>
      <c r="BC828" s="58"/>
      <c r="BD828" s="58"/>
      <c r="BE828" s="58"/>
      <c r="BF828" s="58"/>
      <c r="BG828" s="58"/>
      <c r="BH828" s="58"/>
      <c r="BI828" s="58"/>
      <c r="BJ828" s="58"/>
      <c r="BK828" s="58"/>
      <c r="BL828" s="58"/>
      <c r="BM828" s="58"/>
      <c r="BN828" s="58"/>
      <c r="BO828" s="58"/>
      <c r="BP828" s="58"/>
      <c r="BQ828" s="58"/>
      <c r="BR828" s="58"/>
      <c r="BS828" s="58"/>
    </row>
    <row r="829" spans="1:71" ht="15.75" customHeight="1" x14ac:dyDescent="0.2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1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0"/>
      <c r="AP829" s="90"/>
      <c r="AQ829" s="92"/>
      <c r="AR829" s="92"/>
      <c r="AS829" s="92"/>
      <c r="AT829" s="92"/>
      <c r="AU829" s="92"/>
      <c r="AV829" s="92"/>
      <c r="AW829" s="92"/>
      <c r="AX829" s="92"/>
      <c r="AY829" s="92"/>
      <c r="AZ829" s="58"/>
      <c r="BA829" s="58"/>
      <c r="BB829" s="58"/>
      <c r="BC829" s="58"/>
      <c r="BD829" s="58"/>
      <c r="BE829" s="58"/>
      <c r="BF829" s="58"/>
      <c r="BG829" s="58"/>
      <c r="BH829" s="58"/>
      <c r="BI829" s="58"/>
      <c r="BJ829" s="58"/>
      <c r="BK829" s="58"/>
      <c r="BL829" s="58"/>
      <c r="BM829" s="58"/>
      <c r="BN829" s="58"/>
      <c r="BO829" s="58"/>
      <c r="BP829" s="58"/>
      <c r="BQ829" s="58"/>
      <c r="BR829" s="58"/>
      <c r="BS829" s="58"/>
    </row>
    <row r="830" spans="1:71" ht="15.75" customHeight="1" x14ac:dyDescent="0.2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1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2"/>
      <c r="AR830" s="92"/>
      <c r="AS830" s="92"/>
      <c r="AT830" s="92"/>
      <c r="AU830" s="92"/>
      <c r="AV830" s="92"/>
      <c r="AW830" s="92"/>
      <c r="AX830" s="92"/>
      <c r="AY830" s="92"/>
      <c r="AZ830" s="58"/>
      <c r="BA830" s="58"/>
      <c r="BB830" s="58"/>
      <c r="BC830" s="58"/>
      <c r="BD830" s="58"/>
      <c r="BE830" s="58"/>
      <c r="BF830" s="58"/>
      <c r="BG830" s="58"/>
      <c r="BH830" s="58"/>
      <c r="BI830" s="58"/>
      <c r="BJ830" s="58"/>
      <c r="BK830" s="58"/>
      <c r="BL830" s="58"/>
      <c r="BM830" s="58"/>
      <c r="BN830" s="58"/>
      <c r="BO830" s="58"/>
      <c r="BP830" s="58"/>
      <c r="BQ830" s="58"/>
      <c r="BR830" s="58"/>
      <c r="BS830" s="58"/>
    </row>
    <row r="831" spans="1:71" ht="15.75" customHeight="1" x14ac:dyDescent="0.2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1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0"/>
      <c r="AP831" s="90"/>
      <c r="AQ831" s="92"/>
      <c r="AR831" s="92"/>
      <c r="AS831" s="92"/>
      <c r="AT831" s="92"/>
      <c r="AU831" s="92"/>
      <c r="AV831" s="92"/>
      <c r="AW831" s="92"/>
      <c r="AX831" s="92"/>
      <c r="AY831" s="92"/>
      <c r="AZ831" s="58"/>
      <c r="BA831" s="58"/>
      <c r="BB831" s="58"/>
      <c r="BC831" s="58"/>
      <c r="BD831" s="58"/>
      <c r="BE831" s="58"/>
      <c r="BF831" s="58"/>
      <c r="BG831" s="58"/>
      <c r="BH831" s="58"/>
      <c r="BI831" s="58"/>
      <c r="BJ831" s="58"/>
      <c r="BK831" s="58"/>
      <c r="BL831" s="58"/>
      <c r="BM831" s="58"/>
      <c r="BN831" s="58"/>
      <c r="BO831" s="58"/>
      <c r="BP831" s="58"/>
      <c r="BQ831" s="58"/>
      <c r="BR831" s="58"/>
      <c r="BS831" s="58"/>
    </row>
    <row r="832" spans="1:71" ht="15.75" customHeight="1" x14ac:dyDescent="0.2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1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2"/>
      <c r="AR832" s="92"/>
      <c r="AS832" s="92"/>
      <c r="AT832" s="92"/>
      <c r="AU832" s="92"/>
      <c r="AV832" s="92"/>
      <c r="AW832" s="92"/>
      <c r="AX832" s="92"/>
      <c r="AY832" s="92"/>
      <c r="AZ832" s="58"/>
      <c r="BA832" s="58"/>
      <c r="BB832" s="58"/>
      <c r="BC832" s="58"/>
      <c r="BD832" s="58"/>
      <c r="BE832" s="58"/>
      <c r="BF832" s="58"/>
      <c r="BG832" s="58"/>
      <c r="BH832" s="58"/>
      <c r="BI832" s="58"/>
      <c r="BJ832" s="58"/>
      <c r="BK832" s="58"/>
      <c r="BL832" s="58"/>
      <c r="BM832" s="58"/>
      <c r="BN832" s="58"/>
      <c r="BO832" s="58"/>
      <c r="BP832" s="58"/>
      <c r="BQ832" s="58"/>
      <c r="BR832" s="58"/>
      <c r="BS832" s="58"/>
    </row>
    <row r="833" spans="1:71" ht="15.75" customHeight="1" x14ac:dyDescent="0.2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1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0"/>
      <c r="AP833" s="90"/>
      <c r="AQ833" s="92"/>
      <c r="AR833" s="92"/>
      <c r="AS833" s="92"/>
      <c r="AT833" s="92"/>
      <c r="AU833" s="92"/>
      <c r="AV833" s="92"/>
      <c r="AW833" s="92"/>
      <c r="AX833" s="92"/>
      <c r="AY833" s="92"/>
      <c r="AZ833" s="58"/>
      <c r="BA833" s="58"/>
      <c r="BB833" s="58"/>
      <c r="BC833" s="58"/>
      <c r="BD833" s="58"/>
      <c r="BE833" s="58"/>
      <c r="BF833" s="58"/>
      <c r="BG833" s="58"/>
      <c r="BH833" s="58"/>
      <c r="BI833" s="58"/>
      <c r="BJ833" s="58"/>
      <c r="BK833" s="58"/>
      <c r="BL833" s="58"/>
      <c r="BM833" s="58"/>
      <c r="BN833" s="58"/>
      <c r="BO833" s="58"/>
      <c r="BP833" s="58"/>
      <c r="BQ833" s="58"/>
      <c r="BR833" s="58"/>
      <c r="BS833" s="58"/>
    </row>
    <row r="834" spans="1:71" ht="15.75" customHeight="1" x14ac:dyDescent="0.2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1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2"/>
      <c r="AR834" s="92"/>
      <c r="AS834" s="92"/>
      <c r="AT834" s="92"/>
      <c r="AU834" s="92"/>
      <c r="AV834" s="92"/>
      <c r="AW834" s="92"/>
      <c r="AX834" s="92"/>
      <c r="AY834" s="92"/>
      <c r="AZ834" s="58"/>
      <c r="BA834" s="58"/>
      <c r="BB834" s="58"/>
      <c r="BC834" s="58"/>
      <c r="BD834" s="58"/>
      <c r="BE834" s="58"/>
      <c r="BF834" s="58"/>
      <c r="BG834" s="58"/>
      <c r="BH834" s="58"/>
      <c r="BI834" s="58"/>
      <c r="BJ834" s="58"/>
      <c r="BK834" s="58"/>
      <c r="BL834" s="58"/>
      <c r="BM834" s="58"/>
      <c r="BN834" s="58"/>
      <c r="BO834" s="58"/>
      <c r="BP834" s="58"/>
      <c r="BQ834" s="58"/>
      <c r="BR834" s="58"/>
      <c r="BS834" s="58"/>
    </row>
    <row r="835" spans="1:71" ht="15.75" customHeight="1" x14ac:dyDescent="0.2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1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0"/>
      <c r="AP835" s="90"/>
      <c r="AQ835" s="92"/>
      <c r="AR835" s="92"/>
      <c r="AS835" s="92"/>
      <c r="AT835" s="92"/>
      <c r="AU835" s="92"/>
      <c r="AV835" s="92"/>
      <c r="AW835" s="92"/>
      <c r="AX835" s="92"/>
      <c r="AY835" s="92"/>
      <c r="AZ835" s="58"/>
      <c r="BA835" s="58"/>
      <c r="BB835" s="58"/>
      <c r="BC835" s="58"/>
      <c r="BD835" s="58"/>
      <c r="BE835" s="58"/>
      <c r="BF835" s="58"/>
      <c r="BG835" s="58"/>
      <c r="BH835" s="58"/>
      <c r="BI835" s="58"/>
      <c r="BJ835" s="58"/>
      <c r="BK835" s="58"/>
      <c r="BL835" s="58"/>
      <c r="BM835" s="58"/>
      <c r="BN835" s="58"/>
      <c r="BO835" s="58"/>
      <c r="BP835" s="58"/>
      <c r="BQ835" s="58"/>
      <c r="BR835" s="58"/>
      <c r="BS835" s="58"/>
    </row>
    <row r="836" spans="1:71" ht="15.75" customHeight="1" x14ac:dyDescent="0.2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1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2"/>
      <c r="AR836" s="92"/>
      <c r="AS836" s="92"/>
      <c r="AT836" s="92"/>
      <c r="AU836" s="92"/>
      <c r="AV836" s="92"/>
      <c r="AW836" s="92"/>
      <c r="AX836" s="92"/>
      <c r="AY836" s="92"/>
      <c r="AZ836" s="58"/>
      <c r="BA836" s="58"/>
      <c r="BB836" s="58"/>
      <c r="BC836" s="58"/>
      <c r="BD836" s="58"/>
      <c r="BE836" s="58"/>
      <c r="BF836" s="58"/>
      <c r="BG836" s="58"/>
      <c r="BH836" s="58"/>
      <c r="BI836" s="58"/>
      <c r="BJ836" s="58"/>
      <c r="BK836" s="58"/>
      <c r="BL836" s="58"/>
      <c r="BM836" s="58"/>
      <c r="BN836" s="58"/>
      <c r="BO836" s="58"/>
      <c r="BP836" s="58"/>
      <c r="BQ836" s="58"/>
      <c r="BR836" s="58"/>
      <c r="BS836" s="58"/>
    </row>
    <row r="837" spans="1:71" ht="15.75" customHeight="1" x14ac:dyDescent="0.2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1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0"/>
      <c r="AP837" s="90"/>
      <c r="AQ837" s="92"/>
      <c r="AR837" s="92"/>
      <c r="AS837" s="92"/>
      <c r="AT837" s="92"/>
      <c r="AU837" s="92"/>
      <c r="AV837" s="92"/>
      <c r="AW837" s="92"/>
      <c r="AX837" s="92"/>
      <c r="AY837" s="92"/>
      <c r="AZ837" s="58"/>
      <c r="BA837" s="58"/>
      <c r="BB837" s="58"/>
      <c r="BC837" s="58"/>
      <c r="BD837" s="58"/>
      <c r="BE837" s="58"/>
      <c r="BF837" s="58"/>
      <c r="BG837" s="58"/>
      <c r="BH837" s="58"/>
      <c r="BI837" s="58"/>
      <c r="BJ837" s="58"/>
      <c r="BK837" s="58"/>
      <c r="BL837" s="58"/>
      <c r="BM837" s="58"/>
      <c r="BN837" s="58"/>
      <c r="BO837" s="58"/>
      <c r="BP837" s="58"/>
      <c r="BQ837" s="58"/>
      <c r="BR837" s="58"/>
      <c r="BS837" s="58"/>
    </row>
    <row r="838" spans="1:71" ht="15.75" customHeight="1" x14ac:dyDescent="0.2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1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2"/>
      <c r="AR838" s="92"/>
      <c r="AS838" s="92"/>
      <c r="AT838" s="92"/>
      <c r="AU838" s="92"/>
      <c r="AV838" s="92"/>
      <c r="AW838" s="92"/>
      <c r="AX838" s="92"/>
      <c r="AY838" s="92"/>
      <c r="AZ838" s="58"/>
      <c r="BA838" s="58"/>
      <c r="BB838" s="58"/>
      <c r="BC838" s="58"/>
      <c r="BD838" s="58"/>
      <c r="BE838" s="58"/>
      <c r="BF838" s="58"/>
      <c r="BG838" s="58"/>
      <c r="BH838" s="58"/>
      <c r="BI838" s="58"/>
      <c r="BJ838" s="58"/>
      <c r="BK838" s="58"/>
      <c r="BL838" s="58"/>
      <c r="BM838" s="58"/>
      <c r="BN838" s="58"/>
      <c r="BO838" s="58"/>
      <c r="BP838" s="58"/>
      <c r="BQ838" s="58"/>
      <c r="BR838" s="58"/>
      <c r="BS838" s="58"/>
    </row>
    <row r="839" spans="1:71" ht="15.75" customHeight="1" x14ac:dyDescent="0.2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1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0"/>
      <c r="AP839" s="90"/>
      <c r="AQ839" s="92"/>
      <c r="AR839" s="92"/>
      <c r="AS839" s="92"/>
      <c r="AT839" s="92"/>
      <c r="AU839" s="92"/>
      <c r="AV839" s="92"/>
      <c r="AW839" s="92"/>
      <c r="AX839" s="92"/>
      <c r="AY839" s="92"/>
      <c r="AZ839" s="58"/>
      <c r="BA839" s="58"/>
      <c r="BB839" s="58"/>
      <c r="BC839" s="58"/>
      <c r="BD839" s="58"/>
      <c r="BE839" s="58"/>
      <c r="BF839" s="58"/>
      <c r="BG839" s="58"/>
      <c r="BH839" s="58"/>
      <c r="BI839" s="58"/>
      <c r="BJ839" s="58"/>
      <c r="BK839" s="58"/>
      <c r="BL839" s="58"/>
      <c r="BM839" s="58"/>
      <c r="BN839" s="58"/>
      <c r="BO839" s="58"/>
      <c r="BP839" s="58"/>
      <c r="BQ839" s="58"/>
      <c r="BR839" s="58"/>
      <c r="BS839" s="58"/>
    </row>
    <row r="840" spans="1:71" ht="15.75" customHeight="1" x14ac:dyDescent="0.2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1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2"/>
      <c r="AR840" s="92"/>
      <c r="AS840" s="92"/>
      <c r="AT840" s="92"/>
      <c r="AU840" s="92"/>
      <c r="AV840" s="92"/>
      <c r="AW840" s="92"/>
      <c r="AX840" s="92"/>
      <c r="AY840" s="92"/>
      <c r="AZ840" s="58"/>
      <c r="BA840" s="58"/>
      <c r="BB840" s="58"/>
      <c r="BC840" s="58"/>
      <c r="BD840" s="58"/>
      <c r="BE840" s="58"/>
      <c r="BF840" s="58"/>
      <c r="BG840" s="58"/>
      <c r="BH840" s="58"/>
      <c r="BI840" s="58"/>
      <c r="BJ840" s="58"/>
      <c r="BK840" s="58"/>
      <c r="BL840" s="58"/>
      <c r="BM840" s="58"/>
      <c r="BN840" s="58"/>
      <c r="BO840" s="58"/>
      <c r="BP840" s="58"/>
      <c r="BQ840" s="58"/>
      <c r="BR840" s="58"/>
      <c r="BS840" s="58"/>
    </row>
    <row r="841" spans="1:71" ht="15.75" customHeight="1" x14ac:dyDescent="0.2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1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0"/>
      <c r="AP841" s="90"/>
      <c r="AQ841" s="92"/>
      <c r="AR841" s="92"/>
      <c r="AS841" s="92"/>
      <c r="AT841" s="92"/>
      <c r="AU841" s="92"/>
      <c r="AV841" s="92"/>
      <c r="AW841" s="92"/>
      <c r="AX841" s="92"/>
      <c r="AY841" s="92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</row>
    <row r="842" spans="1:71" ht="15.75" customHeight="1" x14ac:dyDescent="0.2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1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2"/>
      <c r="AR842" s="92"/>
      <c r="AS842" s="92"/>
      <c r="AT842" s="92"/>
      <c r="AU842" s="92"/>
      <c r="AV842" s="92"/>
      <c r="AW842" s="92"/>
      <c r="AX842" s="92"/>
      <c r="AY842" s="92"/>
      <c r="AZ842" s="58"/>
      <c r="BA842" s="58"/>
      <c r="BB842" s="58"/>
      <c r="BC842" s="58"/>
      <c r="BD842" s="58"/>
      <c r="BE842" s="58"/>
      <c r="BF842" s="58"/>
      <c r="BG842" s="58"/>
      <c r="BH842" s="58"/>
      <c r="BI842" s="58"/>
      <c r="BJ842" s="58"/>
      <c r="BK842" s="58"/>
      <c r="BL842" s="58"/>
      <c r="BM842" s="58"/>
      <c r="BN842" s="58"/>
      <c r="BO842" s="58"/>
      <c r="BP842" s="58"/>
      <c r="BQ842" s="58"/>
      <c r="BR842" s="58"/>
      <c r="BS842" s="58"/>
    </row>
    <row r="843" spans="1:71" ht="15.75" customHeight="1" x14ac:dyDescent="0.2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1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0"/>
      <c r="AP843" s="90"/>
      <c r="AQ843" s="92"/>
      <c r="AR843" s="92"/>
      <c r="AS843" s="92"/>
      <c r="AT843" s="92"/>
      <c r="AU843" s="92"/>
      <c r="AV843" s="92"/>
      <c r="AW843" s="92"/>
      <c r="AX843" s="92"/>
      <c r="AY843" s="92"/>
      <c r="AZ843" s="58"/>
      <c r="BA843" s="58"/>
      <c r="BB843" s="58"/>
      <c r="BC843" s="58"/>
      <c r="BD843" s="58"/>
      <c r="BE843" s="58"/>
      <c r="BF843" s="58"/>
      <c r="BG843" s="58"/>
      <c r="BH843" s="58"/>
      <c r="BI843" s="58"/>
      <c r="BJ843" s="58"/>
      <c r="BK843" s="58"/>
      <c r="BL843" s="58"/>
      <c r="BM843" s="58"/>
      <c r="BN843" s="58"/>
      <c r="BO843" s="58"/>
      <c r="BP843" s="58"/>
      <c r="BQ843" s="58"/>
      <c r="BR843" s="58"/>
      <c r="BS843" s="58"/>
    </row>
    <row r="844" spans="1:71" ht="15.75" customHeight="1" x14ac:dyDescent="0.2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1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2"/>
      <c r="AR844" s="92"/>
      <c r="AS844" s="92"/>
      <c r="AT844" s="92"/>
      <c r="AU844" s="92"/>
      <c r="AV844" s="92"/>
      <c r="AW844" s="92"/>
      <c r="AX844" s="92"/>
      <c r="AY844" s="92"/>
      <c r="AZ844" s="58"/>
      <c r="BA844" s="58"/>
      <c r="BB844" s="58"/>
      <c r="BC844" s="58"/>
      <c r="BD844" s="58"/>
      <c r="BE844" s="58"/>
      <c r="BF844" s="58"/>
      <c r="BG844" s="58"/>
      <c r="BH844" s="58"/>
      <c r="BI844" s="58"/>
      <c r="BJ844" s="58"/>
      <c r="BK844" s="58"/>
      <c r="BL844" s="58"/>
      <c r="BM844" s="58"/>
      <c r="BN844" s="58"/>
      <c r="BO844" s="58"/>
      <c r="BP844" s="58"/>
      <c r="BQ844" s="58"/>
      <c r="BR844" s="58"/>
      <c r="BS844" s="58"/>
    </row>
    <row r="845" spans="1:71" ht="15.75" customHeight="1" x14ac:dyDescent="0.2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1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0"/>
      <c r="AP845" s="90"/>
      <c r="AQ845" s="92"/>
      <c r="AR845" s="92"/>
      <c r="AS845" s="92"/>
      <c r="AT845" s="92"/>
      <c r="AU845" s="92"/>
      <c r="AV845" s="92"/>
      <c r="AW845" s="92"/>
      <c r="AX845" s="92"/>
      <c r="AY845" s="92"/>
      <c r="AZ845" s="58"/>
      <c r="BA845" s="58"/>
      <c r="BB845" s="58"/>
      <c r="BC845" s="58"/>
      <c r="BD845" s="58"/>
      <c r="BE845" s="58"/>
      <c r="BF845" s="58"/>
      <c r="BG845" s="58"/>
      <c r="BH845" s="58"/>
      <c r="BI845" s="58"/>
      <c r="BJ845" s="58"/>
      <c r="BK845" s="58"/>
      <c r="BL845" s="58"/>
      <c r="BM845" s="58"/>
      <c r="BN845" s="58"/>
      <c r="BO845" s="58"/>
      <c r="BP845" s="58"/>
      <c r="BQ845" s="58"/>
      <c r="BR845" s="58"/>
      <c r="BS845" s="58"/>
    </row>
    <row r="846" spans="1:71" ht="15.75" customHeight="1" x14ac:dyDescent="0.2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1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2"/>
      <c r="AR846" s="92"/>
      <c r="AS846" s="92"/>
      <c r="AT846" s="92"/>
      <c r="AU846" s="92"/>
      <c r="AV846" s="92"/>
      <c r="AW846" s="92"/>
      <c r="AX846" s="92"/>
      <c r="AY846" s="92"/>
      <c r="AZ846" s="58"/>
      <c r="BA846" s="58"/>
      <c r="BB846" s="58"/>
      <c r="BC846" s="58"/>
      <c r="BD846" s="58"/>
      <c r="BE846" s="58"/>
      <c r="BF846" s="58"/>
      <c r="BG846" s="58"/>
      <c r="BH846" s="58"/>
      <c r="BI846" s="58"/>
      <c r="BJ846" s="58"/>
      <c r="BK846" s="58"/>
      <c r="BL846" s="58"/>
      <c r="BM846" s="58"/>
      <c r="BN846" s="58"/>
      <c r="BO846" s="58"/>
      <c r="BP846" s="58"/>
      <c r="BQ846" s="58"/>
      <c r="BR846" s="58"/>
      <c r="BS846" s="58"/>
    </row>
    <row r="847" spans="1:71" ht="15.75" customHeight="1" x14ac:dyDescent="0.2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1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0"/>
      <c r="AP847" s="90"/>
      <c r="AQ847" s="92"/>
      <c r="AR847" s="92"/>
      <c r="AS847" s="92"/>
      <c r="AT847" s="92"/>
      <c r="AU847" s="92"/>
      <c r="AV847" s="92"/>
      <c r="AW847" s="92"/>
      <c r="AX847" s="92"/>
      <c r="AY847" s="92"/>
      <c r="AZ847" s="58"/>
      <c r="BA847" s="58"/>
      <c r="BB847" s="58"/>
      <c r="BC847" s="58"/>
      <c r="BD847" s="58"/>
      <c r="BE847" s="58"/>
      <c r="BF847" s="58"/>
      <c r="BG847" s="58"/>
      <c r="BH847" s="58"/>
      <c r="BI847" s="58"/>
      <c r="BJ847" s="58"/>
      <c r="BK847" s="58"/>
      <c r="BL847" s="58"/>
      <c r="BM847" s="58"/>
      <c r="BN847" s="58"/>
      <c r="BO847" s="58"/>
      <c r="BP847" s="58"/>
      <c r="BQ847" s="58"/>
      <c r="BR847" s="58"/>
      <c r="BS847" s="58"/>
    </row>
    <row r="848" spans="1:71" ht="15.75" customHeight="1" x14ac:dyDescent="0.2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1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2"/>
      <c r="AR848" s="92"/>
      <c r="AS848" s="92"/>
      <c r="AT848" s="92"/>
      <c r="AU848" s="92"/>
      <c r="AV848" s="92"/>
      <c r="AW848" s="92"/>
      <c r="AX848" s="92"/>
      <c r="AY848" s="92"/>
      <c r="AZ848" s="58"/>
      <c r="BA848" s="58"/>
      <c r="BB848" s="58"/>
      <c r="BC848" s="58"/>
      <c r="BD848" s="58"/>
      <c r="BE848" s="58"/>
      <c r="BF848" s="58"/>
      <c r="BG848" s="58"/>
      <c r="BH848" s="58"/>
      <c r="BI848" s="58"/>
      <c r="BJ848" s="58"/>
      <c r="BK848" s="58"/>
      <c r="BL848" s="58"/>
      <c r="BM848" s="58"/>
      <c r="BN848" s="58"/>
      <c r="BO848" s="58"/>
      <c r="BP848" s="58"/>
      <c r="BQ848" s="58"/>
      <c r="BR848" s="58"/>
      <c r="BS848" s="58"/>
    </row>
    <row r="849" spans="1:71" ht="15.75" customHeight="1" x14ac:dyDescent="0.2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1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0"/>
      <c r="AP849" s="90"/>
      <c r="AQ849" s="92"/>
      <c r="AR849" s="92"/>
      <c r="AS849" s="92"/>
      <c r="AT849" s="92"/>
      <c r="AU849" s="92"/>
      <c r="AV849" s="92"/>
      <c r="AW849" s="92"/>
      <c r="AX849" s="92"/>
      <c r="AY849" s="92"/>
      <c r="AZ849" s="58"/>
      <c r="BA849" s="58"/>
      <c r="BB849" s="58"/>
      <c r="BC849" s="58"/>
      <c r="BD849" s="58"/>
      <c r="BE849" s="58"/>
      <c r="BF849" s="58"/>
      <c r="BG849" s="58"/>
      <c r="BH849" s="58"/>
      <c r="BI849" s="58"/>
      <c r="BJ849" s="58"/>
      <c r="BK849" s="58"/>
      <c r="BL849" s="58"/>
      <c r="BM849" s="58"/>
      <c r="BN849" s="58"/>
      <c r="BO849" s="58"/>
      <c r="BP849" s="58"/>
      <c r="BQ849" s="58"/>
      <c r="BR849" s="58"/>
      <c r="BS849" s="58"/>
    </row>
    <row r="850" spans="1:71" ht="15.75" customHeight="1" x14ac:dyDescent="0.2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1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2"/>
      <c r="AR850" s="92"/>
      <c r="AS850" s="92"/>
      <c r="AT850" s="92"/>
      <c r="AU850" s="92"/>
      <c r="AV850" s="92"/>
      <c r="AW850" s="92"/>
      <c r="AX850" s="92"/>
      <c r="AY850" s="92"/>
      <c r="AZ850" s="58"/>
      <c r="BA850" s="58"/>
      <c r="BB850" s="58"/>
      <c r="BC850" s="58"/>
      <c r="BD850" s="58"/>
      <c r="BE850" s="58"/>
      <c r="BF850" s="58"/>
      <c r="BG850" s="58"/>
      <c r="BH850" s="58"/>
      <c r="BI850" s="58"/>
      <c r="BJ850" s="58"/>
      <c r="BK850" s="58"/>
      <c r="BL850" s="58"/>
      <c r="BM850" s="58"/>
      <c r="BN850" s="58"/>
      <c r="BO850" s="58"/>
      <c r="BP850" s="58"/>
      <c r="BQ850" s="58"/>
      <c r="BR850" s="58"/>
      <c r="BS850" s="58"/>
    </row>
    <row r="851" spans="1:71" ht="15.75" customHeight="1" x14ac:dyDescent="0.2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1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0"/>
      <c r="AP851" s="90"/>
      <c r="AQ851" s="92"/>
      <c r="AR851" s="92"/>
      <c r="AS851" s="92"/>
      <c r="AT851" s="92"/>
      <c r="AU851" s="92"/>
      <c r="AV851" s="92"/>
      <c r="AW851" s="92"/>
      <c r="AX851" s="92"/>
      <c r="AY851" s="92"/>
      <c r="AZ851" s="58"/>
      <c r="BA851" s="58"/>
      <c r="BB851" s="58"/>
      <c r="BC851" s="58"/>
      <c r="BD851" s="58"/>
      <c r="BE851" s="58"/>
      <c r="BF851" s="58"/>
      <c r="BG851" s="58"/>
      <c r="BH851" s="58"/>
      <c r="BI851" s="58"/>
      <c r="BJ851" s="58"/>
      <c r="BK851" s="58"/>
      <c r="BL851" s="58"/>
      <c r="BM851" s="58"/>
      <c r="BN851" s="58"/>
      <c r="BO851" s="58"/>
      <c r="BP851" s="58"/>
      <c r="BQ851" s="58"/>
      <c r="BR851" s="58"/>
      <c r="BS851" s="58"/>
    </row>
    <row r="852" spans="1:71" ht="15.75" customHeight="1" x14ac:dyDescent="0.2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1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2"/>
      <c r="AR852" s="92"/>
      <c r="AS852" s="92"/>
      <c r="AT852" s="92"/>
      <c r="AU852" s="92"/>
      <c r="AV852" s="92"/>
      <c r="AW852" s="92"/>
      <c r="AX852" s="92"/>
      <c r="AY852" s="92"/>
      <c r="AZ852" s="58"/>
      <c r="BA852" s="58"/>
      <c r="BB852" s="58"/>
      <c r="BC852" s="58"/>
      <c r="BD852" s="58"/>
      <c r="BE852" s="58"/>
      <c r="BF852" s="58"/>
      <c r="BG852" s="58"/>
      <c r="BH852" s="58"/>
      <c r="BI852" s="58"/>
      <c r="BJ852" s="58"/>
      <c r="BK852" s="58"/>
      <c r="BL852" s="58"/>
      <c r="BM852" s="58"/>
      <c r="BN852" s="58"/>
      <c r="BO852" s="58"/>
      <c r="BP852" s="58"/>
      <c r="BQ852" s="58"/>
      <c r="BR852" s="58"/>
      <c r="BS852" s="58"/>
    </row>
    <row r="853" spans="1:71" ht="15.75" customHeight="1" x14ac:dyDescent="0.2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1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0"/>
      <c r="AP853" s="90"/>
      <c r="AQ853" s="92"/>
      <c r="AR853" s="92"/>
      <c r="AS853" s="92"/>
      <c r="AT853" s="92"/>
      <c r="AU853" s="92"/>
      <c r="AV853" s="92"/>
      <c r="AW853" s="92"/>
      <c r="AX853" s="92"/>
      <c r="AY853" s="92"/>
      <c r="AZ853" s="58"/>
      <c r="BA853" s="58"/>
      <c r="BB853" s="58"/>
      <c r="BC853" s="58"/>
      <c r="BD853" s="58"/>
      <c r="BE853" s="58"/>
      <c r="BF853" s="58"/>
      <c r="BG853" s="58"/>
      <c r="BH853" s="58"/>
      <c r="BI853" s="58"/>
      <c r="BJ853" s="58"/>
      <c r="BK853" s="58"/>
      <c r="BL853" s="58"/>
      <c r="BM853" s="58"/>
      <c r="BN853" s="58"/>
      <c r="BO853" s="58"/>
      <c r="BP853" s="58"/>
      <c r="BQ853" s="58"/>
      <c r="BR853" s="58"/>
      <c r="BS853" s="58"/>
    </row>
    <row r="854" spans="1:71" ht="15.75" customHeight="1" x14ac:dyDescent="0.2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1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2"/>
      <c r="AR854" s="92"/>
      <c r="AS854" s="92"/>
      <c r="AT854" s="92"/>
      <c r="AU854" s="92"/>
      <c r="AV854" s="92"/>
      <c r="AW854" s="92"/>
      <c r="AX854" s="92"/>
      <c r="AY854" s="92"/>
      <c r="AZ854" s="58"/>
      <c r="BA854" s="58"/>
      <c r="BB854" s="58"/>
      <c r="BC854" s="58"/>
      <c r="BD854" s="58"/>
      <c r="BE854" s="58"/>
      <c r="BF854" s="58"/>
      <c r="BG854" s="58"/>
      <c r="BH854" s="58"/>
      <c r="BI854" s="58"/>
      <c r="BJ854" s="58"/>
      <c r="BK854" s="58"/>
      <c r="BL854" s="58"/>
      <c r="BM854" s="58"/>
      <c r="BN854" s="58"/>
      <c r="BO854" s="58"/>
      <c r="BP854" s="58"/>
      <c r="BQ854" s="58"/>
      <c r="BR854" s="58"/>
      <c r="BS854" s="58"/>
    </row>
    <row r="855" spans="1:71" ht="15.75" customHeight="1" x14ac:dyDescent="0.2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1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0"/>
      <c r="AP855" s="90"/>
      <c r="AQ855" s="92"/>
      <c r="AR855" s="92"/>
      <c r="AS855" s="92"/>
      <c r="AT855" s="92"/>
      <c r="AU855" s="92"/>
      <c r="AV855" s="92"/>
      <c r="AW855" s="92"/>
      <c r="AX855" s="92"/>
      <c r="AY855" s="92"/>
      <c r="AZ855" s="58"/>
      <c r="BA855" s="58"/>
      <c r="BB855" s="58"/>
      <c r="BC855" s="58"/>
      <c r="BD855" s="58"/>
      <c r="BE855" s="58"/>
      <c r="BF855" s="58"/>
      <c r="BG855" s="58"/>
      <c r="BH855" s="58"/>
      <c r="BI855" s="58"/>
      <c r="BJ855" s="58"/>
      <c r="BK855" s="58"/>
      <c r="BL855" s="58"/>
      <c r="BM855" s="58"/>
      <c r="BN855" s="58"/>
      <c r="BO855" s="58"/>
      <c r="BP855" s="58"/>
      <c r="BQ855" s="58"/>
      <c r="BR855" s="58"/>
      <c r="BS855" s="58"/>
    </row>
    <row r="856" spans="1:71" ht="15.75" customHeight="1" x14ac:dyDescent="0.2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1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2"/>
      <c r="AR856" s="92"/>
      <c r="AS856" s="92"/>
      <c r="AT856" s="92"/>
      <c r="AU856" s="92"/>
      <c r="AV856" s="92"/>
      <c r="AW856" s="92"/>
      <c r="AX856" s="92"/>
      <c r="AY856" s="92"/>
      <c r="AZ856" s="58"/>
      <c r="BA856" s="58"/>
      <c r="BB856" s="58"/>
      <c r="BC856" s="58"/>
      <c r="BD856" s="58"/>
      <c r="BE856" s="58"/>
      <c r="BF856" s="58"/>
      <c r="BG856" s="58"/>
      <c r="BH856" s="58"/>
      <c r="BI856" s="58"/>
      <c r="BJ856" s="58"/>
      <c r="BK856" s="58"/>
      <c r="BL856" s="58"/>
      <c r="BM856" s="58"/>
      <c r="BN856" s="58"/>
      <c r="BO856" s="58"/>
      <c r="BP856" s="58"/>
      <c r="BQ856" s="58"/>
      <c r="BR856" s="58"/>
      <c r="BS856" s="58"/>
    </row>
    <row r="857" spans="1:71" ht="15.75" customHeight="1" x14ac:dyDescent="0.2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1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0"/>
      <c r="AP857" s="90"/>
      <c r="AQ857" s="92"/>
      <c r="AR857" s="92"/>
      <c r="AS857" s="92"/>
      <c r="AT857" s="92"/>
      <c r="AU857" s="92"/>
      <c r="AV857" s="92"/>
      <c r="AW857" s="92"/>
      <c r="AX857" s="92"/>
      <c r="AY857" s="92"/>
      <c r="AZ857" s="58"/>
      <c r="BA857" s="58"/>
      <c r="BB857" s="58"/>
      <c r="BC857" s="58"/>
      <c r="BD857" s="58"/>
      <c r="BE857" s="58"/>
      <c r="BF857" s="58"/>
      <c r="BG857" s="58"/>
      <c r="BH857" s="58"/>
      <c r="BI857" s="58"/>
      <c r="BJ857" s="58"/>
      <c r="BK857" s="58"/>
      <c r="BL857" s="58"/>
      <c r="BM857" s="58"/>
      <c r="BN857" s="58"/>
      <c r="BO857" s="58"/>
      <c r="BP857" s="58"/>
      <c r="BQ857" s="58"/>
      <c r="BR857" s="58"/>
      <c r="BS857" s="58"/>
    </row>
    <row r="858" spans="1:71" ht="15.75" customHeight="1" x14ac:dyDescent="0.2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1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2"/>
      <c r="AR858" s="92"/>
      <c r="AS858" s="92"/>
      <c r="AT858" s="92"/>
      <c r="AU858" s="92"/>
      <c r="AV858" s="92"/>
      <c r="AW858" s="92"/>
      <c r="AX858" s="92"/>
      <c r="AY858" s="92"/>
      <c r="AZ858" s="58"/>
      <c r="BA858" s="58"/>
      <c r="BB858" s="58"/>
      <c r="BC858" s="58"/>
      <c r="BD858" s="58"/>
      <c r="BE858" s="58"/>
      <c r="BF858" s="58"/>
      <c r="BG858" s="58"/>
      <c r="BH858" s="58"/>
      <c r="BI858" s="58"/>
      <c r="BJ858" s="58"/>
      <c r="BK858" s="58"/>
      <c r="BL858" s="58"/>
      <c r="BM858" s="58"/>
      <c r="BN858" s="58"/>
      <c r="BO858" s="58"/>
      <c r="BP858" s="58"/>
      <c r="BQ858" s="58"/>
      <c r="BR858" s="58"/>
      <c r="BS858" s="58"/>
    </row>
    <row r="859" spans="1:71" ht="15.75" customHeight="1" x14ac:dyDescent="0.2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1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0"/>
      <c r="AP859" s="90"/>
      <c r="AQ859" s="92"/>
      <c r="AR859" s="92"/>
      <c r="AS859" s="92"/>
      <c r="AT859" s="92"/>
      <c r="AU859" s="92"/>
      <c r="AV859" s="92"/>
      <c r="AW859" s="92"/>
      <c r="AX859" s="92"/>
      <c r="AY859" s="92"/>
      <c r="AZ859" s="58"/>
      <c r="BA859" s="58"/>
      <c r="BB859" s="58"/>
      <c r="BC859" s="58"/>
      <c r="BD859" s="58"/>
      <c r="BE859" s="58"/>
      <c r="BF859" s="58"/>
      <c r="BG859" s="58"/>
      <c r="BH859" s="58"/>
      <c r="BI859" s="58"/>
      <c r="BJ859" s="58"/>
      <c r="BK859" s="58"/>
      <c r="BL859" s="58"/>
      <c r="BM859" s="58"/>
      <c r="BN859" s="58"/>
      <c r="BO859" s="58"/>
      <c r="BP859" s="58"/>
      <c r="BQ859" s="58"/>
      <c r="BR859" s="58"/>
      <c r="BS859" s="58"/>
    </row>
    <row r="860" spans="1:71" ht="15.75" customHeight="1" x14ac:dyDescent="0.2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1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2"/>
      <c r="AR860" s="92"/>
      <c r="AS860" s="92"/>
      <c r="AT860" s="92"/>
      <c r="AU860" s="92"/>
      <c r="AV860" s="92"/>
      <c r="AW860" s="92"/>
      <c r="AX860" s="92"/>
      <c r="AY860" s="92"/>
      <c r="AZ860" s="58"/>
      <c r="BA860" s="58"/>
      <c r="BB860" s="58"/>
      <c r="BC860" s="58"/>
      <c r="BD860" s="58"/>
      <c r="BE860" s="58"/>
      <c r="BF860" s="58"/>
      <c r="BG860" s="58"/>
      <c r="BH860" s="58"/>
      <c r="BI860" s="58"/>
      <c r="BJ860" s="58"/>
      <c r="BK860" s="58"/>
      <c r="BL860" s="58"/>
      <c r="BM860" s="58"/>
      <c r="BN860" s="58"/>
      <c r="BO860" s="58"/>
      <c r="BP860" s="58"/>
      <c r="BQ860" s="58"/>
      <c r="BR860" s="58"/>
      <c r="BS860" s="58"/>
    </row>
    <row r="861" spans="1:71" ht="15.75" customHeight="1" x14ac:dyDescent="0.2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1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0"/>
      <c r="AP861" s="90"/>
      <c r="AQ861" s="92"/>
      <c r="AR861" s="92"/>
      <c r="AS861" s="92"/>
      <c r="AT861" s="92"/>
      <c r="AU861" s="92"/>
      <c r="AV861" s="92"/>
      <c r="AW861" s="92"/>
      <c r="AX861" s="92"/>
      <c r="AY861" s="92"/>
      <c r="AZ861" s="58"/>
      <c r="BA861" s="58"/>
      <c r="BB861" s="58"/>
      <c r="BC861" s="58"/>
      <c r="BD861" s="58"/>
      <c r="BE861" s="58"/>
      <c r="BF861" s="58"/>
      <c r="BG861" s="58"/>
      <c r="BH861" s="58"/>
      <c r="BI861" s="58"/>
      <c r="BJ861" s="58"/>
      <c r="BK861" s="58"/>
      <c r="BL861" s="58"/>
      <c r="BM861" s="58"/>
      <c r="BN861" s="58"/>
      <c r="BO861" s="58"/>
      <c r="BP861" s="58"/>
      <c r="BQ861" s="58"/>
      <c r="BR861" s="58"/>
      <c r="BS861" s="58"/>
    </row>
    <row r="862" spans="1:71" ht="15.75" customHeight="1" x14ac:dyDescent="0.2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1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2"/>
      <c r="AR862" s="92"/>
      <c r="AS862" s="92"/>
      <c r="AT862" s="92"/>
      <c r="AU862" s="92"/>
      <c r="AV862" s="92"/>
      <c r="AW862" s="92"/>
      <c r="AX862" s="92"/>
      <c r="AY862" s="92"/>
      <c r="AZ862" s="58"/>
      <c r="BA862" s="58"/>
      <c r="BB862" s="58"/>
      <c r="BC862" s="58"/>
      <c r="BD862" s="58"/>
      <c r="BE862" s="58"/>
      <c r="BF862" s="58"/>
      <c r="BG862" s="58"/>
      <c r="BH862" s="58"/>
      <c r="BI862" s="58"/>
      <c r="BJ862" s="58"/>
      <c r="BK862" s="58"/>
      <c r="BL862" s="58"/>
      <c r="BM862" s="58"/>
      <c r="BN862" s="58"/>
      <c r="BO862" s="58"/>
      <c r="BP862" s="58"/>
      <c r="BQ862" s="58"/>
      <c r="BR862" s="58"/>
      <c r="BS862" s="58"/>
    </row>
    <row r="863" spans="1:71" ht="15.75" customHeight="1" x14ac:dyDescent="0.2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1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0"/>
      <c r="AP863" s="90"/>
      <c r="AQ863" s="92"/>
      <c r="AR863" s="92"/>
      <c r="AS863" s="92"/>
      <c r="AT863" s="92"/>
      <c r="AU863" s="92"/>
      <c r="AV863" s="92"/>
      <c r="AW863" s="92"/>
      <c r="AX863" s="92"/>
      <c r="AY863" s="92"/>
      <c r="AZ863" s="58"/>
      <c r="BA863" s="58"/>
      <c r="BB863" s="58"/>
      <c r="BC863" s="58"/>
      <c r="BD863" s="58"/>
      <c r="BE863" s="58"/>
      <c r="BF863" s="58"/>
      <c r="BG863" s="58"/>
      <c r="BH863" s="58"/>
      <c r="BI863" s="58"/>
      <c r="BJ863" s="58"/>
      <c r="BK863" s="58"/>
      <c r="BL863" s="58"/>
      <c r="BM863" s="58"/>
      <c r="BN863" s="58"/>
      <c r="BO863" s="58"/>
      <c r="BP863" s="58"/>
      <c r="BQ863" s="58"/>
      <c r="BR863" s="58"/>
      <c r="BS863" s="58"/>
    </row>
    <row r="864" spans="1:71" ht="15.75" customHeight="1" x14ac:dyDescent="0.2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1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2"/>
      <c r="AR864" s="92"/>
      <c r="AS864" s="92"/>
      <c r="AT864" s="92"/>
      <c r="AU864" s="92"/>
      <c r="AV864" s="92"/>
      <c r="AW864" s="92"/>
      <c r="AX864" s="92"/>
      <c r="AY864" s="92"/>
      <c r="AZ864" s="58"/>
      <c r="BA864" s="58"/>
      <c r="BB864" s="58"/>
      <c r="BC864" s="58"/>
      <c r="BD864" s="58"/>
      <c r="BE864" s="58"/>
      <c r="BF864" s="58"/>
      <c r="BG864" s="58"/>
      <c r="BH864" s="58"/>
      <c r="BI864" s="58"/>
      <c r="BJ864" s="58"/>
      <c r="BK864" s="58"/>
      <c r="BL864" s="58"/>
      <c r="BM864" s="58"/>
      <c r="BN864" s="58"/>
      <c r="BO864" s="58"/>
      <c r="BP864" s="58"/>
      <c r="BQ864" s="58"/>
      <c r="BR864" s="58"/>
      <c r="BS864" s="58"/>
    </row>
    <row r="865" spans="1:71" ht="15.75" customHeight="1" x14ac:dyDescent="0.2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1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0"/>
      <c r="AP865" s="90"/>
      <c r="AQ865" s="92"/>
      <c r="AR865" s="92"/>
      <c r="AS865" s="92"/>
      <c r="AT865" s="92"/>
      <c r="AU865" s="92"/>
      <c r="AV865" s="92"/>
      <c r="AW865" s="92"/>
      <c r="AX865" s="92"/>
      <c r="AY865" s="92"/>
      <c r="AZ865" s="58"/>
      <c r="BA865" s="58"/>
      <c r="BB865" s="58"/>
      <c r="BC865" s="58"/>
      <c r="BD865" s="58"/>
      <c r="BE865" s="58"/>
      <c r="BF865" s="58"/>
      <c r="BG865" s="58"/>
      <c r="BH865" s="58"/>
      <c r="BI865" s="58"/>
      <c r="BJ865" s="58"/>
      <c r="BK865" s="58"/>
      <c r="BL865" s="58"/>
      <c r="BM865" s="58"/>
      <c r="BN865" s="58"/>
      <c r="BO865" s="58"/>
      <c r="BP865" s="58"/>
      <c r="BQ865" s="58"/>
      <c r="BR865" s="58"/>
      <c r="BS865" s="58"/>
    </row>
    <row r="866" spans="1:71" ht="15.75" customHeight="1" x14ac:dyDescent="0.2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1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2"/>
      <c r="AR866" s="92"/>
      <c r="AS866" s="92"/>
      <c r="AT866" s="92"/>
      <c r="AU866" s="92"/>
      <c r="AV866" s="92"/>
      <c r="AW866" s="92"/>
      <c r="AX866" s="92"/>
      <c r="AY866" s="92"/>
      <c r="AZ866" s="58"/>
      <c r="BA866" s="58"/>
      <c r="BB866" s="58"/>
      <c r="BC866" s="58"/>
      <c r="BD866" s="58"/>
      <c r="BE866" s="58"/>
      <c r="BF866" s="58"/>
      <c r="BG866" s="58"/>
      <c r="BH866" s="58"/>
      <c r="BI866" s="58"/>
      <c r="BJ866" s="58"/>
      <c r="BK866" s="58"/>
      <c r="BL866" s="58"/>
      <c r="BM866" s="58"/>
      <c r="BN866" s="58"/>
      <c r="BO866" s="58"/>
      <c r="BP866" s="58"/>
      <c r="BQ866" s="58"/>
      <c r="BR866" s="58"/>
      <c r="BS866" s="58"/>
    </row>
    <row r="867" spans="1:71" ht="15.75" customHeight="1" x14ac:dyDescent="0.2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1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0"/>
      <c r="AP867" s="90"/>
      <c r="AQ867" s="92"/>
      <c r="AR867" s="92"/>
      <c r="AS867" s="92"/>
      <c r="AT867" s="92"/>
      <c r="AU867" s="92"/>
      <c r="AV867" s="92"/>
      <c r="AW867" s="92"/>
      <c r="AX867" s="92"/>
      <c r="AY867" s="92"/>
      <c r="AZ867" s="58"/>
      <c r="BA867" s="58"/>
      <c r="BB867" s="58"/>
      <c r="BC867" s="58"/>
      <c r="BD867" s="58"/>
      <c r="BE867" s="58"/>
      <c r="BF867" s="58"/>
      <c r="BG867" s="58"/>
      <c r="BH867" s="58"/>
      <c r="BI867" s="58"/>
      <c r="BJ867" s="58"/>
      <c r="BK867" s="58"/>
      <c r="BL867" s="58"/>
      <c r="BM867" s="58"/>
      <c r="BN867" s="58"/>
      <c r="BO867" s="58"/>
      <c r="BP867" s="58"/>
      <c r="BQ867" s="58"/>
      <c r="BR867" s="58"/>
      <c r="BS867" s="58"/>
    </row>
    <row r="868" spans="1:71" ht="15.75" customHeight="1" x14ac:dyDescent="0.2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1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2"/>
      <c r="AR868" s="92"/>
      <c r="AS868" s="92"/>
      <c r="AT868" s="92"/>
      <c r="AU868" s="92"/>
      <c r="AV868" s="92"/>
      <c r="AW868" s="92"/>
      <c r="AX868" s="92"/>
      <c r="AY868" s="92"/>
      <c r="AZ868" s="58"/>
      <c r="BA868" s="58"/>
      <c r="BB868" s="58"/>
      <c r="BC868" s="58"/>
      <c r="BD868" s="58"/>
      <c r="BE868" s="58"/>
      <c r="BF868" s="58"/>
      <c r="BG868" s="58"/>
      <c r="BH868" s="58"/>
      <c r="BI868" s="58"/>
      <c r="BJ868" s="58"/>
      <c r="BK868" s="58"/>
      <c r="BL868" s="58"/>
      <c r="BM868" s="58"/>
      <c r="BN868" s="58"/>
      <c r="BO868" s="58"/>
      <c r="BP868" s="58"/>
      <c r="BQ868" s="58"/>
      <c r="BR868" s="58"/>
      <c r="BS868" s="58"/>
    </row>
    <row r="869" spans="1:71" ht="15.75" customHeight="1" x14ac:dyDescent="0.2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1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0"/>
      <c r="AP869" s="90"/>
      <c r="AQ869" s="92"/>
      <c r="AR869" s="92"/>
      <c r="AS869" s="92"/>
      <c r="AT869" s="92"/>
      <c r="AU869" s="92"/>
      <c r="AV869" s="92"/>
      <c r="AW869" s="92"/>
      <c r="AX869" s="92"/>
      <c r="AY869" s="92"/>
      <c r="AZ869" s="58"/>
      <c r="BA869" s="58"/>
      <c r="BB869" s="58"/>
      <c r="BC869" s="58"/>
      <c r="BD869" s="58"/>
      <c r="BE869" s="58"/>
      <c r="BF869" s="58"/>
      <c r="BG869" s="58"/>
      <c r="BH869" s="58"/>
      <c r="BI869" s="58"/>
      <c r="BJ869" s="58"/>
      <c r="BK869" s="58"/>
      <c r="BL869" s="58"/>
      <c r="BM869" s="58"/>
      <c r="BN869" s="58"/>
      <c r="BO869" s="58"/>
      <c r="BP869" s="58"/>
      <c r="BQ869" s="58"/>
      <c r="BR869" s="58"/>
      <c r="BS869" s="58"/>
    </row>
    <row r="870" spans="1:71" ht="15.75" customHeight="1" x14ac:dyDescent="0.2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1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2"/>
      <c r="AR870" s="92"/>
      <c r="AS870" s="92"/>
      <c r="AT870" s="92"/>
      <c r="AU870" s="92"/>
      <c r="AV870" s="92"/>
      <c r="AW870" s="92"/>
      <c r="AX870" s="92"/>
      <c r="AY870" s="92"/>
      <c r="AZ870" s="58"/>
      <c r="BA870" s="58"/>
      <c r="BB870" s="58"/>
      <c r="BC870" s="58"/>
      <c r="BD870" s="58"/>
      <c r="BE870" s="58"/>
      <c r="BF870" s="58"/>
      <c r="BG870" s="58"/>
      <c r="BH870" s="58"/>
      <c r="BI870" s="58"/>
      <c r="BJ870" s="58"/>
      <c r="BK870" s="58"/>
      <c r="BL870" s="58"/>
      <c r="BM870" s="58"/>
      <c r="BN870" s="58"/>
      <c r="BO870" s="58"/>
      <c r="BP870" s="58"/>
      <c r="BQ870" s="58"/>
      <c r="BR870" s="58"/>
      <c r="BS870" s="58"/>
    </row>
    <row r="871" spans="1:71" ht="15.75" customHeight="1" x14ac:dyDescent="0.2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1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0"/>
      <c r="AP871" s="90"/>
      <c r="AQ871" s="92"/>
      <c r="AR871" s="92"/>
      <c r="AS871" s="92"/>
      <c r="AT871" s="92"/>
      <c r="AU871" s="92"/>
      <c r="AV871" s="92"/>
      <c r="AW871" s="92"/>
      <c r="AX871" s="92"/>
      <c r="AY871" s="92"/>
      <c r="AZ871" s="58"/>
      <c r="BA871" s="58"/>
      <c r="BB871" s="58"/>
      <c r="BC871" s="58"/>
      <c r="BD871" s="58"/>
      <c r="BE871" s="58"/>
      <c r="BF871" s="58"/>
      <c r="BG871" s="58"/>
      <c r="BH871" s="58"/>
      <c r="BI871" s="58"/>
      <c r="BJ871" s="58"/>
      <c r="BK871" s="58"/>
      <c r="BL871" s="58"/>
      <c r="BM871" s="58"/>
      <c r="BN871" s="58"/>
      <c r="BO871" s="58"/>
      <c r="BP871" s="58"/>
      <c r="BQ871" s="58"/>
      <c r="BR871" s="58"/>
      <c r="BS871" s="58"/>
    </row>
    <row r="872" spans="1:71" ht="15.75" customHeight="1" x14ac:dyDescent="0.2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1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2"/>
      <c r="AR872" s="92"/>
      <c r="AS872" s="92"/>
      <c r="AT872" s="92"/>
      <c r="AU872" s="92"/>
      <c r="AV872" s="92"/>
      <c r="AW872" s="92"/>
      <c r="AX872" s="92"/>
      <c r="AY872" s="92"/>
      <c r="AZ872" s="58"/>
      <c r="BA872" s="58"/>
      <c r="BB872" s="58"/>
      <c r="BC872" s="58"/>
      <c r="BD872" s="58"/>
      <c r="BE872" s="58"/>
      <c r="BF872" s="58"/>
      <c r="BG872" s="58"/>
      <c r="BH872" s="58"/>
      <c r="BI872" s="58"/>
      <c r="BJ872" s="58"/>
      <c r="BK872" s="58"/>
      <c r="BL872" s="58"/>
      <c r="BM872" s="58"/>
      <c r="BN872" s="58"/>
      <c r="BO872" s="58"/>
      <c r="BP872" s="58"/>
      <c r="BQ872" s="58"/>
      <c r="BR872" s="58"/>
      <c r="BS872" s="58"/>
    </row>
    <row r="873" spans="1:71" ht="15.75" customHeight="1" x14ac:dyDescent="0.2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1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0"/>
      <c r="AP873" s="90"/>
      <c r="AQ873" s="92"/>
      <c r="AR873" s="92"/>
      <c r="AS873" s="92"/>
      <c r="AT873" s="92"/>
      <c r="AU873" s="92"/>
      <c r="AV873" s="92"/>
      <c r="AW873" s="92"/>
      <c r="AX873" s="92"/>
      <c r="AY873" s="92"/>
      <c r="AZ873" s="58"/>
      <c r="BA873" s="58"/>
      <c r="BB873" s="58"/>
      <c r="BC873" s="58"/>
      <c r="BD873" s="58"/>
      <c r="BE873" s="58"/>
      <c r="BF873" s="58"/>
      <c r="BG873" s="58"/>
      <c r="BH873" s="58"/>
      <c r="BI873" s="58"/>
      <c r="BJ873" s="58"/>
      <c r="BK873" s="58"/>
      <c r="BL873" s="58"/>
      <c r="BM873" s="58"/>
      <c r="BN873" s="58"/>
      <c r="BO873" s="58"/>
      <c r="BP873" s="58"/>
      <c r="BQ873" s="58"/>
      <c r="BR873" s="58"/>
      <c r="BS873" s="58"/>
    </row>
    <row r="874" spans="1:71" ht="15.75" customHeight="1" x14ac:dyDescent="0.2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1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2"/>
      <c r="AR874" s="92"/>
      <c r="AS874" s="92"/>
      <c r="AT874" s="92"/>
      <c r="AU874" s="92"/>
      <c r="AV874" s="92"/>
      <c r="AW874" s="92"/>
      <c r="AX874" s="92"/>
      <c r="AY874" s="92"/>
      <c r="AZ874" s="58"/>
      <c r="BA874" s="58"/>
      <c r="BB874" s="58"/>
      <c r="BC874" s="58"/>
      <c r="BD874" s="58"/>
      <c r="BE874" s="58"/>
      <c r="BF874" s="58"/>
      <c r="BG874" s="58"/>
      <c r="BH874" s="58"/>
      <c r="BI874" s="58"/>
      <c r="BJ874" s="58"/>
      <c r="BK874" s="58"/>
      <c r="BL874" s="58"/>
      <c r="BM874" s="58"/>
      <c r="BN874" s="58"/>
      <c r="BO874" s="58"/>
      <c r="BP874" s="58"/>
      <c r="BQ874" s="58"/>
      <c r="BR874" s="58"/>
      <c r="BS874" s="58"/>
    </row>
    <row r="875" spans="1:71" ht="15.75" customHeight="1" x14ac:dyDescent="0.2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1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0"/>
      <c r="AP875" s="90"/>
      <c r="AQ875" s="92"/>
      <c r="AR875" s="92"/>
      <c r="AS875" s="92"/>
      <c r="AT875" s="92"/>
      <c r="AU875" s="92"/>
      <c r="AV875" s="92"/>
      <c r="AW875" s="92"/>
      <c r="AX875" s="92"/>
      <c r="AY875" s="92"/>
      <c r="AZ875" s="58"/>
      <c r="BA875" s="58"/>
      <c r="BB875" s="58"/>
      <c r="BC875" s="58"/>
      <c r="BD875" s="58"/>
      <c r="BE875" s="58"/>
      <c r="BF875" s="58"/>
      <c r="BG875" s="58"/>
      <c r="BH875" s="58"/>
      <c r="BI875" s="58"/>
      <c r="BJ875" s="58"/>
      <c r="BK875" s="58"/>
      <c r="BL875" s="58"/>
      <c r="BM875" s="58"/>
      <c r="BN875" s="58"/>
      <c r="BO875" s="58"/>
      <c r="BP875" s="58"/>
      <c r="BQ875" s="58"/>
      <c r="BR875" s="58"/>
      <c r="BS875" s="58"/>
    </row>
    <row r="876" spans="1:71" ht="15.75" customHeight="1" x14ac:dyDescent="0.2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1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2"/>
      <c r="AR876" s="92"/>
      <c r="AS876" s="92"/>
      <c r="AT876" s="92"/>
      <c r="AU876" s="92"/>
      <c r="AV876" s="92"/>
      <c r="AW876" s="92"/>
      <c r="AX876" s="92"/>
      <c r="AY876" s="92"/>
      <c r="AZ876" s="58"/>
      <c r="BA876" s="58"/>
      <c r="BB876" s="58"/>
      <c r="BC876" s="58"/>
      <c r="BD876" s="58"/>
      <c r="BE876" s="58"/>
      <c r="BF876" s="58"/>
      <c r="BG876" s="58"/>
      <c r="BH876" s="58"/>
      <c r="BI876" s="58"/>
      <c r="BJ876" s="58"/>
      <c r="BK876" s="58"/>
      <c r="BL876" s="58"/>
      <c r="BM876" s="58"/>
      <c r="BN876" s="58"/>
      <c r="BO876" s="58"/>
      <c r="BP876" s="58"/>
      <c r="BQ876" s="58"/>
      <c r="BR876" s="58"/>
      <c r="BS876" s="58"/>
    </row>
    <row r="877" spans="1:71" ht="15.75" customHeight="1" x14ac:dyDescent="0.2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1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0"/>
      <c r="AP877" s="90"/>
      <c r="AQ877" s="92"/>
      <c r="AR877" s="92"/>
      <c r="AS877" s="92"/>
      <c r="AT877" s="92"/>
      <c r="AU877" s="92"/>
      <c r="AV877" s="92"/>
      <c r="AW877" s="92"/>
      <c r="AX877" s="92"/>
      <c r="AY877" s="92"/>
      <c r="AZ877" s="58"/>
      <c r="BA877" s="58"/>
      <c r="BB877" s="58"/>
      <c r="BC877" s="58"/>
      <c r="BD877" s="58"/>
      <c r="BE877" s="58"/>
      <c r="BF877" s="58"/>
      <c r="BG877" s="58"/>
      <c r="BH877" s="58"/>
      <c r="BI877" s="58"/>
      <c r="BJ877" s="58"/>
      <c r="BK877" s="58"/>
      <c r="BL877" s="58"/>
      <c r="BM877" s="58"/>
      <c r="BN877" s="58"/>
      <c r="BO877" s="58"/>
      <c r="BP877" s="58"/>
      <c r="BQ877" s="58"/>
      <c r="BR877" s="58"/>
      <c r="BS877" s="58"/>
    </row>
    <row r="878" spans="1:71" ht="15.75" customHeight="1" x14ac:dyDescent="0.2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1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2"/>
      <c r="AR878" s="92"/>
      <c r="AS878" s="92"/>
      <c r="AT878" s="92"/>
      <c r="AU878" s="92"/>
      <c r="AV878" s="92"/>
      <c r="AW878" s="92"/>
      <c r="AX878" s="92"/>
      <c r="AY878" s="92"/>
      <c r="AZ878" s="58"/>
      <c r="BA878" s="58"/>
      <c r="BB878" s="58"/>
      <c r="BC878" s="58"/>
      <c r="BD878" s="58"/>
      <c r="BE878" s="58"/>
      <c r="BF878" s="58"/>
      <c r="BG878" s="58"/>
      <c r="BH878" s="58"/>
      <c r="BI878" s="58"/>
      <c r="BJ878" s="58"/>
      <c r="BK878" s="58"/>
      <c r="BL878" s="58"/>
      <c r="BM878" s="58"/>
      <c r="BN878" s="58"/>
      <c r="BO878" s="58"/>
      <c r="BP878" s="58"/>
      <c r="BQ878" s="58"/>
      <c r="BR878" s="58"/>
      <c r="BS878" s="58"/>
    </row>
    <row r="879" spans="1:71" ht="15.75" customHeight="1" x14ac:dyDescent="0.2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1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0"/>
      <c r="AP879" s="90"/>
      <c r="AQ879" s="92"/>
      <c r="AR879" s="92"/>
      <c r="AS879" s="92"/>
      <c r="AT879" s="92"/>
      <c r="AU879" s="92"/>
      <c r="AV879" s="92"/>
      <c r="AW879" s="92"/>
      <c r="AX879" s="92"/>
      <c r="AY879" s="92"/>
      <c r="AZ879" s="58"/>
      <c r="BA879" s="58"/>
      <c r="BB879" s="58"/>
      <c r="BC879" s="58"/>
      <c r="BD879" s="58"/>
      <c r="BE879" s="58"/>
      <c r="BF879" s="58"/>
      <c r="BG879" s="58"/>
      <c r="BH879" s="58"/>
      <c r="BI879" s="58"/>
      <c r="BJ879" s="58"/>
      <c r="BK879" s="58"/>
      <c r="BL879" s="58"/>
      <c r="BM879" s="58"/>
      <c r="BN879" s="58"/>
      <c r="BO879" s="58"/>
      <c r="BP879" s="58"/>
      <c r="BQ879" s="58"/>
      <c r="BR879" s="58"/>
      <c r="BS879" s="58"/>
    </row>
    <row r="880" spans="1:71" ht="15.75" customHeight="1" x14ac:dyDescent="0.2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1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2"/>
      <c r="AR880" s="92"/>
      <c r="AS880" s="92"/>
      <c r="AT880" s="92"/>
      <c r="AU880" s="92"/>
      <c r="AV880" s="92"/>
      <c r="AW880" s="92"/>
      <c r="AX880" s="92"/>
      <c r="AY880" s="92"/>
      <c r="AZ880" s="58"/>
      <c r="BA880" s="58"/>
      <c r="BB880" s="58"/>
      <c r="BC880" s="58"/>
      <c r="BD880" s="58"/>
      <c r="BE880" s="58"/>
      <c r="BF880" s="58"/>
      <c r="BG880" s="58"/>
      <c r="BH880" s="58"/>
      <c r="BI880" s="58"/>
      <c r="BJ880" s="58"/>
      <c r="BK880" s="58"/>
      <c r="BL880" s="58"/>
      <c r="BM880" s="58"/>
      <c r="BN880" s="58"/>
      <c r="BO880" s="58"/>
      <c r="BP880" s="58"/>
      <c r="BQ880" s="58"/>
      <c r="BR880" s="58"/>
      <c r="BS880" s="58"/>
    </row>
    <row r="881" spans="1:71" ht="15.75" customHeight="1" x14ac:dyDescent="0.2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1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0"/>
      <c r="AP881" s="90"/>
      <c r="AQ881" s="92"/>
      <c r="AR881" s="92"/>
      <c r="AS881" s="92"/>
      <c r="AT881" s="92"/>
      <c r="AU881" s="92"/>
      <c r="AV881" s="92"/>
      <c r="AW881" s="92"/>
      <c r="AX881" s="92"/>
      <c r="AY881" s="92"/>
      <c r="AZ881" s="58"/>
      <c r="BA881" s="58"/>
      <c r="BB881" s="58"/>
      <c r="BC881" s="58"/>
      <c r="BD881" s="58"/>
      <c r="BE881" s="58"/>
      <c r="BF881" s="58"/>
      <c r="BG881" s="58"/>
      <c r="BH881" s="58"/>
      <c r="BI881" s="58"/>
      <c r="BJ881" s="58"/>
      <c r="BK881" s="58"/>
      <c r="BL881" s="58"/>
      <c r="BM881" s="58"/>
      <c r="BN881" s="58"/>
      <c r="BO881" s="58"/>
      <c r="BP881" s="58"/>
      <c r="BQ881" s="58"/>
      <c r="BR881" s="58"/>
      <c r="BS881" s="58"/>
    </row>
    <row r="882" spans="1:71" ht="15.75" customHeight="1" x14ac:dyDescent="0.2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1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2"/>
      <c r="AR882" s="92"/>
      <c r="AS882" s="92"/>
      <c r="AT882" s="92"/>
      <c r="AU882" s="92"/>
      <c r="AV882" s="92"/>
      <c r="AW882" s="92"/>
      <c r="AX882" s="92"/>
      <c r="AY882" s="92"/>
      <c r="AZ882" s="58"/>
      <c r="BA882" s="58"/>
      <c r="BB882" s="58"/>
      <c r="BC882" s="58"/>
      <c r="BD882" s="58"/>
      <c r="BE882" s="58"/>
      <c r="BF882" s="58"/>
      <c r="BG882" s="58"/>
      <c r="BH882" s="58"/>
      <c r="BI882" s="58"/>
      <c r="BJ882" s="58"/>
      <c r="BK882" s="58"/>
      <c r="BL882" s="58"/>
      <c r="BM882" s="58"/>
      <c r="BN882" s="58"/>
      <c r="BO882" s="58"/>
      <c r="BP882" s="58"/>
      <c r="BQ882" s="58"/>
      <c r="BR882" s="58"/>
      <c r="BS882" s="58"/>
    </row>
    <row r="883" spans="1:71" ht="15.75" customHeight="1" x14ac:dyDescent="0.2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1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0"/>
      <c r="AP883" s="90"/>
      <c r="AQ883" s="92"/>
      <c r="AR883" s="92"/>
      <c r="AS883" s="92"/>
      <c r="AT883" s="92"/>
      <c r="AU883" s="92"/>
      <c r="AV883" s="92"/>
      <c r="AW883" s="92"/>
      <c r="AX883" s="92"/>
      <c r="AY883" s="92"/>
      <c r="AZ883" s="58"/>
      <c r="BA883" s="58"/>
      <c r="BB883" s="58"/>
      <c r="BC883" s="58"/>
      <c r="BD883" s="58"/>
      <c r="BE883" s="58"/>
      <c r="BF883" s="58"/>
      <c r="BG883" s="58"/>
      <c r="BH883" s="58"/>
      <c r="BI883" s="58"/>
      <c r="BJ883" s="58"/>
      <c r="BK883" s="58"/>
      <c r="BL883" s="58"/>
      <c r="BM883" s="58"/>
      <c r="BN883" s="58"/>
      <c r="BO883" s="58"/>
      <c r="BP883" s="58"/>
      <c r="BQ883" s="58"/>
      <c r="BR883" s="58"/>
      <c r="BS883" s="58"/>
    </row>
    <row r="884" spans="1:71" ht="15.75" customHeight="1" x14ac:dyDescent="0.2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1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2"/>
      <c r="AR884" s="92"/>
      <c r="AS884" s="92"/>
      <c r="AT884" s="92"/>
      <c r="AU884" s="92"/>
      <c r="AV884" s="92"/>
      <c r="AW884" s="92"/>
      <c r="AX884" s="92"/>
      <c r="AY884" s="92"/>
      <c r="AZ884" s="58"/>
      <c r="BA884" s="58"/>
      <c r="BB884" s="58"/>
      <c r="BC884" s="58"/>
      <c r="BD884" s="58"/>
      <c r="BE884" s="58"/>
      <c r="BF884" s="58"/>
      <c r="BG884" s="58"/>
      <c r="BH884" s="58"/>
      <c r="BI884" s="58"/>
      <c r="BJ884" s="58"/>
      <c r="BK884" s="58"/>
      <c r="BL884" s="58"/>
      <c r="BM884" s="58"/>
      <c r="BN884" s="58"/>
      <c r="BO884" s="58"/>
      <c r="BP884" s="58"/>
      <c r="BQ884" s="58"/>
      <c r="BR884" s="58"/>
      <c r="BS884" s="58"/>
    </row>
    <row r="885" spans="1:71" ht="15.75" customHeight="1" x14ac:dyDescent="0.2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1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0"/>
      <c r="AP885" s="90"/>
      <c r="AQ885" s="92"/>
      <c r="AR885" s="92"/>
      <c r="AS885" s="92"/>
      <c r="AT885" s="92"/>
      <c r="AU885" s="92"/>
      <c r="AV885" s="92"/>
      <c r="AW885" s="92"/>
      <c r="AX885" s="92"/>
      <c r="AY885" s="92"/>
      <c r="AZ885" s="58"/>
      <c r="BA885" s="58"/>
      <c r="BB885" s="58"/>
      <c r="BC885" s="58"/>
      <c r="BD885" s="58"/>
      <c r="BE885" s="58"/>
      <c r="BF885" s="58"/>
      <c r="BG885" s="58"/>
      <c r="BH885" s="58"/>
      <c r="BI885" s="58"/>
      <c r="BJ885" s="58"/>
      <c r="BK885" s="58"/>
      <c r="BL885" s="58"/>
      <c r="BM885" s="58"/>
      <c r="BN885" s="58"/>
      <c r="BO885" s="58"/>
      <c r="BP885" s="58"/>
      <c r="BQ885" s="58"/>
      <c r="BR885" s="58"/>
      <c r="BS885" s="58"/>
    </row>
    <row r="886" spans="1:71" ht="15.75" customHeight="1" x14ac:dyDescent="0.2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1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2"/>
      <c r="AR886" s="92"/>
      <c r="AS886" s="92"/>
      <c r="AT886" s="92"/>
      <c r="AU886" s="92"/>
      <c r="AV886" s="92"/>
      <c r="AW886" s="92"/>
      <c r="AX886" s="92"/>
      <c r="AY886" s="92"/>
      <c r="AZ886" s="58"/>
      <c r="BA886" s="58"/>
      <c r="BB886" s="58"/>
      <c r="BC886" s="58"/>
      <c r="BD886" s="58"/>
      <c r="BE886" s="58"/>
      <c r="BF886" s="58"/>
      <c r="BG886" s="58"/>
      <c r="BH886" s="58"/>
      <c r="BI886" s="58"/>
      <c r="BJ886" s="58"/>
      <c r="BK886" s="58"/>
      <c r="BL886" s="58"/>
      <c r="BM886" s="58"/>
      <c r="BN886" s="58"/>
      <c r="BO886" s="58"/>
      <c r="BP886" s="58"/>
      <c r="BQ886" s="58"/>
      <c r="BR886" s="58"/>
      <c r="BS886" s="58"/>
    </row>
    <row r="887" spans="1:71" ht="15.75" customHeight="1" x14ac:dyDescent="0.2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1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0"/>
      <c r="AP887" s="90"/>
      <c r="AQ887" s="92"/>
      <c r="AR887" s="92"/>
      <c r="AS887" s="92"/>
      <c r="AT887" s="92"/>
      <c r="AU887" s="92"/>
      <c r="AV887" s="92"/>
      <c r="AW887" s="92"/>
      <c r="AX887" s="92"/>
      <c r="AY887" s="92"/>
      <c r="AZ887" s="58"/>
      <c r="BA887" s="58"/>
      <c r="BB887" s="58"/>
      <c r="BC887" s="58"/>
      <c r="BD887" s="58"/>
      <c r="BE887" s="58"/>
      <c r="BF887" s="58"/>
      <c r="BG887" s="58"/>
      <c r="BH887" s="58"/>
      <c r="BI887" s="58"/>
      <c r="BJ887" s="58"/>
      <c r="BK887" s="58"/>
      <c r="BL887" s="58"/>
      <c r="BM887" s="58"/>
      <c r="BN887" s="58"/>
      <c r="BO887" s="58"/>
      <c r="BP887" s="58"/>
      <c r="BQ887" s="58"/>
      <c r="BR887" s="58"/>
      <c r="BS887" s="58"/>
    </row>
    <row r="888" spans="1:71" ht="15.75" customHeight="1" x14ac:dyDescent="0.2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1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2"/>
      <c r="AR888" s="92"/>
      <c r="AS888" s="92"/>
      <c r="AT888" s="92"/>
      <c r="AU888" s="92"/>
      <c r="AV888" s="92"/>
      <c r="AW888" s="92"/>
      <c r="AX888" s="92"/>
      <c r="AY888" s="92"/>
      <c r="AZ888" s="58"/>
      <c r="BA888" s="58"/>
      <c r="BB888" s="58"/>
      <c r="BC888" s="58"/>
      <c r="BD888" s="58"/>
      <c r="BE888" s="58"/>
      <c r="BF888" s="58"/>
      <c r="BG888" s="58"/>
      <c r="BH888" s="58"/>
      <c r="BI888" s="58"/>
      <c r="BJ888" s="58"/>
      <c r="BK888" s="58"/>
      <c r="BL888" s="58"/>
      <c r="BM888" s="58"/>
      <c r="BN888" s="58"/>
      <c r="BO888" s="58"/>
      <c r="BP888" s="58"/>
      <c r="BQ888" s="58"/>
      <c r="BR888" s="58"/>
      <c r="BS888" s="58"/>
    </row>
    <row r="889" spans="1:71" ht="15.75" customHeight="1" x14ac:dyDescent="0.2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1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0"/>
      <c r="AP889" s="90"/>
      <c r="AQ889" s="92"/>
      <c r="AR889" s="92"/>
      <c r="AS889" s="92"/>
      <c r="AT889" s="92"/>
      <c r="AU889" s="92"/>
      <c r="AV889" s="92"/>
      <c r="AW889" s="92"/>
      <c r="AX889" s="92"/>
      <c r="AY889" s="92"/>
      <c r="AZ889" s="58"/>
      <c r="BA889" s="58"/>
      <c r="BB889" s="58"/>
      <c r="BC889" s="58"/>
      <c r="BD889" s="58"/>
      <c r="BE889" s="58"/>
      <c r="BF889" s="58"/>
      <c r="BG889" s="58"/>
      <c r="BH889" s="58"/>
      <c r="BI889" s="58"/>
      <c r="BJ889" s="58"/>
      <c r="BK889" s="58"/>
      <c r="BL889" s="58"/>
      <c r="BM889" s="58"/>
      <c r="BN889" s="58"/>
      <c r="BO889" s="58"/>
      <c r="BP889" s="58"/>
      <c r="BQ889" s="58"/>
      <c r="BR889" s="58"/>
      <c r="BS889" s="58"/>
    </row>
    <row r="890" spans="1:71" ht="15.75" customHeight="1" x14ac:dyDescent="0.2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1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2"/>
      <c r="AR890" s="92"/>
      <c r="AS890" s="92"/>
      <c r="AT890" s="92"/>
      <c r="AU890" s="92"/>
      <c r="AV890" s="92"/>
      <c r="AW890" s="92"/>
      <c r="AX890" s="92"/>
      <c r="AY890" s="92"/>
      <c r="AZ890" s="58"/>
      <c r="BA890" s="58"/>
      <c r="BB890" s="58"/>
      <c r="BC890" s="58"/>
      <c r="BD890" s="58"/>
      <c r="BE890" s="58"/>
      <c r="BF890" s="58"/>
      <c r="BG890" s="58"/>
      <c r="BH890" s="58"/>
      <c r="BI890" s="58"/>
      <c r="BJ890" s="58"/>
      <c r="BK890" s="58"/>
      <c r="BL890" s="58"/>
      <c r="BM890" s="58"/>
      <c r="BN890" s="58"/>
      <c r="BO890" s="58"/>
      <c r="BP890" s="58"/>
      <c r="BQ890" s="58"/>
      <c r="BR890" s="58"/>
      <c r="BS890" s="58"/>
    </row>
    <row r="891" spans="1:71" ht="15.75" customHeight="1" x14ac:dyDescent="0.2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1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0"/>
      <c r="AP891" s="90"/>
      <c r="AQ891" s="92"/>
      <c r="AR891" s="92"/>
      <c r="AS891" s="92"/>
      <c r="AT891" s="92"/>
      <c r="AU891" s="92"/>
      <c r="AV891" s="92"/>
      <c r="AW891" s="92"/>
      <c r="AX891" s="92"/>
      <c r="AY891" s="92"/>
      <c r="AZ891" s="58"/>
      <c r="BA891" s="58"/>
      <c r="BB891" s="58"/>
      <c r="BC891" s="58"/>
      <c r="BD891" s="58"/>
      <c r="BE891" s="58"/>
      <c r="BF891" s="58"/>
      <c r="BG891" s="58"/>
      <c r="BH891" s="58"/>
      <c r="BI891" s="58"/>
      <c r="BJ891" s="58"/>
      <c r="BK891" s="58"/>
      <c r="BL891" s="58"/>
      <c r="BM891" s="58"/>
      <c r="BN891" s="58"/>
      <c r="BO891" s="58"/>
      <c r="BP891" s="58"/>
      <c r="BQ891" s="58"/>
      <c r="BR891" s="58"/>
      <c r="BS891" s="58"/>
    </row>
    <row r="892" spans="1:71" ht="15.75" customHeight="1" x14ac:dyDescent="0.2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1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2"/>
      <c r="AR892" s="92"/>
      <c r="AS892" s="92"/>
      <c r="AT892" s="92"/>
      <c r="AU892" s="92"/>
      <c r="AV892" s="92"/>
      <c r="AW892" s="92"/>
      <c r="AX892" s="92"/>
      <c r="AY892" s="92"/>
      <c r="AZ892" s="58"/>
      <c r="BA892" s="58"/>
      <c r="BB892" s="58"/>
      <c r="BC892" s="58"/>
      <c r="BD892" s="58"/>
      <c r="BE892" s="58"/>
      <c r="BF892" s="58"/>
      <c r="BG892" s="58"/>
      <c r="BH892" s="58"/>
      <c r="BI892" s="58"/>
      <c r="BJ892" s="58"/>
      <c r="BK892" s="58"/>
      <c r="BL892" s="58"/>
      <c r="BM892" s="58"/>
      <c r="BN892" s="58"/>
      <c r="BO892" s="58"/>
      <c r="BP892" s="58"/>
      <c r="BQ892" s="58"/>
      <c r="BR892" s="58"/>
      <c r="BS892" s="58"/>
    </row>
    <row r="893" spans="1:71" ht="15.75" customHeight="1" x14ac:dyDescent="0.2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1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0"/>
      <c r="AP893" s="90"/>
      <c r="AQ893" s="92"/>
      <c r="AR893" s="92"/>
      <c r="AS893" s="92"/>
      <c r="AT893" s="92"/>
      <c r="AU893" s="92"/>
      <c r="AV893" s="92"/>
      <c r="AW893" s="92"/>
      <c r="AX893" s="92"/>
      <c r="AY893" s="92"/>
      <c r="AZ893" s="58"/>
      <c r="BA893" s="58"/>
      <c r="BB893" s="58"/>
      <c r="BC893" s="58"/>
      <c r="BD893" s="58"/>
      <c r="BE893" s="58"/>
      <c r="BF893" s="58"/>
      <c r="BG893" s="58"/>
      <c r="BH893" s="58"/>
      <c r="BI893" s="58"/>
      <c r="BJ893" s="58"/>
      <c r="BK893" s="58"/>
      <c r="BL893" s="58"/>
      <c r="BM893" s="58"/>
      <c r="BN893" s="58"/>
      <c r="BO893" s="58"/>
      <c r="BP893" s="58"/>
      <c r="BQ893" s="58"/>
      <c r="BR893" s="58"/>
      <c r="BS893" s="58"/>
    </row>
    <row r="894" spans="1:71" ht="15.75" customHeight="1" x14ac:dyDescent="0.2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1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2"/>
      <c r="AR894" s="92"/>
      <c r="AS894" s="92"/>
      <c r="AT894" s="92"/>
      <c r="AU894" s="92"/>
      <c r="AV894" s="92"/>
      <c r="AW894" s="92"/>
      <c r="AX894" s="92"/>
      <c r="AY894" s="92"/>
      <c r="AZ894" s="58"/>
      <c r="BA894" s="58"/>
      <c r="BB894" s="58"/>
      <c r="BC894" s="58"/>
      <c r="BD894" s="58"/>
      <c r="BE894" s="58"/>
      <c r="BF894" s="58"/>
      <c r="BG894" s="58"/>
      <c r="BH894" s="58"/>
      <c r="BI894" s="58"/>
      <c r="BJ894" s="58"/>
      <c r="BK894" s="58"/>
      <c r="BL894" s="58"/>
      <c r="BM894" s="58"/>
      <c r="BN894" s="58"/>
      <c r="BO894" s="58"/>
      <c r="BP894" s="58"/>
      <c r="BQ894" s="58"/>
      <c r="BR894" s="58"/>
      <c r="BS894" s="58"/>
    </row>
    <row r="895" spans="1:71" ht="15.75" customHeight="1" x14ac:dyDescent="0.2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1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0"/>
      <c r="AP895" s="90"/>
      <c r="AQ895" s="92"/>
      <c r="AR895" s="92"/>
      <c r="AS895" s="92"/>
      <c r="AT895" s="92"/>
      <c r="AU895" s="92"/>
      <c r="AV895" s="92"/>
      <c r="AW895" s="92"/>
      <c r="AX895" s="92"/>
      <c r="AY895" s="92"/>
      <c r="AZ895" s="58"/>
      <c r="BA895" s="58"/>
      <c r="BB895" s="58"/>
      <c r="BC895" s="58"/>
      <c r="BD895" s="58"/>
      <c r="BE895" s="58"/>
      <c r="BF895" s="58"/>
      <c r="BG895" s="58"/>
      <c r="BH895" s="58"/>
      <c r="BI895" s="58"/>
      <c r="BJ895" s="58"/>
      <c r="BK895" s="58"/>
      <c r="BL895" s="58"/>
      <c r="BM895" s="58"/>
      <c r="BN895" s="58"/>
      <c r="BO895" s="58"/>
      <c r="BP895" s="58"/>
      <c r="BQ895" s="58"/>
      <c r="BR895" s="58"/>
      <c r="BS895" s="58"/>
    </row>
    <row r="896" spans="1:71" ht="15.75" customHeight="1" x14ac:dyDescent="0.2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1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2"/>
      <c r="AR896" s="92"/>
      <c r="AS896" s="92"/>
      <c r="AT896" s="92"/>
      <c r="AU896" s="92"/>
      <c r="AV896" s="92"/>
      <c r="AW896" s="92"/>
      <c r="AX896" s="92"/>
      <c r="AY896" s="92"/>
      <c r="AZ896" s="58"/>
      <c r="BA896" s="58"/>
      <c r="BB896" s="58"/>
      <c r="BC896" s="58"/>
      <c r="BD896" s="58"/>
      <c r="BE896" s="58"/>
      <c r="BF896" s="58"/>
      <c r="BG896" s="58"/>
      <c r="BH896" s="58"/>
      <c r="BI896" s="58"/>
      <c r="BJ896" s="58"/>
      <c r="BK896" s="58"/>
      <c r="BL896" s="58"/>
      <c r="BM896" s="58"/>
      <c r="BN896" s="58"/>
      <c r="BO896" s="58"/>
      <c r="BP896" s="58"/>
      <c r="BQ896" s="58"/>
      <c r="BR896" s="58"/>
      <c r="BS896" s="58"/>
    </row>
    <row r="897" spans="1:71" ht="15.75" customHeight="1" x14ac:dyDescent="0.2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1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0"/>
      <c r="AP897" s="90"/>
      <c r="AQ897" s="92"/>
      <c r="AR897" s="92"/>
      <c r="AS897" s="92"/>
      <c r="AT897" s="92"/>
      <c r="AU897" s="92"/>
      <c r="AV897" s="92"/>
      <c r="AW897" s="92"/>
      <c r="AX897" s="92"/>
      <c r="AY897" s="92"/>
      <c r="AZ897" s="58"/>
      <c r="BA897" s="58"/>
      <c r="BB897" s="58"/>
      <c r="BC897" s="58"/>
      <c r="BD897" s="58"/>
      <c r="BE897" s="58"/>
      <c r="BF897" s="58"/>
      <c r="BG897" s="58"/>
      <c r="BH897" s="58"/>
      <c r="BI897" s="58"/>
      <c r="BJ897" s="58"/>
      <c r="BK897" s="58"/>
      <c r="BL897" s="58"/>
      <c r="BM897" s="58"/>
      <c r="BN897" s="58"/>
      <c r="BO897" s="58"/>
      <c r="BP897" s="58"/>
      <c r="BQ897" s="58"/>
      <c r="BR897" s="58"/>
      <c r="BS897" s="58"/>
    </row>
    <row r="898" spans="1:71" ht="15.75" customHeight="1" x14ac:dyDescent="0.2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1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2"/>
      <c r="AR898" s="92"/>
      <c r="AS898" s="92"/>
      <c r="AT898" s="92"/>
      <c r="AU898" s="92"/>
      <c r="AV898" s="92"/>
      <c r="AW898" s="92"/>
      <c r="AX898" s="92"/>
      <c r="AY898" s="92"/>
      <c r="AZ898" s="58"/>
      <c r="BA898" s="58"/>
      <c r="BB898" s="58"/>
      <c r="BC898" s="58"/>
      <c r="BD898" s="58"/>
      <c r="BE898" s="58"/>
      <c r="BF898" s="58"/>
      <c r="BG898" s="58"/>
      <c r="BH898" s="58"/>
      <c r="BI898" s="58"/>
      <c r="BJ898" s="58"/>
      <c r="BK898" s="58"/>
      <c r="BL898" s="58"/>
      <c r="BM898" s="58"/>
      <c r="BN898" s="58"/>
      <c r="BO898" s="58"/>
      <c r="BP898" s="58"/>
      <c r="BQ898" s="58"/>
      <c r="BR898" s="58"/>
      <c r="BS898" s="58"/>
    </row>
    <row r="899" spans="1:71" ht="15.75" customHeight="1" x14ac:dyDescent="0.2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1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0"/>
      <c r="AP899" s="90"/>
      <c r="AQ899" s="92"/>
      <c r="AR899" s="92"/>
      <c r="AS899" s="92"/>
      <c r="AT899" s="92"/>
      <c r="AU899" s="92"/>
      <c r="AV899" s="92"/>
      <c r="AW899" s="92"/>
      <c r="AX899" s="92"/>
      <c r="AY899" s="92"/>
      <c r="AZ899" s="58"/>
      <c r="BA899" s="58"/>
      <c r="BB899" s="58"/>
      <c r="BC899" s="58"/>
      <c r="BD899" s="58"/>
      <c r="BE899" s="58"/>
      <c r="BF899" s="58"/>
      <c r="BG899" s="58"/>
      <c r="BH899" s="58"/>
      <c r="BI899" s="58"/>
      <c r="BJ899" s="58"/>
      <c r="BK899" s="58"/>
      <c r="BL899" s="58"/>
      <c r="BM899" s="58"/>
      <c r="BN899" s="58"/>
      <c r="BO899" s="58"/>
      <c r="BP899" s="58"/>
      <c r="BQ899" s="58"/>
      <c r="BR899" s="58"/>
      <c r="BS899" s="58"/>
    </row>
    <row r="900" spans="1:71" ht="15.75" customHeight="1" x14ac:dyDescent="0.2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1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2"/>
      <c r="AR900" s="92"/>
      <c r="AS900" s="92"/>
      <c r="AT900" s="92"/>
      <c r="AU900" s="92"/>
      <c r="AV900" s="92"/>
      <c r="AW900" s="92"/>
      <c r="AX900" s="92"/>
      <c r="AY900" s="92"/>
      <c r="AZ900" s="58"/>
      <c r="BA900" s="58"/>
      <c r="BB900" s="58"/>
      <c r="BC900" s="58"/>
      <c r="BD900" s="58"/>
      <c r="BE900" s="58"/>
      <c r="BF900" s="58"/>
      <c r="BG900" s="58"/>
      <c r="BH900" s="58"/>
      <c r="BI900" s="58"/>
      <c r="BJ900" s="58"/>
      <c r="BK900" s="58"/>
      <c r="BL900" s="58"/>
      <c r="BM900" s="58"/>
      <c r="BN900" s="58"/>
      <c r="BO900" s="58"/>
      <c r="BP900" s="58"/>
      <c r="BQ900" s="58"/>
      <c r="BR900" s="58"/>
      <c r="BS900" s="58"/>
    </row>
    <row r="901" spans="1:71" ht="15.75" customHeight="1" x14ac:dyDescent="0.2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1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0"/>
      <c r="AP901" s="90"/>
      <c r="AQ901" s="92"/>
      <c r="AR901" s="92"/>
      <c r="AS901" s="92"/>
      <c r="AT901" s="92"/>
      <c r="AU901" s="92"/>
      <c r="AV901" s="92"/>
      <c r="AW901" s="92"/>
      <c r="AX901" s="92"/>
      <c r="AY901" s="92"/>
      <c r="AZ901" s="58"/>
      <c r="BA901" s="58"/>
      <c r="BB901" s="58"/>
      <c r="BC901" s="58"/>
      <c r="BD901" s="58"/>
      <c r="BE901" s="58"/>
      <c r="BF901" s="58"/>
      <c r="BG901" s="58"/>
      <c r="BH901" s="58"/>
      <c r="BI901" s="58"/>
      <c r="BJ901" s="58"/>
      <c r="BK901" s="58"/>
      <c r="BL901" s="58"/>
      <c r="BM901" s="58"/>
      <c r="BN901" s="58"/>
      <c r="BO901" s="58"/>
      <c r="BP901" s="58"/>
      <c r="BQ901" s="58"/>
      <c r="BR901" s="58"/>
      <c r="BS901" s="58"/>
    </row>
    <row r="902" spans="1:71" ht="15.75" customHeight="1" x14ac:dyDescent="0.2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1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2"/>
      <c r="AR902" s="92"/>
      <c r="AS902" s="92"/>
      <c r="AT902" s="92"/>
      <c r="AU902" s="92"/>
      <c r="AV902" s="92"/>
      <c r="AW902" s="92"/>
      <c r="AX902" s="92"/>
      <c r="AY902" s="92"/>
      <c r="AZ902" s="58"/>
      <c r="BA902" s="58"/>
      <c r="BB902" s="58"/>
      <c r="BC902" s="58"/>
      <c r="BD902" s="58"/>
      <c r="BE902" s="58"/>
      <c r="BF902" s="58"/>
      <c r="BG902" s="58"/>
      <c r="BH902" s="58"/>
      <c r="BI902" s="58"/>
      <c r="BJ902" s="58"/>
      <c r="BK902" s="58"/>
      <c r="BL902" s="58"/>
      <c r="BM902" s="58"/>
      <c r="BN902" s="58"/>
      <c r="BO902" s="58"/>
      <c r="BP902" s="58"/>
      <c r="BQ902" s="58"/>
      <c r="BR902" s="58"/>
      <c r="BS902" s="58"/>
    </row>
    <row r="903" spans="1:71" ht="15.75" customHeight="1" x14ac:dyDescent="0.2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1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0"/>
      <c r="AP903" s="90"/>
      <c r="AQ903" s="92"/>
      <c r="AR903" s="92"/>
      <c r="AS903" s="92"/>
      <c r="AT903" s="92"/>
      <c r="AU903" s="92"/>
      <c r="AV903" s="92"/>
      <c r="AW903" s="92"/>
      <c r="AX903" s="92"/>
      <c r="AY903" s="92"/>
      <c r="AZ903" s="58"/>
      <c r="BA903" s="58"/>
      <c r="BB903" s="58"/>
      <c r="BC903" s="58"/>
      <c r="BD903" s="58"/>
      <c r="BE903" s="58"/>
      <c r="BF903" s="58"/>
      <c r="BG903" s="58"/>
      <c r="BH903" s="58"/>
      <c r="BI903" s="58"/>
      <c r="BJ903" s="58"/>
      <c r="BK903" s="58"/>
      <c r="BL903" s="58"/>
      <c r="BM903" s="58"/>
      <c r="BN903" s="58"/>
      <c r="BO903" s="58"/>
      <c r="BP903" s="58"/>
      <c r="BQ903" s="58"/>
      <c r="BR903" s="58"/>
      <c r="BS903" s="58"/>
    </row>
    <row r="904" spans="1:71" ht="15.75" customHeight="1" x14ac:dyDescent="0.2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1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2"/>
      <c r="AR904" s="92"/>
      <c r="AS904" s="92"/>
      <c r="AT904" s="92"/>
      <c r="AU904" s="92"/>
      <c r="AV904" s="92"/>
      <c r="AW904" s="92"/>
      <c r="AX904" s="92"/>
      <c r="AY904" s="92"/>
      <c r="AZ904" s="58"/>
      <c r="BA904" s="58"/>
      <c r="BB904" s="58"/>
      <c r="BC904" s="58"/>
      <c r="BD904" s="58"/>
      <c r="BE904" s="58"/>
      <c r="BF904" s="58"/>
      <c r="BG904" s="58"/>
      <c r="BH904" s="58"/>
      <c r="BI904" s="58"/>
      <c r="BJ904" s="58"/>
      <c r="BK904" s="58"/>
      <c r="BL904" s="58"/>
      <c r="BM904" s="58"/>
      <c r="BN904" s="58"/>
      <c r="BO904" s="58"/>
      <c r="BP904" s="58"/>
      <c r="BQ904" s="58"/>
      <c r="BR904" s="58"/>
      <c r="BS904" s="58"/>
    </row>
    <row r="905" spans="1:71" ht="15.75" customHeight="1" x14ac:dyDescent="0.2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1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0"/>
      <c r="AP905" s="90"/>
      <c r="AQ905" s="92"/>
      <c r="AR905" s="92"/>
      <c r="AS905" s="92"/>
      <c r="AT905" s="92"/>
      <c r="AU905" s="92"/>
      <c r="AV905" s="92"/>
      <c r="AW905" s="92"/>
      <c r="AX905" s="92"/>
      <c r="AY905" s="92"/>
      <c r="AZ905" s="58"/>
      <c r="BA905" s="58"/>
      <c r="BB905" s="58"/>
      <c r="BC905" s="58"/>
      <c r="BD905" s="58"/>
      <c r="BE905" s="58"/>
      <c r="BF905" s="58"/>
      <c r="BG905" s="58"/>
      <c r="BH905" s="58"/>
      <c r="BI905" s="58"/>
      <c r="BJ905" s="58"/>
      <c r="BK905" s="58"/>
      <c r="BL905" s="58"/>
      <c r="BM905" s="58"/>
      <c r="BN905" s="58"/>
      <c r="BO905" s="58"/>
      <c r="BP905" s="58"/>
      <c r="BQ905" s="58"/>
      <c r="BR905" s="58"/>
      <c r="BS905" s="58"/>
    </row>
    <row r="906" spans="1:71" ht="15.75" customHeight="1" x14ac:dyDescent="0.2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1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2"/>
      <c r="AR906" s="92"/>
      <c r="AS906" s="92"/>
      <c r="AT906" s="92"/>
      <c r="AU906" s="92"/>
      <c r="AV906" s="92"/>
      <c r="AW906" s="92"/>
      <c r="AX906" s="92"/>
      <c r="AY906" s="92"/>
      <c r="AZ906" s="58"/>
      <c r="BA906" s="58"/>
      <c r="BB906" s="58"/>
      <c r="BC906" s="58"/>
      <c r="BD906" s="58"/>
      <c r="BE906" s="58"/>
      <c r="BF906" s="58"/>
      <c r="BG906" s="58"/>
      <c r="BH906" s="58"/>
      <c r="BI906" s="58"/>
      <c r="BJ906" s="58"/>
      <c r="BK906" s="58"/>
      <c r="BL906" s="58"/>
      <c r="BM906" s="58"/>
      <c r="BN906" s="58"/>
      <c r="BO906" s="58"/>
      <c r="BP906" s="58"/>
      <c r="BQ906" s="58"/>
      <c r="BR906" s="58"/>
      <c r="BS906" s="58"/>
    </row>
    <row r="907" spans="1:71" ht="15.75" customHeight="1" x14ac:dyDescent="0.2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1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0"/>
      <c r="AP907" s="90"/>
      <c r="AQ907" s="92"/>
      <c r="AR907" s="92"/>
      <c r="AS907" s="92"/>
      <c r="AT907" s="92"/>
      <c r="AU907" s="92"/>
      <c r="AV907" s="92"/>
      <c r="AW907" s="92"/>
      <c r="AX907" s="92"/>
      <c r="AY907" s="92"/>
      <c r="AZ907" s="58"/>
      <c r="BA907" s="58"/>
      <c r="BB907" s="58"/>
      <c r="BC907" s="58"/>
      <c r="BD907" s="58"/>
      <c r="BE907" s="58"/>
      <c r="BF907" s="58"/>
      <c r="BG907" s="58"/>
      <c r="BH907" s="58"/>
      <c r="BI907" s="58"/>
      <c r="BJ907" s="58"/>
      <c r="BK907" s="58"/>
      <c r="BL907" s="58"/>
      <c r="BM907" s="58"/>
      <c r="BN907" s="58"/>
      <c r="BO907" s="58"/>
      <c r="BP907" s="58"/>
      <c r="BQ907" s="58"/>
      <c r="BR907" s="58"/>
      <c r="BS907" s="58"/>
    </row>
    <row r="908" spans="1:71" ht="15.75" customHeight="1" x14ac:dyDescent="0.2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1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2"/>
      <c r="AR908" s="92"/>
      <c r="AS908" s="92"/>
      <c r="AT908" s="92"/>
      <c r="AU908" s="92"/>
      <c r="AV908" s="92"/>
      <c r="AW908" s="92"/>
      <c r="AX908" s="92"/>
      <c r="AY908" s="92"/>
      <c r="AZ908" s="58"/>
      <c r="BA908" s="58"/>
      <c r="BB908" s="58"/>
      <c r="BC908" s="58"/>
      <c r="BD908" s="58"/>
      <c r="BE908" s="58"/>
      <c r="BF908" s="58"/>
      <c r="BG908" s="58"/>
      <c r="BH908" s="58"/>
      <c r="BI908" s="58"/>
      <c r="BJ908" s="58"/>
      <c r="BK908" s="58"/>
      <c r="BL908" s="58"/>
      <c r="BM908" s="58"/>
      <c r="BN908" s="58"/>
      <c r="BO908" s="58"/>
      <c r="BP908" s="58"/>
      <c r="BQ908" s="58"/>
      <c r="BR908" s="58"/>
      <c r="BS908" s="58"/>
    </row>
    <row r="909" spans="1:71" ht="15.75" customHeight="1" x14ac:dyDescent="0.2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1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0"/>
      <c r="AP909" s="90"/>
      <c r="AQ909" s="92"/>
      <c r="AR909" s="92"/>
      <c r="AS909" s="92"/>
      <c r="AT909" s="92"/>
      <c r="AU909" s="92"/>
      <c r="AV909" s="92"/>
      <c r="AW909" s="92"/>
      <c r="AX909" s="92"/>
      <c r="AY909" s="92"/>
      <c r="AZ909" s="58"/>
      <c r="BA909" s="58"/>
      <c r="BB909" s="58"/>
      <c r="BC909" s="58"/>
      <c r="BD909" s="58"/>
      <c r="BE909" s="58"/>
      <c r="BF909" s="58"/>
      <c r="BG909" s="58"/>
      <c r="BH909" s="58"/>
      <c r="BI909" s="58"/>
      <c r="BJ909" s="58"/>
      <c r="BK909" s="58"/>
      <c r="BL909" s="58"/>
      <c r="BM909" s="58"/>
      <c r="BN909" s="58"/>
      <c r="BO909" s="58"/>
      <c r="BP909" s="58"/>
      <c r="BQ909" s="58"/>
      <c r="BR909" s="58"/>
      <c r="BS909" s="58"/>
    </row>
    <row r="910" spans="1:71" ht="15.75" customHeight="1" x14ac:dyDescent="0.2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1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2"/>
      <c r="AR910" s="92"/>
      <c r="AS910" s="92"/>
      <c r="AT910" s="92"/>
      <c r="AU910" s="92"/>
      <c r="AV910" s="92"/>
      <c r="AW910" s="92"/>
      <c r="AX910" s="92"/>
      <c r="AY910" s="92"/>
      <c r="AZ910" s="58"/>
      <c r="BA910" s="58"/>
      <c r="BB910" s="58"/>
      <c r="BC910" s="58"/>
      <c r="BD910" s="58"/>
      <c r="BE910" s="58"/>
      <c r="BF910" s="58"/>
      <c r="BG910" s="58"/>
      <c r="BH910" s="58"/>
      <c r="BI910" s="58"/>
      <c r="BJ910" s="58"/>
      <c r="BK910" s="58"/>
      <c r="BL910" s="58"/>
      <c r="BM910" s="58"/>
      <c r="BN910" s="58"/>
      <c r="BO910" s="58"/>
      <c r="BP910" s="58"/>
      <c r="BQ910" s="58"/>
      <c r="BR910" s="58"/>
      <c r="BS910" s="58"/>
    </row>
    <row r="911" spans="1:71" ht="15.75" customHeight="1" x14ac:dyDescent="0.2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1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0"/>
      <c r="AP911" s="90"/>
      <c r="AQ911" s="92"/>
      <c r="AR911" s="92"/>
      <c r="AS911" s="92"/>
      <c r="AT911" s="92"/>
      <c r="AU911" s="92"/>
      <c r="AV911" s="92"/>
      <c r="AW911" s="92"/>
      <c r="AX911" s="92"/>
      <c r="AY911" s="92"/>
      <c r="AZ911" s="58"/>
      <c r="BA911" s="58"/>
      <c r="BB911" s="58"/>
      <c r="BC911" s="58"/>
      <c r="BD911" s="58"/>
      <c r="BE911" s="58"/>
      <c r="BF911" s="58"/>
      <c r="BG911" s="58"/>
      <c r="BH911" s="58"/>
      <c r="BI911" s="58"/>
      <c r="BJ911" s="58"/>
      <c r="BK911" s="58"/>
      <c r="BL911" s="58"/>
      <c r="BM911" s="58"/>
      <c r="BN911" s="58"/>
      <c r="BO911" s="58"/>
      <c r="BP911" s="58"/>
      <c r="BQ911" s="58"/>
      <c r="BR911" s="58"/>
      <c r="BS911" s="58"/>
    </row>
    <row r="912" spans="1:71" ht="15.75" customHeight="1" x14ac:dyDescent="0.2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1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2"/>
      <c r="AR912" s="92"/>
      <c r="AS912" s="92"/>
      <c r="AT912" s="92"/>
      <c r="AU912" s="92"/>
      <c r="AV912" s="92"/>
      <c r="AW912" s="92"/>
      <c r="AX912" s="92"/>
      <c r="AY912" s="92"/>
      <c r="AZ912" s="58"/>
      <c r="BA912" s="58"/>
      <c r="BB912" s="58"/>
      <c r="BC912" s="58"/>
      <c r="BD912" s="58"/>
      <c r="BE912" s="58"/>
      <c r="BF912" s="58"/>
      <c r="BG912" s="58"/>
      <c r="BH912" s="58"/>
      <c r="BI912" s="58"/>
      <c r="BJ912" s="58"/>
      <c r="BK912" s="58"/>
      <c r="BL912" s="58"/>
      <c r="BM912" s="58"/>
      <c r="BN912" s="58"/>
      <c r="BO912" s="58"/>
      <c r="BP912" s="58"/>
      <c r="BQ912" s="58"/>
      <c r="BR912" s="58"/>
      <c r="BS912" s="58"/>
    </row>
    <row r="913" spans="1:71" ht="15.75" customHeight="1" x14ac:dyDescent="0.2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1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0"/>
      <c r="AP913" s="90"/>
      <c r="AQ913" s="92"/>
      <c r="AR913" s="92"/>
      <c r="AS913" s="92"/>
      <c r="AT913" s="92"/>
      <c r="AU913" s="92"/>
      <c r="AV913" s="92"/>
      <c r="AW913" s="92"/>
      <c r="AX913" s="92"/>
      <c r="AY913" s="92"/>
      <c r="AZ913" s="58"/>
      <c r="BA913" s="58"/>
      <c r="BB913" s="58"/>
      <c r="BC913" s="58"/>
      <c r="BD913" s="58"/>
      <c r="BE913" s="58"/>
      <c r="BF913" s="58"/>
      <c r="BG913" s="58"/>
      <c r="BH913" s="58"/>
      <c r="BI913" s="58"/>
      <c r="BJ913" s="58"/>
      <c r="BK913" s="58"/>
      <c r="BL913" s="58"/>
      <c r="BM913" s="58"/>
      <c r="BN913" s="58"/>
      <c r="BO913" s="58"/>
      <c r="BP913" s="58"/>
      <c r="BQ913" s="58"/>
      <c r="BR913" s="58"/>
      <c r="BS913" s="58"/>
    </row>
    <row r="914" spans="1:71" ht="15.75" customHeight="1" x14ac:dyDescent="0.2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1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2"/>
      <c r="AR914" s="92"/>
      <c r="AS914" s="92"/>
      <c r="AT914" s="92"/>
      <c r="AU914" s="92"/>
      <c r="AV914" s="92"/>
      <c r="AW914" s="92"/>
      <c r="AX914" s="92"/>
      <c r="AY914" s="92"/>
      <c r="AZ914" s="58"/>
      <c r="BA914" s="58"/>
      <c r="BB914" s="58"/>
      <c r="BC914" s="58"/>
      <c r="BD914" s="58"/>
      <c r="BE914" s="58"/>
      <c r="BF914" s="58"/>
      <c r="BG914" s="58"/>
      <c r="BH914" s="58"/>
      <c r="BI914" s="58"/>
      <c r="BJ914" s="58"/>
      <c r="BK914" s="58"/>
      <c r="BL914" s="58"/>
      <c r="BM914" s="58"/>
      <c r="BN914" s="58"/>
      <c r="BO914" s="58"/>
      <c r="BP914" s="58"/>
      <c r="BQ914" s="58"/>
      <c r="BR914" s="58"/>
      <c r="BS914" s="58"/>
    </row>
    <row r="915" spans="1:71" ht="15.75" customHeight="1" x14ac:dyDescent="0.2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1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0"/>
      <c r="AP915" s="90"/>
      <c r="AQ915" s="92"/>
      <c r="AR915" s="92"/>
      <c r="AS915" s="92"/>
      <c r="AT915" s="92"/>
      <c r="AU915" s="92"/>
      <c r="AV915" s="92"/>
      <c r="AW915" s="92"/>
      <c r="AX915" s="92"/>
      <c r="AY915" s="92"/>
      <c r="AZ915" s="58"/>
      <c r="BA915" s="58"/>
      <c r="BB915" s="58"/>
      <c r="BC915" s="58"/>
      <c r="BD915" s="58"/>
      <c r="BE915" s="58"/>
      <c r="BF915" s="58"/>
      <c r="BG915" s="58"/>
      <c r="BH915" s="58"/>
      <c r="BI915" s="58"/>
      <c r="BJ915" s="58"/>
      <c r="BK915" s="58"/>
      <c r="BL915" s="58"/>
      <c r="BM915" s="58"/>
      <c r="BN915" s="58"/>
      <c r="BO915" s="58"/>
      <c r="BP915" s="58"/>
      <c r="BQ915" s="58"/>
      <c r="BR915" s="58"/>
      <c r="BS915" s="58"/>
    </row>
    <row r="916" spans="1:71" ht="15.75" customHeight="1" x14ac:dyDescent="0.2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1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2"/>
      <c r="AR916" s="92"/>
      <c r="AS916" s="92"/>
      <c r="AT916" s="92"/>
      <c r="AU916" s="92"/>
      <c r="AV916" s="92"/>
      <c r="AW916" s="92"/>
      <c r="AX916" s="92"/>
      <c r="AY916" s="92"/>
      <c r="AZ916" s="58"/>
      <c r="BA916" s="58"/>
      <c r="BB916" s="58"/>
      <c r="BC916" s="58"/>
      <c r="BD916" s="58"/>
      <c r="BE916" s="58"/>
      <c r="BF916" s="58"/>
      <c r="BG916" s="58"/>
      <c r="BH916" s="58"/>
      <c r="BI916" s="58"/>
      <c r="BJ916" s="58"/>
      <c r="BK916" s="58"/>
      <c r="BL916" s="58"/>
      <c r="BM916" s="58"/>
      <c r="BN916" s="58"/>
      <c r="BO916" s="58"/>
      <c r="BP916" s="58"/>
      <c r="BQ916" s="58"/>
      <c r="BR916" s="58"/>
      <c r="BS916" s="58"/>
    </row>
    <row r="917" spans="1:71" ht="15.75" customHeight="1" x14ac:dyDescent="0.2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1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0"/>
      <c r="AP917" s="90"/>
      <c r="AQ917" s="92"/>
      <c r="AR917" s="92"/>
      <c r="AS917" s="92"/>
      <c r="AT917" s="92"/>
      <c r="AU917" s="92"/>
      <c r="AV917" s="92"/>
      <c r="AW917" s="92"/>
      <c r="AX917" s="92"/>
      <c r="AY917" s="92"/>
      <c r="AZ917" s="58"/>
      <c r="BA917" s="58"/>
      <c r="BB917" s="58"/>
      <c r="BC917" s="58"/>
      <c r="BD917" s="58"/>
      <c r="BE917" s="58"/>
      <c r="BF917" s="58"/>
      <c r="BG917" s="58"/>
      <c r="BH917" s="58"/>
      <c r="BI917" s="58"/>
      <c r="BJ917" s="58"/>
      <c r="BK917" s="58"/>
      <c r="BL917" s="58"/>
      <c r="BM917" s="58"/>
      <c r="BN917" s="58"/>
      <c r="BO917" s="58"/>
      <c r="BP917" s="58"/>
      <c r="BQ917" s="58"/>
      <c r="BR917" s="58"/>
      <c r="BS917" s="58"/>
    </row>
    <row r="918" spans="1:71" ht="15.75" customHeight="1" x14ac:dyDescent="0.2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1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2"/>
      <c r="AR918" s="92"/>
      <c r="AS918" s="92"/>
      <c r="AT918" s="92"/>
      <c r="AU918" s="92"/>
      <c r="AV918" s="92"/>
      <c r="AW918" s="92"/>
      <c r="AX918" s="92"/>
      <c r="AY918" s="92"/>
      <c r="AZ918" s="58"/>
      <c r="BA918" s="58"/>
      <c r="BB918" s="58"/>
      <c r="BC918" s="58"/>
      <c r="BD918" s="58"/>
      <c r="BE918" s="58"/>
      <c r="BF918" s="58"/>
      <c r="BG918" s="58"/>
      <c r="BH918" s="58"/>
      <c r="BI918" s="58"/>
      <c r="BJ918" s="58"/>
      <c r="BK918" s="58"/>
      <c r="BL918" s="58"/>
      <c r="BM918" s="58"/>
      <c r="BN918" s="58"/>
      <c r="BO918" s="58"/>
      <c r="BP918" s="58"/>
      <c r="BQ918" s="58"/>
      <c r="BR918" s="58"/>
      <c r="BS918" s="58"/>
    </row>
    <row r="919" spans="1:71" ht="15.75" customHeight="1" x14ac:dyDescent="0.2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1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0"/>
      <c r="AP919" s="90"/>
      <c r="AQ919" s="92"/>
      <c r="AR919" s="92"/>
      <c r="AS919" s="92"/>
      <c r="AT919" s="92"/>
      <c r="AU919" s="92"/>
      <c r="AV919" s="92"/>
      <c r="AW919" s="92"/>
      <c r="AX919" s="92"/>
      <c r="AY919" s="92"/>
      <c r="AZ919" s="58"/>
      <c r="BA919" s="58"/>
      <c r="BB919" s="58"/>
      <c r="BC919" s="58"/>
      <c r="BD919" s="58"/>
      <c r="BE919" s="58"/>
      <c r="BF919" s="58"/>
      <c r="BG919" s="58"/>
      <c r="BH919" s="58"/>
      <c r="BI919" s="58"/>
      <c r="BJ919" s="58"/>
      <c r="BK919" s="58"/>
      <c r="BL919" s="58"/>
      <c r="BM919" s="58"/>
      <c r="BN919" s="58"/>
      <c r="BO919" s="58"/>
      <c r="BP919" s="58"/>
      <c r="BQ919" s="58"/>
      <c r="BR919" s="58"/>
      <c r="BS919" s="58"/>
    </row>
    <row r="920" spans="1:71" ht="15.75" customHeight="1" x14ac:dyDescent="0.2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1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2"/>
      <c r="AR920" s="92"/>
      <c r="AS920" s="92"/>
      <c r="AT920" s="92"/>
      <c r="AU920" s="92"/>
      <c r="AV920" s="92"/>
      <c r="AW920" s="92"/>
      <c r="AX920" s="92"/>
      <c r="AY920" s="92"/>
      <c r="AZ920" s="58"/>
      <c r="BA920" s="58"/>
      <c r="BB920" s="58"/>
      <c r="BC920" s="58"/>
      <c r="BD920" s="58"/>
      <c r="BE920" s="58"/>
      <c r="BF920" s="58"/>
      <c r="BG920" s="58"/>
      <c r="BH920" s="58"/>
      <c r="BI920" s="58"/>
      <c r="BJ920" s="58"/>
      <c r="BK920" s="58"/>
      <c r="BL920" s="58"/>
      <c r="BM920" s="58"/>
      <c r="BN920" s="58"/>
      <c r="BO920" s="58"/>
      <c r="BP920" s="58"/>
      <c r="BQ920" s="58"/>
      <c r="BR920" s="58"/>
      <c r="BS920" s="58"/>
    </row>
    <row r="921" spans="1:71" ht="15.75" customHeight="1" x14ac:dyDescent="0.2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1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0"/>
      <c r="AP921" s="90"/>
      <c r="AQ921" s="92"/>
      <c r="AR921" s="92"/>
      <c r="AS921" s="92"/>
      <c r="AT921" s="92"/>
      <c r="AU921" s="92"/>
      <c r="AV921" s="92"/>
      <c r="AW921" s="92"/>
      <c r="AX921" s="92"/>
      <c r="AY921" s="92"/>
      <c r="AZ921" s="58"/>
      <c r="BA921" s="58"/>
      <c r="BB921" s="58"/>
      <c r="BC921" s="58"/>
      <c r="BD921" s="58"/>
      <c r="BE921" s="58"/>
      <c r="BF921" s="58"/>
      <c r="BG921" s="58"/>
      <c r="BH921" s="58"/>
      <c r="BI921" s="58"/>
      <c r="BJ921" s="58"/>
      <c r="BK921" s="58"/>
      <c r="BL921" s="58"/>
      <c r="BM921" s="58"/>
      <c r="BN921" s="58"/>
      <c r="BO921" s="58"/>
      <c r="BP921" s="58"/>
      <c r="BQ921" s="58"/>
      <c r="BR921" s="58"/>
      <c r="BS921" s="58"/>
    </row>
    <row r="922" spans="1:71" ht="15.75" customHeight="1" x14ac:dyDescent="0.2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1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2"/>
      <c r="AR922" s="92"/>
      <c r="AS922" s="92"/>
      <c r="AT922" s="92"/>
      <c r="AU922" s="92"/>
      <c r="AV922" s="92"/>
      <c r="AW922" s="92"/>
      <c r="AX922" s="92"/>
      <c r="AY922" s="92"/>
      <c r="AZ922" s="58"/>
      <c r="BA922" s="58"/>
      <c r="BB922" s="58"/>
      <c r="BC922" s="58"/>
      <c r="BD922" s="58"/>
      <c r="BE922" s="58"/>
      <c r="BF922" s="58"/>
      <c r="BG922" s="58"/>
      <c r="BH922" s="58"/>
      <c r="BI922" s="58"/>
      <c r="BJ922" s="58"/>
      <c r="BK922" s="58"/>
      <c r="BL922" s="58"/>
      <c r="BM922" s="58"/>
      <c r="BN922" s="58"/>
      <c r="BO922" s="58"/>
      <c r="BP922" s="58"/>
      <c r="BQ922" s="58"/>
      <c r="BR922" s="58"/>
      <c r="BS922" s="58"/>
    </row>
    <row r="923" spans="1:71" ht="15.75" customHeight="1" x14ac:dyDescent="0.2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1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0"/>
      <c r="AP923" s="90"/>
      <c r="AQ923" s="92"/>
      <c r="AR923" s="92"/>
      <c r="AS923" s="92"/>
      <c r="AT923" s="92"/>
      <c r="AU923" s="92"/>
      <c r="AV923" s="92"/>
      <c r="AW923" s="92"/>
      <c r="AX923" s="92"/>
      <c r="AY923" s="92"/>
      <c r="AZ923" s="58"/>
      <c r="BA923" s="58"/>
      <c r="BB923" s="58"/>
      <c r="BC923" s="58"/>
      <c r="BD923" s="58"/>
      <c r="BE923" s="58"/>
      <c r="BF923" s="58"/>
      <c r="BG923" s="58"/>
      <c r="BH923" s="58"/>
      <c r="BI923" s="58"/>
      <c r="BJ923" s="58"/>
      <c r="BK923" s="58"/>
      <c r="BL923" s="58"/>
      <c r="BM923" s="58"/>
      <c r="BN923" s="58"/>
      <c r="BO923" s="58"/>
      <c r="BP923" s="58"/>
      <c r="BQ923" s="58"/>
      <c r="BR923" s="58"/>
      <c r="BS923" s="58"/>
    </row>
    <row r="924" spans="1:71" ht="15.75" customHeight="1" x14ac:dyDescent="0.2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1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2"/>
      <c r="AR924" s="92"/>
      <c r="AS924" s="92"/>
      <c r="AT924" s="92"/>
      <c r="AU924" s="92"/>
      <c r="AV924" s="92"/>
      <c r="AW924" s="92"/>
      <c r="AX924" s="92"/>
      <c r="AY924" s="92"/>
      <c r="AZ924" s="58"/>
      <c r="BA924" s="58"/>
      <c r="BB924" s="58"/>
      <c r="BC924" s="58"/>
      <c r="BD924" s="58"/>
      <c r="BE924" s="58"/>
      <c r="BF924" s="58"/>
      <c r="BG924" s="58"/>
      <c r="BH924" s="58"/>
      <c r="BI924" s="58"/>
      <c r="BJ924" s="58"/>
      <c r="BK924" s="58"/>
      <c r="BL924" s="58"/>
      <c r="BM924" s="58"/>
      <c r="BN924" s="58"/>
      <c r="BO924" s="58"/>
      <c r="BP924" s="58"/>
      <c r="BQ924" s="58"/>
      <c r="BR924" s="58"/>
      <c r="BS924" s="58"/>
    </row>
    <row r="925" spans="1:71" ht="15.75" customHeight="1" x14ac:dyDescent="0.2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1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0"/>
      <c r="AP925" s="90"/>
      <c r="AQ925" s="92"/>
      <c r="AR925" s="92"/>
      <c r="AS925" s="92"/>
      <c r="AT925" s="92"/>
      <c r="AU925" s="92"/>
      <c r="AV925" s="92"/>
      <c r="AW925" s="92"/>
      <c r="AX925" s="92"/>
      <c r="AY925" s="92"/>
      <c r="AZ925" s="58"/>
      <c r="BA925" s="58"/>
      <c r="BB925" s="58"/>
      <c r="BC925" s="58"/>
      <c r="BD925" s="58"/>
      <c r="BE925" s="58"/>
      <c r="BF925" s="58"/>
      <c r="BG925" s="58"/>
      <c r="BH925" s="58"/>
      <c r="BI925" s="58"/>
      <c r="BJ925" s="58"/>
      <c r="BK925" s="58"/>
      <c r="BL925" s="58"/>
      <c r="BM925" s="58"/>
      <c r="BN925" s="58"/>
      <c r="BO925" s="58"/>
      <c r="BP925" s="58"/>
      <c r="BQ925" s="58"/>
      <c r="BR925" s="58"/>
      <c r="BS925" s="58"/>
    </row>
    <row r="926" spans="1:71" ht="15.75" customHeight="1" x14ac:dyDescent="0.2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1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2"/>
      <c r="AR926" s="92"/>
      <c r="AS926" s="92"/>
      <c r="AT926" s="92"/>
      <c r="AU926" s="92"/>
      <c r="AV926" s="92"/>
      <c r="AW926" s="92"/>
      <c r="AX926" s="92"/>
      <c r="AY926" s="92"/>
      <c r="AZ926" s="58"/>
      <c r="BA926" s="58"/>
      <c r="BB926" s="58"/>
      <c r="BC926" s="58"/>
      <c r="BD926" s="58"/>
      <c r="BE926" s="58"/>
      <c r="BF926" s="58"/>
      <c r="BG926" s="58"/>
      <c r="BH926" s="58"/>
      <c r="BI926" s="58"/>
      <c r="BJ926" s="58"/>
      <c r="BK926" s="58"/>
      <c r="BL926" s="58"/>
      <c r="BM926" s="58"/>
      <c r="BN926" s="58"/>
      <c r="BO926" s="58"/>
      <c r="BP926" s="58"/>
      <c r="BQ926" s="58"/>
      <c r="BR926" s="58"/>
      <c r="BS926" s="58"/>
    </row>
    <row r="927" spans="1:71" ht="15.75" customHeight="1" x14ac:dyDescent="0.2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1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0"/>
      <c r="AP927" s="90"/>
      <c r="AQ927" s="92"/>
      <c r="AR927" s="92"/>
      <c r="AS927" s="92"/>
      <c r="AT927" s="92"/>
      <c r="AU927" s="92"/>
      <c r="AV927" s="92"/>
      <c r="AW927" s="92"/>
      <c r="AX927" s="92"/>
      <c r="AY927" s="92"/>
      <c r="AZ927" s="58"/>
      <c r="BA927" s="58"/>
      <c r="BB927" s="58"/>
      <c r="BC927" s="58"/>
      <c r="BD927" s="58"/>
      <c r="BE927" s="58"/>
      <c r="BF927" s="58"/>
      <c r="BG927" s="58"/>
      <c r="BH927" s="58"/>
      <c r="BI927" s="58"/>
      <c r="BJ927" s="58"/>
      <c r="BK927" s="58"/>
      <c r="BL927" s="58"/>
      <c r="BM927" s="58"/>
      <c r="BN927" s="58"/>
      <c r="BO927" s="58"/>
      <c r="BP927" s="58"/>
      <c r="BQ927" s="58"/>
      <c r="BR927" s="58"/>
      <c r="BS927" s="58"/>
    </row>
    <row r="928" spans="1:71" ht="15.75" customHeight="1" x14ac:dyDescent="0.2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1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2"/>
      <c r="AR928" s="92"/>
      <c r="AS928" s="92"/>
      <c r="AT928" s="92"/>
      <c r="AU928" s="92"/>
      <c r="AV928" s="92"/>
      <c r="AW928" s="92"/>
      <c r="AX928" s="92"/>
      <c r="AY928" s="92"/>
      <c r="AZ928" s="58"/>
      <c r="BA928" s="58"/>
      <c r="BB928" s="58"/>
      <c r="BC928" s="58"/>
      <c r="BD928" s="58"/>
      <c r="BE928" s="58"/>
      <c r="BF928" s="58"/>
      <c r="BG928" s="58"/>
      <c r="BH928" s="58"/>
      <c r="BI928" s="58"/>
      <c r="BJ928" s="58"/>
      <c r="BK928" s="58"/>
      <c r="BL928" s="58"/>
      <c r="BM928" s="58"/>
      <c r="BN928" s="58"/>
      <c r="BO928" s="58"/>
      <c r="BP928" s="58"/>
      <c r="BQ928" s="58"/>
      <c r="BR928" s="58"/>
      <c r="BS928" s="58"/>
    </row>
    <row r="929" spans="1:71" ht="15.75" customHeight="1" x14ac:dyDescent="0.2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1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0"/>
      <c r="AP929" s="90"/>
      <c r="AQ929" s="92"/>
      <c r="AR929" s="92"/>
      <c r="AS929" s="92"/>
      <c r="AT929" s="92"/>
      <c r="AU929" s="92"/>
      <c r="AV929" s="92"/>
      <c r="AW929" s="92"/>
      <c r="AX929" s="92"/>
      <c r="AY929" s="92"/>
      <c r="AZ929" s="58"/>
      <c r="BA929" s="58"/>
      <c r="BB929" s="58"/>
      <c r="BC929" s="58"/>
      <c r="BD929" s="58"/>
      <c r="BE929" s="58"/>
      <c r="BF929" s="58"/>
      <c r="BG929" s="58"/>
      <c r="BH929" s="58"/>
      <c r="BI929" s="58"/>
      <c r="BJ929" s="58"/>
      <c r="BK929" s="58"/>
      <c r="BL929" s="58"/>
      <c r="BM929" s="58"/>
      <c r="BN929" s="58"/>
      <c r="BO929" s="58"/>
      <c r="BP929" s="58"/>
      <c r="BQ929" s="58"/>
      <c r="BR929" s="58"/>
      <c r="BS929" s="58"/>
    </row>
    <row r="930" spans="1:71" ht="15.75" customHeight="1" x14ac:dyDescent="0.2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1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2"/>
      <c r="AR930" s="92"/>
      <c r="AS930" s="92"/>
      <c r="AT930" s="92"/>
      <c r="AU930" s="92"/>
      <c r="AV930" s="92"/>
      <c r="AW930" s="92"/>
      <c r="AX930" s="92"/>
      <c r="AY930" s="92"/>
      <c r="AZ930" s="58"/>
      <c r="BA930" s="58"/>
      <c r="BB930" s="58"/>
      <c r="BC930" s="58"/>
      <c r="BD930" s="58"/>
      <c r="BE930" s="58"/>
      <c r="BF930" s="58"/>
      <c r="BG930" s="58"/>
      <c r="BH930" s="58"/>
      <c r="BI930" s="58"/>
      <c r="BJ930" s="58"/>
      <c r="BK930" s="58"/>
      <c r="BL930" s="58"/>
      <c r="BM930" s="58"/>
      <c r="BN930" s="58"/>
      <c r="BO930" s="58"/>
      <c r="BP930" s="58"/>
      <c r="BQ930" s="58"/>
      <c r="BR930" s="58"/>
      <c r="BS930" s="58"/>
    </row>
    <row r="931" spans="1:71" ht="15.75" customHeight="1" x14ac:dyDescent="0.2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1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0"/>
      <c r="AP931" s="90"/>
      <c r="AQ931" s="92"/>
      <c r="AR931" s="92"/>
      <c r="AS931" s="92"/>
      <c r="AT931" s="92"/>
      <c r="AU931" s="92"/>
      <c r="AV931" s="92"/>
      <c r="AW931" s="92"/>
      <c r="AX931" s="92"/>
      <c r="AY931" s="92"/>
      <c r="AZ931" s="58"/>
      <c r="BA931" s="58"/>
      <c r="BB931" s="58"/>
      <c r="BC931" s="58"/>
      <c r="BD931" s="58"/>
      <c r="BE931" s="58"/>
      <c r="BF931" s="58"/>
      <c r="BG931" s="58"/>
      <c r="BH931" s="58"/>
      <c r="BI931" s="58"/>
      <c r="BJ931" s="58"/>
      <c r="BK931" s="58"/>
      <c r="BL931" s="58"/>
      <c r="BM931" s="58"/>
      <c r="BN931" s="58"/>
      <c r="BO931" s="58"/>
      <c r="BP931" s="58"/>
      <c r="BQ931" s="58"/>
      <c r="BR931" s="58"/>
      <c r="BS931" s="58"/>
    </row>
    <row r="932" spans="1:71" ht="15.75" customHeight="1" x14ac:dyDescent="0.2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1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2"/>
      <c r="AR932" s="92"/>
      <c r="AS932" s="92"/>
      <c r="AT932" s="92"/>
      <c r="AU932" s="92"/>
      <c r="AV932" s="92"/>
      <c r="AW932" s="92"/>
      <c r="AX932" s="92"/>
      <c r="AY932" s="92"/>
      <c r="AZ932" s="58"/>
      <c r="BA932" s="58"/>
      <c r="BB932" s="58"/>
      <c r="BC932" s="58"/>
      <c r="BD932" s="58"/>
      <c r="BE932" s="58"/>
      <c r="BF932" s="58"/>
      <c r="BG932" s="58"/>
      <c r="BH932" s="58"/>
      <c r="BI932" s="58"/>
      <c r="BJ932" s="58"/>
      <c r="BK932" s="58"/>
      <c r="BL932" s="58"/>
      <c r="BM932" s="58"/>
      <c r="BN932" s="58"/>
      <c r="BO932" s="58"/>
      <c r="BP932" s="58"/>
      <c r="BQ932" s="58"/>
      <c r="BR932" s="58"/>
      <c r="BS932" s="58"/>
    </row>
    <row r="933" spans="1:71" ht="15.75" customHeight="1" x14ac:dyDescent="0.2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1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0"/>
      <c r="AP933" s="90"/>
      <c r="AQ933" s="92"/>
      <c r="AR933" s="92"/>
      <c r="AS933" s="92"/>
      <c r="AT933" s="92"/>
      <c r="AU933" s="92"/>
      <c r="AV933" s="92"/>
      <c r="AW933" s="92"/>
      <c r="AX933" s="92"/>
      <c r="AY933" s="92"/>
      <c r="AZ933" s="58"/>
      <c r="BA933" s="58"/>
      <c r="BB933" s="58"/>
      <c r="BC933" s="58"/>
      <c r="BD933" s="58"/>
      <c r="BE933" s="58"/>
      <c r="BF933" s="58"/>
      <c r="BG933" s="58"/>
      <c r="BH933" s="58"/>
      <c r="BI933" s="58"/>
      <c r="BJ933" s="58"/>
      <c r="BK933" s="58"/>
      <c r="BL933" s="58"/>
      <c r="BM933" s="58"/>
      <c r="BN933" s="58"/>
      <c r="BO933" s="58"/>
      <c r="BP933" s="58"/>
      <c r="BQ933" s="58"/>
      <c r="BR933" s="58"/>
      <c r="BS933" s="58"/>
    </row>
    <row r="934" spans="1:71" ht="15.75" customHeight="1" x14ac:dyDescent="0.2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1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2"/>
      <c r="AR934" s="92"/>
      <c r="AS934" s="92"/>
      <c r="AT934" s="92"/>
      <c r="AU934" s="92"/>
      <c r="AV934" s="92"/>
      <c r="AW934" s="92"/>
      <c r="AX934" s="92"/>
      <c r="AY934" s="92"/>
      <c r="AZ934" s="58"/>
      <c r="BA934" s="58"/>
      <c r="BB934" s="58"/>
      <c r="BC934" s="58"/>
      <c r="BD934" s="58"/>
      <c r="BE934" s="58"/>
      <c r="BF934" s="58"/>
      <c r="BG934" s="58"/>
      <c r="BH934" s="58"/>
      <c r="BI934" s="58"/>
      <c r="BJ934" s="58"/>
      <c r="BK934" s="58"/>
      <c r="BL934" s="58"/>
      <c r="BM934" s="58"/>
      <c r="BN934" s="58"/>
      <c r="BO934" s="58"/>
      <c r="BP934" s="58"/>
      <c r="BQ934" s="58"/>
      <c r="BR934" s="58"/>
      <c r="BS934" s="58"/>
    </row>
    <row r="935" spans="1:71" ht="15.75" customHeight="1" x14ac:dyDescent="0.2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1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0"/>
      <c r="AP935" s="90"/>
      <c r="AQ935" s="92"/>
      <c r="AR935" s="92"/>
      <c r="AS935" s="92"/>
      <c r="AT935" s="92"/>
      <c r="AU935" s="92"/>
      <c r="AV935" s="92"/>
      <c r="AW935" s="92"/>
      <c r="AX935" s="92"/>
      <c r="AY935" s="92"/>
      <c r="AZ935" s="58"/>
      <c r="BA935" s="58"/>
      <c r="BB935" s="58"/>
      <c r="BC935" s="58"/>
      <c r="BD935" s="58"/>
      <c r="BE935" s="58"/>
      <c r="BF935" s="58"/>
      <c r="BG935" s="58"/>
      <c r="BH935" s="58"/>
      <c r="BI935" s="58"/>
      <c r="BJ935" s="58"/>
      <c r="BK935" s="58"/>
      <c r="BL935" s="58"/>
      <c r="BM935" s="58"/>
      <c r="BN935" s="58"/>
      <c r="BO935" s="58"/>
      <c r="BP935" s="58"/>
      <c r="BQ935" s="58"/>
      <c r="BR935" s="58"/>
      <c r="BS935" s="58"/>
    </row>
    <row r="936" spans="1:71" ht="15.75" customHeight="1" x14ac:dyDescent="0.2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1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2"/>
      <c r="AR936" s="92"/>
      <c r="AS936" s="92"/>
      <c r="AT936" s="92"/>
      <c r="AU936" s="92"/>
      <c r="AV936" s="92"/>
      <c r="AW936" s="92"/>
      <c r="AX936" s="92"/>
      <c r="AY936" s="92"/>
      <c r="AZ936" s="58"/>
      <c r="BA936" s="58"/>
      <c r="BB936" s="58"/>
      <c r="BC936" s="58"/>
      <c r="BD936" s="58"/>
      <c r="BE936" s="58"/>
      <c r="BF936" s="58"/>
      <c r="BG936" s="58"/>
      <c r="BH936" s="58"/>
      <c r="BI936" s="58"/>
      <c r="BJ936" s="58"/>
      <c r="BK936" s="58"/>
      <c r="BL936" s="58"/>
      <c r="BM936" s="58"/>
      <c r="BN936" s="58"/>
      <c r="BO936" s="58"/>
      <c r="BP936" s="58"/>
      <c r="BQ936" s="58"/>
      <c r="BR936" s="58"/>
      <c r="BS936" s="58"/>
    </row>
    <row r="937" spans="1:71" ht="15.75" customHeight="1" x14ac:dyDescent="0.2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1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0"/>
      <c r="AP937" s="90"/>
      <c r="AQ937" s="92"/>
      <c r="AR937" s="92"/>
      <c r="AS937" s="92"/>
      <c r="AT937" s="92"/>
      <c r="AU937" s="92"/>
      <c r="AV937" s="92"/>
      <c r="AW937" s="92"/>
      <c r="AX937" s="92"/>
      <c r="AY937" s="92"/>
      <c r="AZ937" s="58"/>
      <c r="BA937" s="58"/>
      <c r="BB937" s="58"/>
      <c r="BC937" s="58"/>
      <c r="BD937" s="58"/>
      <c r="BE937" s="58"/>
      <c r="BF937" s="58"/>
      <c r="BG937" s="58"/>
      <c r="BH937" s="58"/>
      <c r="BI937" s="58"/>
      <c r="BJ937" s="58"/>
      <c r="BK937" s="58"/>
      <c r="BL937" s="58"/>
      <c r="BM937" s="58"/>
      <c r="BN937" s="58"/>
      <c r="BO937" s="58"/>
      <c r="BP937" s="58"/>
      <c r="BQ937" s="58"/>
      <c r="BR937" s="58"/>
      <c r="BS937" s="58"/>
    </row>
    <row r="938" spans="1:71" ht="15.75" customHeight="1" x14ac:dyDescent="0.2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1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2"/>
      <c r="AR938" s="92"/>
      <c r="AS938" s="92"/>
      <c r="AT938" s="92"/>
      <c r="AU938" s="92"/>
      <c r="AV938" s="92"/>
      <c r="AW938" s="92"/>
      <c r="AX938" s="92"/>
      <c r="AY938" s="92"/>
      <c r="AZ938" s="58"/>
      <c r="BA938" s="58"/>
      <c r="BB938" s="58"/>
      <c r="BC938" s="58"/>
      <c r="BD938" s="58"/>
      <c r="BE938" s="58"/>
      <c r="BF938" s="58"/>
      <c r="BG938" s="58"/>
      <c r="BH938" s="58"/>
      <c r="BI938" s="58"/>
      <c r="BJ938" s="58"/>
      <c r="BK938" s="58"/>
      <c r="BL938" s="58"/>
      <c r="BM938" s="58"/>
      <c r="BN938" s="58"/>
      <c r="BO938" s="58"/>
      <c r="BP938" s="58"/>
      <c r="BQ938" s="58"/>
      <c r="BR938" s="58"/>
      <c r="BS938" s="58"/>
    </row>
    <row r="939" spans="1:71" ht="15.75" customHeight="1" x14ac:dyDescent="0.2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1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0"/>
      <c r="AP939" s="90"/>
      <c r="AQ939" s="92"/>
      <c r="AR939" s="92"/>
      <c r="AS939" s="92"/>
      <c r="AT939" s="92"/>
      <c r="AU939" s="92"/>
      <c r="AV939" s="92"/>
      <c r="AW939" s="92"/>
      <c r="AX939" s="92"/>
      <c r="AY939" s="92"/>
      <c r="AZ939" s="58"/>
      <c r="BA939" s="58"/>
      <c r="BB939" s="58"/>
      <c r="BC939" s="58"/>
      <c r="BD939" s="58"/>
      <c r="BE939" s="58"/>
      <c r="BF939" s="58"/>
      <c r="BG939" s="58"/>
      <c r="BH939" s="58"/>
      <c r="BI939" s="58"/>
      <c r="BJ939" s="58"/>
      <c r="BK939" s="58"/>
      <c r="BL939" s="58"/>
      <c r="BM939" s="58"/>
      <c r="BN939" s="58"/>
      <c r="BO939" s="58"/>
      <c r="BP939" s="58"/>
      <c r="BQ939" s="58"/>
      <c r="BR939" s="58"/>
      <c r="BS939" s="58"/>
    </row>
    <row r="940" spans="1:71" ht="15.75" customHeight="1" x14ac:dyDescent="0.2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1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2"/>
      <c r="AR940" s="92"/>
      <c r="AS940" s="92"/>
      <c r="AT940" s="92"/>
      <c r="AU940" s="92"/>
      <c r="AV940" s="92"/>
      <c r="AW940" s="92"/>
      <c r="AX940" s="92"/>
      <c r="AY940" s="92"/>
      <c r="AZ940" s="58"/>
      <c r="BA940" s="58"/>
      <c r="BB940" s="58"/>
      <c r="BC940" s="58"/>
      <c r="BD940" s="58"/>
      <c r="BE940" s="58"/>
      <c r="BF940" s="58"/>
      <c r="BG940" s="58"/>
      <c r="BH940" s="58"/>
      <c r="BI940" s="58"/>
      <c r="BJ940" s="58"/>
      <c r="BK940" s="58"/>
      <c r="BL940" s="58"/>
      <c r="BM940" s="58"/>
      <c r="BN940" s="58"/>
      <c r="BO940" s="58"/>
      <c r="BP940" s="58"/>
      <c r="BQ940" s="58"/>
      <c r="BR940" s="58"/>
      <c r="BS940" s="58"/>
    </row>
    <row r="941" spans="1:71" ht="15.75" customHeight="1" x14ac:dyDescent="0.2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1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0"/>
      <c r="AP941" s="90"/>
      <c r="AQ941" s="92"/>
      <c r="AR941" s="92"/>
      <c r="AS941" s="92"/>
      <c r="AT941" s="92"/>
      <c r="AU941" s="92"/>
      <c r="AV941" s="92"/>
      <c r="AW941" s="92"/>
      <c r="AX941" s="92"/>
      <c r="AY941" s="92"/>
      <c r="AZ941" s="58"/>
      <c r="BA941" s="58"/>
      <c r="BB941" s="58"/>
      <c r="BC941" s="58"/>
      <c r="BD941" s="58"/>
      <c r="BE941" s="58"/>
      <c r="BF941" s="58"/>
      <c r="BG941" s="58"/>
      <c r="BH941" s="58"/>
      <c r="BI941" s="58"/>
      <c r="BJ941" s="58"/>
      <c r="BK941" s="58"/>
      <c r="BL941" s="58"/>
      <c r="BM941" s="58"/>
      <c r="BN941" s="58"/>
      <c r="BO941" s="58"/>
      <c r="BP941" s="58"/>
      <c r="BQ941" s="58"/>
      <c r="BR941" s="58"/>
      <c r="BS941" s="58"/>
    </row>
    <row r="942" spans="1:71" ht="15.75" customHeight="1" x14ac:dyDescent="0.2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1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2"/>
      <c r="AR942" s="92"/>
      <c r="AS942" s="92"/>
      <c r="AT942" s="92"/>
      <c r="AU942" s="92"/>
      <c r="AV942" s="92"/>
      <c r="AW942" s="92"/>
      <c r="AX942" s="92"/>
      <c r="AY942" s="92"/>
      <c r="AZ942" s="58"/>
      <c r="BA942" s="58"/>
      <c r="BB942" s="58"/>
      <c r="BC942" s="58"/>
      <c r="BD942" s="58"/>
      <c r="BE942" s="58"/>
      <c r="BF942" s="58"/>
      <c r="BG942" s="58"/>
      <c r="BH942" s="58"/>
      <c r="BI942" s="58"/>
      <c r="BJ942" s="58"/>
      <c r="BK942" s="58"/>
      <c r="BL942" s="58"/>
      <c r="BM942" s="58"/>
      <c r="BN942" s="58"/>
      <c r="BO942" s="58"/>
      <c r="BP942" s="58"/>
      <c r="BQ942" s="58"/>
      <c r="BR942" s="58"/>
      <c r="BS942" s="58"/>
    </row>
    <row r="943" spans="1:71" ht="15.75" customHeight="1" x14ac:dyDescent="0.2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1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0"/>
      <c r="AP943" s="90"/>
      <c r="AQ943" s="92"/>
      <c r="AR943" s="92"/>
      <c r="AS943" s="92"/>
      <c r="AT943" s="92"/>
      <c r="AU943" s="92"/>
      <c r="AV943" s="92"/>
      <c r="AW943" s="92"/>
      <c r="AX943" s="92"/>
      <c r="AY943" s="92"/>
      <c r="AZ943" s="58"/>
      <c r="BA943" s="58"/>
      <c r="BB943" s="58"/>
      <c r="BC943" s="58"/>
      <c r="BD943" s="58"/>
      <c r="BE943" s="58"/>
      <c r="BF943" s="58"/>
      <c r="BG943" s="58"/>
      <c r="BH943" s="58"/>
      <c r="BI943" s="58"/>
      <c r="BJ943" s="58"/>
      <c r="BK943" s="58"/>
      <c r="BL943" s="58"/>
      <c r="BM943" s="58"/>
      <c r="BN943" s="58"/>
      <c r="BO943" s="58"/>
      <c r="BP943" s="58"/>
      <c r="BQ943" s="58"/>
      <c r="BR943" s="58"/>
      <c r="BS943" s="58"/>
    </row>
    <row r="944" spans="1:71" ht="15.75" customHeight="1" x14ac:dyDescent="0.2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1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2"/>
      <c r="AR944" s="92"/>
      <c r="AS944" s="92"/>
      <c r="AT944" s="92"/>
      <c r="AU944" s="92"/>
      <c r="AV944" s="92"/>
      <c r="AW944" s="92"/>
      <c r="AX944" s="92"/>
      <c r="AY944" s="92"/>
      <c r="AZ944" s="58"/>
      <c r="BA944" s="58"/>
      <c r="BB944" s="58"/>
      <c r="BC944" s="58"/>
      <c r="BD944" s="58"/>
      <c r="BE944" s="58"/>
      <c r="BF944" s="58"/>
      <c r="BG944" s="58"/>
      <c r="BH944" s="58"/>
      <c r="BI944" s="58"/>
      <c r="BJ944" s="58"/>
      <c r="BK944" s="58"/>
      <c r="BL944" s="58"/>
      <c r="BM944" s="58"/>
      <c r="BN944" s="58"/>
      <c r="BO944" s="58"/>
      <c r="BP944" s="58"/>
      <c r="BQ944" s="58"/>
      <c r="BR944" s="58"/>
      <c r="BS944" s="58"/>
    </row>
    <row r="945" spans="1:71" ht="15.75" customHeight="1" x14ac:dyDescent="0.2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1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0"/>
      <c r="AP945" s="90"/>
      <c r="AQ945" s="92"/>
      <c r="AR945" s="92"/>
      <c r="AS945" s="92"/>
      <c r="AT945" s="92"/>
      <c r="AU945" s="92"/>
      <c r="AV945" s="92"/>
      <c r="AW945" s="92"/>
      <c r="AX945" s="92"/>
      <c r="AY945" s="92"/>
      <c r="AZ945" s="58"/>
      <c r="BA945" s="58"/>
      <c r="BB945" s="58"/>
      <c r="BC945" s="58"/>
      <c r="BD945" s="58"/>
      <c r="BE945" s="58"/>
      <c r="BF945" s="58"/>
      <c r="BG945" s="58"/>
      <c r="BH945" s="58"/>
      <c r="BI945" s="58"/>
      <c r="BJ945" s="58"/>
      <c r="BK945" s="58"/>
      <c r="BL945" s="58"/>
      <c r="BM945" s="58"/>
      <c r="BN945" s="58"/>
      <c r="BO945" s="58"/>
      <c r="BP945" s="58"/>
      <c r="BQ945" s="58"/>
      <c r="BR945" s="58"/>
      <c r="BS945" s="58"/>
    </row>
    <row r="946" spans="1:71" ht="15.75" customHeight="1" x14ac:dyDescent="0.2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1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2"/>
      <c r="AR946" s="92"/>
      <c r="AS946" s="92"/>
      <c r="AT946" s="92"/>
      <c r="AU946" s="92"/>
      <c r="AV946" s="92"/>
      <c r="AW946" s="92"/>
      <c r="AX946" s="92"/>
      <c r="AY946" s="92"/>
      <c r="AZ946" s="58"/>
      <c r="BA946" s="58"/>
      <c r="BB946" s="58"/>
      <c r="BC946" s="58"/>
      <c r="BD946" s="58"/>
      <c r="BE946" s="58"/>
      <c r="BF946" s="58"/>
      <c r="BG946" s="58"/>
      <c r="BH946" s="58"/>
      <c r="BI946" s="58"/>
      <c r="BJ946" s="58"/>
      <c r="BK946" s="58"/>
      <c r="BL946" s="58"/>
      <c r="BM946" s="58"/>
      <c r="BN946" s="58"/>
      <c r="BO946" s="58"/>
      <c r="BP946" s="58"/>
      <c r="BQ946" s="58"/>
      <c r="BR946" s="58"/>
      <c r="BS946" s="58"/>
    </row>
    <row r="947" spans="1:71" ht="15.75" customHeight="1" x14ac:dyDescent="0.2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1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0"/>
      <c r="AP947" s="90"/>
      <c r="AQ947" s="92"/>
      <c r="AR947" s="92"/>
      <c r="AS947" s="92"/>
      <c r="AT947" s="92"/>
      <c r="AU947" s="92"/>
      <c r="AV947" s="92"/>
      <c r="AW947" s="92"/>
      <c r="AX947" s="92"/>
      <c r="AY947" s="92"/>
      <c r="AZ947" s="58"/>
      <c r="BA947" s="58"/>
      <c r="BB947" s="58"/>
      <c r="BC947" s="58"/>
      <c r="BD947" s="58"/>
      <c r="BE947" s="58"/>
      <c r="BF947" s="58"/>
      <c r="BG947" s="58"/>
      <c r="BH947" s="58"/>
      <c r="BI947" s="58"/>
      <c r="BJ947" s="58"/>
      <c r="BK947" s="58"/>
      <c r="BL947" s="58"/>
      <c r="BM947" s="58"/>
      <c r="BN947" s="58"/>
      <c r="BO947" s="58"/>
      <c r="BP947" s="58"/>
      <c r="BQ947" s="58"/>
      <c r="BR947" s="58"/>
      <c r="BS947" s="58"/>
    </row>
    <row r="948" spans="1:71" ht="15.75" customHeight="1" x14ac:dyDescent="0.2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1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2"/>
      <c r="AR948" s="92"/>
      <c r="AS948" s="92"/>
      <c r="AT948" s="92"/>
      <c r="AU948" s="92"/>
      <c r="AV948" s="92"/>
      <c r="AW948" s="92"/>
      <c r="AX948" s="92"/>
      <c r="AY948" s="92"/>
      <c r="AZ948" s="58"/>
      <c r="BA948" s="58"/>
      <c r="BB948" s="58"/>
      <c r="BC948" s="58"/>
      <c r="BD948" s="58"/>
      <c r="BE948" s="58"/>
      <c r="BF948" s="58"/>
      <c r="BG948" s="58"/>
      <c r="BH948" s="58"/>
      <c r="BI948" s="58"/>
      <c r="BJ948" s="58"/>
      <c r="BK948" s="58"/>
      <c r="BL948" s="58"/>
      <c r="BM948" s="58"/>
      <c r="BN948" s="58"/>
      <c r="BO948" s="58"/>
      <c r="BP948" s="58"/>
      <c r="BQ948" s="58"/>
      <c r="BR948" s="58"/>
      <c r="BS948" s="58"/>
    </row>
    <row r="949" spans="1:71" ht="15.75" customHeight="1" x14ac:dyDescent="0.2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1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0"/>
      <c r="AP949" s="90"/>
      <c r="AQ949" s="92"/>
      <c r="AR949" s="92"/>
      <c r="AS949" s="92"/>
      <c r="AT949" s="92"/>
      <c r="AU949" s="92"/>
      <c r="AV949" s="92"/>
      <c r="AW949" s="92"/>
      <c r="AX949" s="92"/>
      <c r="AY949" s="92"/>
      <c r="AZ949" s="58"/>
      <c r="BA949" s="58"/>
      <c r="BB949" s="58"/>
      <c r="BC949" s="58"/>
      <c r="BD949" s="58"/>
      <c r="BE949" s="58"/>
      <c r="BF949" s="58"/>
      <c r="BG949" s="58"/>
      <c r="BH949" s="58"/>
      <c r="BI949" s="58"/>
      <c r="BJ949" s="58"/>
      <c r="BK949" s="58"/>
      <c r="BL949" s="58"/>
      <c r="BM949" s="58"/>
      <c r="BN949" s="58"/>
      <c r="BO949" s="58"/>
      <c r="BP949" s="58"/>
      <c r="BQ949" s="58"/>
      <c r="BR949" s="58"/>
      <c r="BS949" s="58"/>
    </row>
    <row r="950" spans="1:71" ht="15.75" customHeight="1" x14ac:dyDescent="0.2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1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2"/>
      <c r="AR950" s="92"/>
      <c r="AS950" s="92"/>
      <c r="AT950" s="92"/>
      <c r="AU950" s="92"/>
      <c r="AV950" s="92"/>
      <c r="AW950" s="92"/>
      <c r="AX950" s="92"/>
      <c r="AY950" s="92"/>
      <c r="AZ950" s="58"/>
      <c r="BA950" s="58"/>
      <c r="BB950" s="58"/>
      <c r="BC950" s="58"/>
      <c r="BD950" s="58"/>
      <c r="BE950" s="58"/>
      <c r="BF950" s="58"/>
      <c r="BG950" s="58"/>
      <c r="BH950" s="58"/>
      <c r="BI950" s="58"/>
      <c r="BJ950" s="58"/>
      <c r="BK950" s="58"/>
      <c r="BL950" s="58"/>
      <c r="BM950" s="58"/>
      <c r="BN950" s="58"/>
      <c r="BO950" s="58"/>
      <c r="BP950" s="58"/>
      <c r="BQ950" s="58"/>
      <c r="BR950" s="58"/>
      <c r="BS950" s="58"/>
    </row>
    <row r="951" spans="1:71" ht="15.75" customHeight="1" x14ac:dyDescent="0.2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1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0"/>
      <c r="AP951" s="90"/>
      <c r="AQ951" s="92"/>
      <c r="AR951" s="92"/>
      <c r="AS951" s="92"/>
      <c r="AT951" s="92"/>
      <c r="AU951" s="92"/>
      <c r="AV951" s="92"/>
      <c r="AW951" s="92"/>
      <c r="AX951" s="92"/>
      <c r="AY951" s="92"/>
      <c r="AZ951" s="58"/>
      <c r="BA951" s="58"/>
      <c r="BB951" s="58"/>
      <c r="BC951" s="58"/>
      <c r="BD951" s="58"/>
      <c r="BE951" s="58"/>
      <c r="BF951" s="58"/>
      <c r="BG951" s="58"/>
      <c r="BH951" s="58"/>
      <c r="BI951" s="58"/>
      <c r="BJ951" s="58"/>
      <c r="BK951" s="58"/>
      <c r="BL951" s="58"/>
      <c r="BM951" s="58"/>
      <c r="BN951" s="58"/>
      <c r="BO951" s="58"/>
      <c r="BP951" s="58"/>
      <c r="BQ951" s="58"/>
      <c r="BR951" s="58"/>
      <c r="BS951" s="58"/>
    </row>
    <row r="952" spans="1:71" ht="15.75" customHeight="1" x14ac:dyDescent="0.2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1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2"/>
      <c r="AR952" s="92"/>
      <c r="AS952" s="92"/>
      <c r="AT952" s="92"/>
      <c r="AU952" s="92"/>
      <c r="AV952" s="92"/>
      <c r="AW952" s="92"/>
      <c r="AX952" s="92"/>
      <c r="AY952" s="92"/>
      <c r="AZ952" s="58"/>
      <c r="BA952" s="58"/>
      <c r="BB952" s="58"/>
      <c r="BC952" s="58"/>
      <c r="BD952" s="58"/>
      <c r="BE952" s="58"/>
      <c r="BF952" s="58"/>
      <c r="BG952" s="58"/>
      <c r="BH952" s="58"/>
      <c r="BI952" s="58"/>
      <c r="BJ952" s="58"/>
      <c r="BK952" s="58"/>
      <c r="BL952" s="58"/>
      <c r="BM952" s="58"/>
      <c r="BN952" s="58"/>
      <c r="BO952" s="58"/>
      <c r="BP952" s="58"/>
      <c r="BQ952" s="58"/>
      <c r="BR952" s="58"/>
      <c r="BS952" s="58"/>
    </row>
    <row r="953" spans="1:71" ht="15.75" customHeight="1" x14ac:dyDescent="0.2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1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0"/>
      <c r="AP953" s="90"/>
      <c r="AQ953" s="92"/>
      <c r="AR953" s="92"/>
      <c r="AS953" s="92"/>
      <c r="AT953" s="92"/>
      <c r="AU953" s="92"/>
      <c r="AV953" s="92"/>
      <c r="AW953" s="92"/>
      <c r="AX953" s="92"/>
      <c r="AY953" s="92"/>
      <c r="AZ953" s="58"/>
      <c r="BA953" s="58"/>
      <c r="BB953" s="58"/>
      <c r="BC953" s="58"/>
      <c r="BD953" s="58"/>
      <c r="BE953" s="58"/>
      <c r="BF953" s="58"/>
      <c r="BG953" s="58"/>
      <c r="BH953" s="58"/>
      <c r="BI953" s="58"/>
      <c r="BJ953" s="58"/>
      <c r="BK953" s="58"/>
      <c r="BL953" s="58"/>
      <c r="BM953" s="58"/>
      <c r="BN953" s="58"/>
      <c r="BO953" s="58"/>
      <c r="BP953" s="58"/>
      <c r="BQ953" s="58"/>
      <c r="BR953" s="58"/>
      <c r="BS953" s="58"/>
    </row>
    <row r="954" spans="1:71" ht="15.75" customHeight="1" x14ac:dyDescent="0.2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1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2"/>
      <c r="AR954" s="92"/>
      <c r="AS954" s="92"/>
      <c r="AT954" s="92"/>
      <c r="AU954" s="92"/>
      <c r="AV954" s="92"/>
      <c r="AW954" s="92"/>
      <c r="AX954" s="92"/>
      <c r="AY954" s="92"/>
      <c r="AZ954" s="58"/>
      <c r="BA954" s="58"/>
      <c r="BB954" s="58"/>
      <c r="BC954" s="58"/>
      <c r="BD954" s="58"/>
      <c r="BE954" s="58"/>
      <c r="BF954" s="58"/>
      <c r="BG954" s="58"/>
      <c r="BH954" s="58"/>
      <c r="BI954" s="58"/>
      <c r="BJ954" s="58"/>
      <c r="BK954" s="58"/>
      <c r="BL954" s="58"/>
      <c r="BM954" s="58"/>
      <c r="BN954" s="58"/>
      <c r="BO954" s="58"/>
      <c r="BP954" s="58"/>
      <c r="BQ954" s="58"/>
      <c r="BR954" s="58"/>
      <c r="BS954" s="58"/>
    </row>
    <row r="955" spans="1:71" ht="15.75" customHeight="1" x14ac:dyDescent="0.2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1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0"/>
      <c r="AP955" s="90"/>
      <c r="AQ955" s="92"/>
      <c r="AR955" s="92"/>
      <c r="AS955" s="92"/>
      <c r="AT955" s="92"/>
      <c r="AU955" s="92"/>
      <c r="AV955" s="92"/>
      <c r="AW955" s="92"/>
      <c r="AX955" s="92"/>
      <c r="AY955" s="92"/>
      <c r="AZ955" s="58"/>
      <c r="BA955" s="58"/>
      <c r="BB955" s="58"/>
      <c r="BC955" s="58"/>
      <c r="BD955" s="58"/>
      <c r="BE955" s="58"/>
      <c r="BF955" s="58"/>
      <c r="BG955" s="58"/>
      <c r="BH955" s="58"/>
      <c r="BI955" s="58"/>
      <c r="BJ955" s="58"/>
      <c r="BK955" s="58"/>
      <c r="BL955" s="58"/>
      <c r="BM955" s="58"/>
      <c r="BN955" s="58"/>
      <c r="BO955" s="58"/>
      <c r="BP955" s="58"/>
      <c r="BQ955" s="58"/>
      <c r="BR955" s="58"/>
      <c r="BS955" s="58"/>
    </row>
    <row r="956" spans="1:71" ht="15.75" customHeight="1" x14ac:dyDescent="0.2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1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2"/>
      <c r="AR956" s="92"/>
      <c r="AS956" s="92"/>
      <c r="AT956" s="92"/>
      <c r="AU956" s="92"/>
      <c r="AV956" s="92"/>
      <c r="AW956" s="92"/>
      <c r="AX956" s="92"/>
      <c r="AY956" s="92"/>
      <c r="AZ956" s="58"/>
      <c r="BA956" s="58"/>
      <c r="BB956" s="58"/>
      <c r="BC956" s="58"/>
      <c r="BD956" s="58"/>
      <c r="BE956" s="58"/>
      <c r="BF956" s="58"/>
      <c r="BG956" s="58"/>
      <c r="BH956" s="58"/>
      <c r="BI956" s="58"/>
      <c r="BJ956" s="58"/>
      <c r="BK956" s="58"/>
      <c r="BL956" s="58"/>
      <c r="BM956" s="58"/>
      <c r="BN956" s="58"/>
      <c r="BO956" s="58"/>
      <c r="BP956" s="58"/>
      <c r="BQ956" s="58"/>
      <c r="BR956" s="58"/>
      <c r="BS956" s="58"/>
    </row>
    <row r="957" spans="1:71" ht="15.75" customHeight="1" x14ac:dyDescent="0.2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1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0"/>
      <c r="AP957" s="90"/>
      <c r="AQ957" s="92"/>
      <c r="AR957" s="92"/>
      <c r="AS957" s="92"/>
      <c r="AT957" s="92"/>
      <c r="AU957" s="92"/>
      <c r="AV957" s="92"/>
      <c r="AW957" s="92"/>
      <c r="AX957" s="92"/>
      <c r="AY957" s="92"/>
      <c r="AZ957" s="58"/>
      <c r="BA957" s="58"/>
      <c r="BB957" s="58"/>
      <c r="BC957" s="58"/>
      <c r="BD957" s="58"/>
      <c r="BE957" s="58"/>
      <c r="BF957" s="58"/>
      <c r="BG957" s="58"/>
      <c r="BH957" s="58"/>
      <c r="BI957" s="58"/>
      <c r="BJ957" s="58"/>
      <c r="BK957" s="58"/>
      <c r="BL957" s="58"/>
      <c r="BM957" s="58"/>
      <c r="BN957" s="58"/>
      <c r="BO957" s="58"/>
      <c r="BP957" s="58"/>
      <c r="BQ957" s="58"/>
      <c r="BR957" s="58"/>
      <c r="BS957" s="58"/>
    </row>
    <row r="958" spans="1:71" ht="15.75" customHeight="1" x14ac:dyDescent="0.2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1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0"/>
      <c r="AN958" s="90"/>
      <c r="AO958" s="90"/>
      <c r="AP958" s="90"/>
      <c r="AQ958" s="92"/>
      <c r="AR958" s="92"/>
      <c r="AS958" s="92"/>
      <c r="AT958" s="92"/>
      <c r="AU958" s="92"/>
      <c r="AV958" s="92"/>
      <c r="AW958" s="92"/>
      <c r="AX958" s="92"/>
      <c r="AY958" s="92"/>
      <c r="AZ958" s="58"/>
      <c r="BA958" s="58"/>
      <c r="BB958" s="58"/>
      <c r="BC958" s="58"/>
      <c r="BD958" s="58"/>
      <c r="BE958" s="58"/>
      <c r="BF958" s="58"/>
      <c r="BG958" s="58"/>
      <c r="BH958" s="58"/>
      <c r="BI958" s="58"/>
      <c r="BJ958" s="58"/>
      <c r="BK958" s="58"/>
      <c r="BL958" s="58"/>
      <c r="BM958" s="58"/>
      <c r="BN958" s="58"/>
      <c r="BO958" s="58"/>
      <c r="BP958" s="58"/>
      <c r="BQ958" s="58"/>
      <c r="BR958" s="58"/>
      <c r="BS958" s="58"/>
    </row>
    <row r="959" spans="1:71" ht="15.75" customHeight="1" x14ac:dyDescent="0.2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1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0"/>
      <c r="AP959" s="90"/>
      <c r="AQ959" s="92"/>
      <c r="AR959" s="92"/>
      <c r="AS959" s="92"/>
      <c r="AT959" s="92"/>
      <c r="AU959" s="92"/>
      <c r="AV959" s="92"/>
      <c r="AW959" s="92"/>
      <c r="AX959" s="92"/>
      <c r="AY959" s="92"/>
      <c r="AZ959" s="58"/>
      <c r="BA959" s="58"/>
      <c r="BB959" s="58"/>
      <c r="BC959" s="58"/>
      <c r="BD959" s="58"/>
      <c r="BE959" s="58"/>
      <c r="BF959" s="58"/>
      <c r="BG959" s="58"/>
      <c r="BH959" s="58"/>
      <c r="BI959" s="58"/>
      <c r="BJ959" s="58"/>
      <c r="BK959" s="58"/>
      <c r="BL959" s="58"/>
      <c r="BM959" s="58"/>
      <c r="BN959" s="58"/>
      <c r="BO959" s="58"/>
      <c r="BP959" s="58"/>
      <c r="BQ959" s="58"/>
      <c r="BR959" s="58"/>
      <c r="BS959" s="58"/>
    </row>
    <row r="960" spans="1:71" ht="15.75" customHeight="1" x14ac:dyDescent="0.2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1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0"/>
      <c r="AN960" s="90"/>
      <c r="AO960" s="90"/>
      <c r="AP960" s="90"/>
      <c r="AQ960" s="92"/>
      <c r="AR960" s="92"/>
      <c r="AS960" s="92"/>
      <c r="AT960" s="92"/>
      <c r="AU960" s="92"/>
      <c r="AV960" s="92"/>
      <c r="AW960" s="92"/>
      <c r="AX960" s="92"/>
      <c r="AY960" s="92"/>
      <c r="AZ960" s="58"/>
      <c r="BA960" s="58"/>
      <c r="BB960" s="58"/>
      <c r="BC960" s="58"/>
      <c r="BD960" s="58"/>
      <c r="BE960" s="58"/>
      <c r="BF960" s="58"/>
      <c r="BG960" s="58"/>
      <c r="BH960" s="58"/>
      <c r="BI960" s="58"/>
      <c r="BJ960" s="58"/>
      <c r="BK960" s="58"/>
      <c r="BL960" s="58"/>
      <c r="BM960" s="58"/>
      <c r="BN960" s="58"/>
      <c r="BO960" s="58"/>
      <c r="BP960" s="58"/>
      <c r="BQ960" s="58"/>
      <c r="BR960" s="58"/>
      <c r="BS960" s="58"/>
    </row>
    <row r="961" spans="1:71" ht="15.75" customHeight="1" x14ac:dyDescent="0.2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1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0"/>
      <c r="AP961" s="90"/>
      <c r="AQ961" s="92"/>
      <c r="AR961" s="92"/>
      <c r="AS961" s="92"/>
      <c r="AT961" s="92"/>
      <c r="AU961" s="92"/>
      <c r="AV961" s="92"/>
      <c r="AW961" s="92"/>
      <c r="AX961" s="92"/>
      <c r="AY961" s="92"/>
      <c r="AZ961" s="58"/>
      <c r="BA961" s="58"/>
      <c r="BB961" s="58"/>
      <c r="BC961" s="58"/>
      <c r="BD961" s="58"/>
      <c r="BE961" s="58"/>
      <c r="BF961" s="58"/>
      <c r="BG961" s="58"/>
      <c r="BH961" s="58"/>
      <c r="BI961" s="58"/>
      <c r="BJ961" s="58"/>
      <c r="BK961" s="58"/>
      <c r="BL961" s="58"/>
      <c r="BM961" s="58"/>
      <c r="BN961" s="58"/>
      <c r="BO961" s="58"/>
      <c r="BP961" s="58"/>
      <c r="BQ961" s="58"/>
      <c r="BR961" s="58"/>
      <c r="BS961" s="58"/>
    </row>
    <row r="962" spans="1:71" ht="15.75" customHeight="1" x14ac:dyDescent="0.2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1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0"/>
      <c r="AN962" s="90"/>
      <c r="AO962" s="90"/>
      <c r="AP962" s="90"/>
      <c r="AQ962" s="92"/>
      <c r="AR962" s="92"/>
      <c r="AS962" s="92"/>
      <c r="AT962" s="92"/>
      <c r="AU962" s="92"/>
      <c r="AV962" s="92"/>
      <c r="AW962" s="92"/>
      <c r="AX962" s="92"/>
      <c r="AY962" s="92"/>
      <c r="AZ962" s="58"/>
      <c r="BA962" s="58"/>
      <c r="BB962" s="58"/>
      <c r="BC962" s="58"/>
      <c r="BD962" s="58"/>
      <c r="BE962" s="58"/>
      <c r="BF962" s="58"/>
      <c r="BG962" s="58"/>
      <c r="BH962" s="58"/>
      <c r="BI962" s="58"/>
      <c r="BJ962" s="58"/>
      <c r="BK962" s="58"/>
      <c r="BL962" s="58"/>
      <c r="BM962" s="58"/>
      <c r="BN962" s="58"/>
      <c r="BO962" s="58"/>
      <c r="BP962" s="58"/>
      <c r="BQ962" s="58"/>
      <c r="BR962" s="58"/>
      <c r="BS962" s="58"/>
    </row>
    <row r="963" spans="1:71" ht="15.75" customHeight="1" x14ac:dyDescent="0.2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1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0"/>
      <c r="AP963" s="90"/>
      <c r="AQ963" s="92"/>
      <c r="AR963" s="92"/>
      <c r="AS963" s="92"/>
      <c r="AT963" s="92"/>
      <c r="AU963" s="92"/>
      <c r="AV963" s="92"/>
      <c r="AW963" s="92"/>
      <c r="AX963" s="92"/>
      <c r="AY963" s="92"/>
      <c r="AZ963" s="58"/>
      <c r="BA963" s="58"/>
      <c r="BB963" s="58"/>
      <c r="BC963" s="58"/>
      <c r="BD963" s="58"/>
      <c r="BE963" s="58"/>
      <c r="BF963" s="58"/>
      <c r="BG963" s="58"/>
      <c r="BH963" s="58"/>
      <c r="BI963" s="58"/>
      <c r="BJ963" s="58"/>
      <c r="BK963" s="58"/>
      <c r="BL963" s="58"/>
      <c r="BM963" s="58"/>
      <c r="BN963" s="58"/>
      <c r="BO963" s="58"/>
      <c r="BP963" s="58"/>
      <c r="BQ963" s="58"/>
      <c r="BR963" s="58"/>
      <c r="BS963" s="58"/>
    </row>
    <row r="964" spans="1:71" ht="15.75" customHeight="1" x14ac:dyDescent="0.2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1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0"/>
      <c r="AN964" s="90"/>
      <c r="AO964" s="90"/>
      <c r="AP964" s="90"/>
      <c r="AQ964" s="92"/>
      <c r="AR964" s="92"/>
      <c r="AS964" s="92"/>
      <c r="AT964" s="92"/>
      <c r="AU964" s="92"/>
      <c r="AV964" s="92"/>
      <c r="AW964" s="92"/>
      <c r="AX964" s="92"/>
      <c r="AY964" s="92"/>
      <c r="AZ964" s="58"/>
      <c r="BA964" s="58"/>
      <c r="BB964" s="58"/>
      <c r="BC964" s="58"/>
      <c r="BD964" s="58"/>
      <c r="BE964" s="58"/>
      <c r="BF964" s="58"/>
      <c r="BG964" s="58"/>
      <c r="BH964" s="58"/>
      <c r="BI964" s="58"/>
      <c r="BJ964" s="58"/>
      <c r="BK964" s="58"/>
      <c r="BL964" s="58"/>
      <c r="BM964" s="58"/>
      <c r="BN964" s="58"/>
      <c r="BO964" s="58"/>
      <c r="BP964" s="58"/>
      <c r="BQ964" s="58"/>
      <c r="BR964" s="58"/>
      <c r="BS964" s="58"/>
    </row>
    <row r="965" spans="1:71" ht="15.75" customHeight="1" x14ac:dyDescent="0.2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1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0"/>
      <c r="AP965" s="90"/>
      <c r="AQ965" s="92"/>
      <c r="AR965" s="92"/>
      <c r="AS965" s="92"/>
      <c r="AT965" s="92"/>
      <c r="AU965" s="92"/>
      <c r="AV965" s="92"/>
      <c r="AW965" s="92"/>
      <c r="AX965" s="92"/>
      <c r="AY965" s="92"/>
      <c r="AZ965" s="58"/>
      <c r="BA965" s="58"/>
      <c r="BB965" s="58"/>
      <c r="BC965" s="58"/>
      <c r="BD965" s="58"/>
      <c r="BE965" s="58"/>
      <c r="BF965" s="58"/>
      <c r="BG965" s="58"/>
      <c r="BH965" s="58"/>
      <c r="BI965" s="58"/>
      <c r="BJ965" s="58"/>
      <c r="BK965" s="58"/>
      <c r="BL965" s="58"/>
      <c r="BM965" s="58"/>
      <c r="BN965" s="58"/>
      <c r="BO965" s="58"/>
      <c r="BP965" s="58"/>
      <c r="BQ965" s="58"/>
      <c r="BR965" s="58"/>
      <c r="BS965" s="58"/>
    </row>
    <row r="966" spans="1:71" ht="15.75" customHeight="1" x14ac:dyDescent="0.2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1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  <c r="AG966" s="90"/>
      <c r="AH966" s="90"/>
      <c r="AI966" s="90"/>
      <c r="AJ966" s="90"/>
      <c r="AK966" s="90"/>
      <c r="AL966" s="90"/>
      <c r="AM966" s="90"/>
      <c r="AN966" s="90"/>
      <c r="AO966" s="90"/>
      <c r="AP966" s="90"/>
      <c r="AQ966" s="92"/>
      <c r="AR966" s="92"/>
      <c r="AS966" s="92"/>
      <c r="AT966" s="92"/>
      <c r="AU966" s="92"/>
      <c r="AV966" s="92"/>
      <c r="AW966" s="92"/>
      <c r="AX966" s="92"/>
      <c r="AY966" s="92"/>
      <c r="AZ966" s="58"/>
      <c r="BA966" s="58"/>
      <c r="BB966" s="58"/>
      <c r="BC966" s="58"/>
      <c r="BD966" s="58"/>
      <c r="BE966" s="58"/>
      <c r="BF966" s="58"/>
      <c r="BG966" s="58"/>
      <c r="BH966" s="58"/>
      <c r="BI966" s="58"/>
      <c r="BJ966" s="58"/>
      <c r="BK966" s="58"/>
      <c r="BL966" s="58"/>
      <c r="BM966" s="58"/>
      <c r="BN966" s="58"/>
      <c r="BO966" s="58"/>
      <c r="BP966" s="58"/>
      <c r="BQ966" s="58"/>
      <c r="BR966" s="58"/>
      <c r="BS966" s="58"/>
    </row>
    <row r="967" spans="1:71" ht="15.75" customHeight="1" x14ac:dyDescent="0.2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1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0"/>
      <c r="AP967" s="90"/>
      <c r="AQ967" s="92"/>
      <c r="AR967" s="92"/>
      <c r="AS967" s="92"/>
      <c r="AT967" s="92"/>
      <c r="AU967" s="92"/>
      <c r="AV967" s="92"/>
      <c r="AW967" s="92"/>
      <c r="AX967" s="92"/>
      <c r="AY967" s="92"/>
      <c r="AZ967" s="58"/>
      <c r="BA967" s="58"/>
      <c r="BB967" s="58"/>
      <c r="BC967" s="58"/>
      <c r="BD967" s="58"/>
      <c r="BE967" s="58"/>
      <c r="BF967" s="58"/>
      <c r="BG967" s="58"/>
      <c r="BH967" s="58"/>
      <c r="BI967" s="58"/>
      <c r="BJ967" s="58"/>
      <c r="BK967" s="58"/>
      <c r="BL967" s="58"/>
      <c r="BM967" s="58"/>
      <c r="BN967" s="58"/>
      <c r="BO967" s="58"/>
      <c r="BP967" s="58"/>
      <c r="BQ967" s="58"/>
      <c r="BR967" s="58"/>
      <c r="BS967" s="58"/>
    </row>
    <row r="968" spans="1:71" ht="15.75" customHeight="1" x14ac:dyDescent="0.2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1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  <c r="AG968" s="90"/>
      <c r="AH968" s="90"/>
      <c r="AI968" s="90"/>
      <c r="AJ968" s="90"/>
      <c r="AK968" s="90"/>
      <c r="AL968" s="90"/>
      <c r="AM968" s="90"/>
      <c r="AN968" s="90"/>
      <c r="AO968" s="90"/>
      <c r="AP968" s="90"/>
      <c r="AQ968" s="92"/>
      <c r="AR968" s="92"/>
      <c r="AS968" s="92"/>
      <c r="AT968" s="92"/>
      <c r="AU968" s="92"/>
      <c r="AV968" s="92"/>
      <c r="AW968" s="92"/>
      <c r="AX968" s="92"/>
      <c r="AY968" s="92"/>
      <c r="AZ968" s="58"/>
      <c r="BA968" s="58"/>
      <c r="BB968" s="58"/>
      <c r="BC968" s="58"/>
      <c r="BD968" s="58"/>
      <c r="BE968" s="58"/>
      <c r="BF968" s="58"/>
      <c r="BG968" s="58"/>
      <c r="BH968" s="58"/>
      <c r="BI968" s="58"/>
      <c r="BJ968" s="58"/>
      <c r="BK968" s="58"/>
      <c r="BL968" s="58"/>
      <c r="BM968" s="58"/>
      <c r="BN968" s="58"/>
      <c r="BO968" s="58"/>
      <c r="BP968" s="58"/>
      <c r="BQ968" s="58"/>
      <c r="BR968" s="58"/>
      <c r="BS968" s="58"/>
    </row>
    <row r="969" spans="1:71" ht="15.75" customHeight="1" x14ac:dyDescent="0.2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1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0"/>
      <c r="AP969" s="90"/>
      <c r="AQ969" s="92"/>
      <c r="AR969" s="92"/>
      <c r="AS969" s="92"/>
      <c r="AT969" s="92"/>
      <c r="AU969" s="92"/>
      <c r="AV969" s="92"/>
      <c r="AW969" s="92"/>
      <c r="AX969" s="92"/>
      <c r="AY969" s="92"/>
      <c r="AZ969" s="58"/>
      <c r="BA969" s="58"/>
      <c r="BB969" s="58"/>
      <c r="BC969" s="58"/>
      <c r="BD969" s="58"/>
      <c r="BE969" s="58"/>
      <c r="BF969" s="58"/>
      <c r="BG969" s="58"/>
      <c r="BH969" s="58"/>
      <c r="BI969" s="58"/>
      <c r="BJ969" s="58"/>
      <c r="BK969" s="58"/>
      <c r="BL969" s="58"/>
      <c r="BM969" s="58"/>
      <c r="BN969" s="58"/>
      <c r="BO969" s="58"/>
      <c r="BP969" s="58"/>
      <c r="BQ969" s="58"/>
      <c r="BR969" s="58"/>
      <c r="BS969" s="58"/>
    </row>
    <row r="970" spans="1:71" ht="15.75" customHeight="1" x14ac:dyDescent="0.2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1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  <c r="AG970" s="90"/>
      <c r="AH970" s="90"/>
      <c r="AI970" s="90"/>
      <c r="AJ970" s="90"/>
      <c r="AK970" s="90"/>
      <c r="AL970" s="90"/>
      <c r="AM970" s="90"/>
      <c r="AN970" s="90"/>
      <c r="AO970" s="90"/>
      <c r="AP970" s="90"/>
      <c r="AQ970" s="92"/>
      <c r="AR970" s="92"/>
      <c r="AS970" s="92"/>
      <c r="AT970" s="92"/>
      <c r="AU970" s="92"/>
      <c r="AV970" s="92"/>
      <c r="AW970" s="92"/>
      <c r="AX970" s="92"/>
      <c r="AY970" s="92"/>
      <c r="AZ970" s="58"/>
      <c r="BA970" s="58"/>
      <c r="BB970" s="58"/>
      <c r="BC970" s="58"/>
      <c r="BD970" s="58"/>
      <c r="BE970" s="58"/>
      <c r="BF970" s="58"/>
      <c r="BG970" s="58"/>
      <c r="BH970" s="58"/>
      <c r="BI970" s="58"/>
      <c r="BJ970" s="58"/>
      <c r="BK970" s="58"/>
      <c r="BL970" s="58"/>
      <c r="BM970" s="58"/>
      <c r="BN970" s="58"/>
      <c r="BO970" s="58"/>
      <c r="BP970" s="58"/>
      <c r="BQ970" s="58"/>
      <c r="BR970" s="58"/>
      <c r="BS970" s="58"/>
    </row>
    <row r="971" spans="1:71" ht="15.75" customHeight="1" x14ac:dyDescent="0.2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1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0"/>
      <c r="AP971" s="90"/>
      <c r="AQ971" s="92"/>
      <c r="AR971" s="92"/>
      <c r="AS971" s="92"/>
      <c r="AT971" s="92"/>
      <c r="AU971" s="92"/>
      <c r="AV971" s="92"/>
      <c r="AW971" s="92"/>
      <c r="AX971" s="92"/>
      <c r="AY971" s="92"/>
      <c r="AZ971" s="58"/>
      <c r="BA971" s="58"/>
      <c r="BB971" s="58"/>
      <c r="BC971" s="58"/>
      <c r="BD971" s="58"/>
      <c r="BE971" s="58"/>
      <c r="BF971" s="58"/>
      <c r="BG971" s="58"/>
      <c r="BH971" s="58"/>
      <c r="BI971" s="58"/>
      <c r="BJ971" s="58"/>
      <c r="BK971" s="58"/>
      <c r="BL971" s="58"/>
      <c r="BM971" s="58"/>
      <c r="BN971" s="58"/>
      <c r="BO971" s="58"/>
      <c r="BP971" s="58"/>
      <c r="BQ971" s="58"/>
      <c r="BR971" s="58"/>
      <c r="BS971" s="58"/>
    </row>
    <row r="972" spans="1:71" ht="15.75" customHeight="1" x14ac:dyDescent="0.2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1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  <c r="AG972" s="90"/>
      <c r="AH972" s="90"/>
      <c r="AI972" s="90"/>
      <c r="AJ972" s="90"/>
      <c r="AK972" s="90"/>
      <c r="AL972" s="90"/>
      <c r="AM972" s="90"/>
      <c r="AN972" s="90"/>
      <c r="AO972" s="90"/>
      <c r="AP972" s="90"/>
      <c r="AQ972" s="92"/>
      <c r="AR972" s="92"/>
      <c r="AS972" s="92"/>
      <c r="AT972" s="92"/>
      <c r="AU972" s="92"/>
      <c r="AV972" s="92"/>
      <c r="AW972" s="92"/>
      <c r="AX972" s="92"/>
      <c r="AY972" s="92"/>
      <c r="AZ972" s="58"/>
      <c r="BA972" s="58"/>
      <c r="BB972" s="58"/>
      <c r="BC972" s="58"/>
      <c r="BD972" s="58"/>
      <c r="BE972" s="58"/>
      <c r="BF972" s="58"/>
      <c r="BG972" s="58"/>
      <c r="BH972" s="58"/>
      <c r="BI972" s="58"/>
      <c r="BJ972" s="58"/>
      <c r="BK972" s="58"/>
      <c r="BL972" s="58"/>
      <c r="BM972" s="58"/>
      <c r="BN972" s="58"/>
      <c r="BO972" s="58"/>
      <c r="BP972" s="58"/>
      <c r="BQ972" s="58"/>
      <c r="BR972" s="58"/>
      <c r="BS972" s="58"/>
    </row>
    <row r="973" spans="1:71" ht="15.75" customHeight="1" x14ac:dyDescent="0.2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1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  <c r="AG973" s="90"/>
      <c r="AH973" s="90"/>
      <c r="AI973" s="90"/>
      <c r="AJ973" s="90"/>
      <c r="AK973" s="90"/>
      <c r="AL973" s="90"/>
      <c r="AM973" s="90"/>
      <c r="AN973" s="90"/>
      <c r="AO973" s="90"/>
      <c r="AP973" s="90"/>
      <c r="AQ973" s="92"/>
      <c r="AR973" s="92"/>
      <c r="AS973" s="92"/>
      <c r="AT973" s="92"/>
      <c r="AU973" s="92"/>
      <c r="AV973" s="92"/>
      <c r="AW973" s="92"/>
      <c r="AX973" s="92"/>
      <c r="AY973" s="92"/>
      <c r="AZ973" s="58"/>
      <c r="BA973" s="58"/>
      <c r="BB973" s="58"/>
      <c r="BC973" s="58"/>
      <c r="BD973" s="58"/>
      <c r="BE973" s="58"/>
      <c r="BF973" s="58"/>
      <c r="BG973" s="58"/>
      <c r="BH973" s="58"/>
      <c r="BI973" s="58"/>
      <c r="BJ973" s="58"/>
      <c r="BK973" s="58"/>
      <c r="BL973" s="58"/>
      <c r="BM973" s="58"/>
      <c r="BN973" s="58"/>
      <c r="BO973" s="58"/>
      <c r="BP973" s="58"/>
      <c r="BQ973" s="58"/>
      <c r="BR973" s="58"/>
      <c r="BS973" s="58"/>
    </row>
    <row r="974" spans="1:71" ht="15.75" customHeight="1" x14ac:dyDescent="0.2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1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  <c r="AG974" s="90"/>
      <c r="AH974" s="90"/>
      <c r="AI974" s="90"/>
      <c r="AJ974" s="90"/>
      <c r="AK974" s="90"/>
      <c r="AL974" s="90"/>
      <c r="AM974" s="90"/>
      <c r="AN974" s="90"/>
      <c r="AO974" s="90"/>
      <c r="AP974" s="90"/>
      <c r="AQ974" s="92"/>
      <c r="AR974" s="92"/>
      <c r="AS974" s="92"/>
      <c r="AT974" s="92"/>
      <c r="AU974" s="92"/>
      <c r="AV974" s="92"/>
      <c r="AW974" s="92"/>
      <c r="AX974" s="92"/>
      <c r="AY974" s="92"/>
      <c r="AZ974" s="58"/>
      <c r="BA974" s="58"/>
      <c r="BB974" s="58"/>
      <c r="BC974" s="58"/>
      <c r="BD974" s="58"/>
      <c r="BE974" s="58"/>
      <c r="BF974" s="58"/>
      <c r="BG974" s="58"/>
      <c r="BH974" s="58"/>
      <c r="BI974" s="58"/>
      <c r="BJ974" s="58"/>
      <c r="BK974" s="58"/>
      <c r="BL974" s="58"/>
      <c r="BM974" s="58"/>
      <c r="BN974" s="58"/>
      <c r="BO974" s="58"/>
      <c r="BP974" s="58"/>
      <c r="BQ974" s="58"/>
      <c r="BR974" s="58"/>
      <c r="BS974" s="58"/>
    </row>
    <row r="975" spans="1:71" ht="15.75" customHeight="1" x14ac:dyDescent="0.2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1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  <c r="AG975" s="90"/>
      <c r="AH975" s="90"/>
      <c r="AI975" s="90"/>
      <c r="AJ975" s="90"/>
      <c r="AK975" s="90"/>
      <c r="AL975" s="90"/>
      <c r="AM975" s="90"/>
      <c r="AN975" s="90"/>
      <c r="AO975" s="90"/>
      <c r="AP975" s="90"/>
      <c r="AQ975" s="92"/>
      <c r="AR975" s="92"/>
      <c r="AS975" s="92"/>
      <c r="AT975" s="92"/>
      <c r="AU975" s="92"/>
      <c r="AV975" s="92"/>
      <c r="AW975" s="92"/>
      <c r="AX975" s="92"/>
      <c r="AY975" s="92"/>
      <c r="AZ975" s="58"/>
      <c r="BA975" s="58"/>
      <c r="BB975" s="58"/>
      <c r="BC975" s="58"/>
      <c r="BD975" s="58"/>
      <c r="BE975" s="58"/>
      <c r="BF975" s="58"/>
      <c r="BG975" s="58"/>
      <c r="BH975" s="58"/>
      <c r="BI975" s="58"/>
      <c r="BJ975" s="58"/>
      <c r="BK975" s="58"/>
      <c r="BL975" s="58"/>
      <c r="BM975" s="58"/>
      <c r="BN975" s="58"/>
      <c r="BO975" s="58"/>
      <c r="BP975" s="58"/>
      <c r="BQ975" s="58"/>
      <c r="BR975" s="58"/>
      <c r="BS975" s="58"/>
    </row>
    <row r="976" spans="1:71" ht="15.75" customHeight="1" x14ac:dyDescent="0.2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1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  <c r="AG976" s="90"/>
      <c r="AH976" s="90"/>
      <c r="AI976" s="90"/>
      <c r="AJ976" s="90"/>
      <c r="AK976" s="90"/>
      <c r="AL976" s="90"/>
      <c r="AM976" s="90"/>
      <c r="AN976" s="90"/>
      <c r="AO976" s="90"/>
      <c r="AP976" s="90"/>
      <c r="AQ976" s="92"/>
      <c r="AR976" s="92"/>
      <c r="AS976" s="92"/>
      <c r="AT976" s="92"/>
      <c r="AU976" s="92"/>
      <c r="AV976" s="92"/>
      <c r="AW976" s="92"/>
      <c r="AX976" s="92"/>
      <c r="AY976" s="92"/>
      <c r="AZ976" s="58"/>
      <c r="BA976" s="58"/>
      <c r="BB976" s="58"/>
      <c r="BC976" s="58"/>
      <c r="BD976" s="58"/>
      <c r="BE976" s="58"/>
      <c r="BF976" s="58"/>
      <c r="BG976" s="58"/>
      <c r="BH976" s="58"/>
      <c r="BI976" s="58"/>
      <c r="BJ976" s="58"/>
      <c r="BK976" s="58"/>
      <c r="BL976" s="58"/>
      <c r="BM976" s="58"/>
      <c r="BN976" s="58"/>
      <c r="BO976" s="58"/>
      <c r="BP976" s="58"/>
      <c r="BQ976" s="58"/>
      <c r="BR976" s="58"/>
      <c r="BS976" s="58"/>
    </row>
    <row r="977" spans="1:71" ht="15.75" customHeight="1" x14ac:dyDescent="0.2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1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  <c r="AG977" s="90"/>
      <c r="AH977" s="90"/>
      <c r="AI977" s="90"/>
      <c r="AJ977" s="90"/>
      <c r="AK977" s="90"/>
      <c r="AL977" s="90"/>
      <c r="AM977" s="90"/>
      <c r="AN977" s="90"/>
      <c r="AO977" s="90"/>
      <c r="AP977" s="90"/>
      <c r="AQ977" s="92"/>
      <c r="AR977" s="92"/>
      <c r="AS977" s="92"/>
      <c r="AT977" s="92"/>
      <c r="AU977" s="92"/>
      <c r="AV977" s="92"/>
      <c r="AW977" s="92"/>
      <c r="AX977" s="92"/>
      <c r="AY977" s="92"/>
      <c r="AZ977" s="58"/>
      <c r="BA977" s="58"/>
      <c r="BB977" s="58"/>
      <c r="BC977" s="58"/>
      <c r="BD977" s="58"/>
      <c r="BE977" s="58"/>
      <c r="BF977" s="58"/>
      <c r="BG977" s="58"/>
      <c r="BH977" s="58"/>
      <c r="BI977" s="58"/>
      <c r="BJ977" s="58"/>
      <c r="BK977" s="58"/>
      <c r="BL977" s="58"/>
      <c r="BM977" s="58"/>
      <c r="BN977" s="58"/>
      <c r="BO977" s="58"/>
      <c r="BP977" s="58"/>
      <c r="BQ977" s="58"/>
      <c r="BR977" s="58"/>
      <c r="BS977" s="58"/>
    </row>
    <row r="978" spans="1:71" ht="15.75" customHeight="1" x14ac:dyDescent="0.2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1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  <c r="AG978" s="90"/>
      <c r="AH978" s="90"/>
      <c r="AI978" s="90"/>
      <c r="AJ978" s="90"/>
      <c r="AK978" s="90"/>
      <c r="AL978" s="90"/>
      <c r="AM978" s="90"/>
      <c r="AN978" s="90"/>
      <c r="AO978" s="90"/>
      <c r="AP978" s="90"/>
      <c r="AQ978" s="92"/>
      <c r="AR978" s="92"/>
      <c r="AS978" s="92"/>
      <c r="AT978" s="92"/>
      <c r="AU978" s="92"/>
      <c r="AV978" s="92"/>
      <c r="AW978" s="92"/>
      <c r="AX978" s="92"/>
      <c r="AY978" s="92"/>
      <c r="AZ978" s="58"/>
      <c r="BA978" s="58"/>
      <c r="BB978" s="58"/>
      <c r="BC978" s="58"/>
      <c r="BD978" s="58"/>
      <c r="BE978" s="58"/>
      <c r="BF978" s="58"/>
      <c r="BG978" s="58"/>
      <c r="BH978" s="58"/>
      <c r="BI978" s="58"/>
      <c r="BJ978" s="58"/>
      <c r="BK978" s="58"/>
      <c r="BL978" s="58"/>
      <c r="BM978" s="58"/>
      <c r="BN978" s="58"/>
      <c r="BO978" s="58"/>
      <c r="BP978" s="58"/>
      <c r="BQ978" s="58"/>
      <c r="BR978" s="58"/>
      <c r="BS978" s="58"/>
    </row>
    <row r="979" spans="1:71" ht="15.75" customHeight="1" x14ac:dyDescent="0.2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1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  <c r="AG979" s="90"/>
      <c r="AH979" s="90"/>
      <c r="AI979" s="90"/>
      <c r="AJ979" s="90"/>
      <c r="AK979" s="90"/>
      <c r="AL979" s="90"/>
      <c r="AM979" s="90"/>
      <c r="AN979" s="90"/>
      <c r="AO979" s="90"/>
      <c r="AP979" s="90"/>
      <c r="AQ979" s="92"/>
      <c r="AR979" s="92"/>
      <c r="AS979" s="92"/>
      <c r="AT979" s="92"/>
      <c r="AU979" s="92"/>
      <c r="AV979" s="92"/>
      <c r="AW979" s="92"/>
      <c r="AX979" s="92"/>
      <c r="AY979" s="92"/>
      <c r="AZ979" s="58"/>
      <c r="BA979" s="58"/>
      <c r="BB979" s="58"/>
      <c r="BC979" s="58"/>
      <c r="BD979" s="58"/>
      <c r="BE979" s="58"/>
      <c r="BF979" s="58"/>
      <c r="BG979" s="58"/>
      <c r="BH979" s="58"/>
      <c r="BI979" s="58"/>
      <c r="BJ979" s="58"/>
      <c r="BK979" s="58"/>
      <c r="BL979" s="58"/>
      <c r="BM979" s="58"/>
      <c r="BN979" s="58"/>
      <c r="BO979" s="58"/>
      <c r="BP979" s="58"/>
      <c r="BQ979" s="58"/>
      <c r="BR979" s="58"/>
      <c r="BS979" s="58"/>
    </row>
    <row r="980" spans="1:71" ht="15.75" customHeight="1" x14ac:dyDescent="0.2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1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  <c r="AG980" s="90"/>
      <c r="AH980" s="90"/>
      <c r="AI980" s="90"/>
      <c r="AJ980" s="90"/>
      <c r="AK980" s="90"/>
      <c r="AL980" s="90"/>
      <c r="AM980" s="90"/>
      <c r="AN980" s="90"/>
      <c r="AO980" s="90"/>
      <c r="AP980" s="90"/>
      <c r="AQ980" s="92"/>
      <c r="AR980" s="92"/>
      <c r="AS980" s="92"/>
      <c r="AT980" s="92"/>
      <c r="AU980" s="92"/>
      <c r="AV980" s="92"/>
      <c r="AW980" s="92"/>
      <c r="AX980" s="92"/>
      <c r="AY980" s="92"/>
      <c r="AZ980" s="58"/>
      <c r="BA980" s="58"/>
      <c r="BB980" s="58"/>
      <c r="BC980" s="58"/>
      <c r="BD980" s="58"/>
      <c r="BE980" s="58"/>
      <c r="BF980" s="58"/>
      <c r="BG980" s="58"/>
      <c r="BH980" s="58"/>
      <c r="BI980" s="58"/>
      <c r="BJ980" s="58"/>
      <c r="BK980" s="58"/>
      <c r="BL980" s="58"/>
      <c r="BM980" s="58"/>
      <c r="BN980" s="58"/>
      <c r="BO980" s="58"/>
      <c r="BP980" s="58"/>
      <c r="BQ980" s="58"/>
      <c r="BR980" s="58"/>
      <c r="BS980" s="58"/>
    </row>
    <row r="981" spans="1:71" ht="15.75" customHeight="1" x14ac:dyDescent="0.2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1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  <c r="AG981" s="90"/>
      <c r="AH981" s="90"/>
      <c r="AI981" s="90"/>
      <c r="AJ981" s="90"/>
      <c r="AK981" s="90"/>
      <c r="AL981" s="90"/>
      <c r="AM981" s="90"/>
      <c r="AN981" s="90"/>
      <c r="AO981" s="90"/>
      <c r="AP981" s="90"/>
      <c r="AQ981" s="92"/>
      <c r="AR981" s="92"/>
      <c r="AS981" s="92"/>
      <c r="AT981" s="92"/>
      <c r="AU981" s="92"/>
      <c r="AV981" s="92"/>
      <c r="AW981" s="92"/>
      <c r="AX981" s="92"/>
      <c r="AY981" s="92"/>
      <c r="AZ981" s="58"/>
      <c r="BA981" s="58"/>
      <c r="BB981" s="58"/>
      <c r="BC981" s="58"/>
      <c r="BD981" s="58"/>
      <c r="BE981" s="58"/>
      <c r="BF981" s="58"/>
      <c r="BG981" s="58"/>
      <c r="BH981" s="58"/>
      <c r="BI981" s="58"/>
      <c r="BJ981" s="58"/>
      <c r="BK981" s="58"/>
      <c r="BL981" s="58"/>
      <c r="BM981" s="58"/>
      <c r="BN981" s="58"/>
      <c r="BO981" s="58"/>
      <c r="BP981" s="58"/>
      <c r="BQ981" s="58"/>
      <c r="BR981" s="58"/>
      <c r="BS981" s="58"/>
    </row>
    <row r="982" spans="1:71" ht="15.75" customHeight="1" x14ac:dyDescent="0.2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1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  <c r="AG982" s="90"/>
      <c r="AH982" s="90"/>
      <c r="AI982" s="90"/>
      <c r="AJ982" s="90"/>
      <c r="AK982" s="90"/>
      <c r="AL982" s="90"/>
      <c r="AM982" s="90"/>
      <c r="AN982" s="90"/>
      <c r="AO982" s="90"/>
      <c r="AP982" s="90"/>
      <c r="AQ982" s="92"/>
      <c r="AR982" s="92"/>
      <c r="AS982" s="92"/>
      <c r="AT982" s="92"/>
      <c r="AU982" s="92"/>
      <c r="AV982" s="92"/>
      <c r="AW982" s="92"/>
      <c r="AX982" s="92"/>
      <c r="AY982" s="92"/>
      <c r="AZ982" s="58"/>
      <c r="BA982" s="58"/>
      <c r="BB982" s="58"/>
      <c r="BC982" s="58"/>
      <c r="BD982" s="58"/>
      <c r="BE982" s="58"/>
      <c r="BF982" s="58"/>
      <c r="BG982" s="58"/>
      <c r="BH982" s="58"/>
      <c r="BI982" s="58"/>
      <c r="BJ982" s="58"/>
      <c r="BK982" s="58"/>
      <c r="BL982" s="58"/>
      <c r="BM982" s="58"/>
      <c r="BN982" s="58"/>
      <c r="BO982" s="58"/>
      <c r="BP982" s="58"/>
      <c r="BQ982" s="58"/>
      <c r="BR982" s="58"/>
      <c r="BS982" s="58"/>
    </row>
    <row r="983" spans="1:71" ht="15.75" customHeight="1" x14ac:dyDescent="0.2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1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  <c r="AG983" s="90"/>
      <c r="AH983" s="90"/>
      <c r="AI983" s="90"/>
      <c r="AJ983" s="90"/>
      <c r="AK983" s="90"/>
      <c r="AL983" s="90"/>
      <c r="AM983" s="90"/>
      <c r="AN983" s="90"/>
      <c r="AO983" s="90"/>
      <c r="AP983" s="90"/>
      <c r="AQ983" s="92"/>
      <c r="AR983" s="92"/>
      <c r="AS983" s="92"/>
      <c r="AT983" s="92"/>
      <c r="AU983" s="92"/>
      <c r="AV983" s="92"/>
      <c r="AW983" s="92"/>
      <c r="AX983" s="92"/>
      <c r="AY983" s="92"/>
      <c r="AZ983" s="58"/>
      <c r="BA983" s="58"/>
      <c r="BB983" s="58"/>
      <c r="BC983" s="58"/>
      <c r="BD983" s="58"/>
      <c r="BE983" s="58"/>
      <c r="BF983" s="58"/>
      <c r="BG983" s="58"/>
      <c r="BH983" s="58"/>
      <c r="BI983" s="58"/>
      <c r="BJ983" s="58"/>
      <c r="BK983" s="58"/>
      <c r="BL983" s="58"/>
      <c r="BM983" s="58"/>
      <c r="BN983" s="58"/>
      <c r="BO983" s="58"/>
      <c r="BP983" s="58"/>
      <c r="BQ983" s="58"/>
      <c r="BR983" s="58"/>
      <c r="BS983" s="58"/>
    </row>
    <row r="984" spans="1:71" ht="15.75" customHeight="1" x14ac:dyDescent="0.2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1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  <c r="AG984" s="90"/>
      <c r="AH984" s="90"/>
      <c r="AI984" s="90"/>
      <c r="AJ984" s="90"/>
      <c r="AK984" s="90"/>
      <c r="AL984" s="90"/>
      <c r="AM984" s="90"/>
      <c r="AN984" s="90"/>
      <c r="AO984" s="90"/>
      <c r="AP984" s="90"/>
      <c r="AQ984" s="92"/>
      <c r="AR984" s="92"/>
      <c r="AS984" s="92"/>
      <c r="AT984" s="92"/>
      <c r="AU984" s="92"/>
      <c r="AV984" s="92"/>
      <c r="AW984" s="92"/>
      <c r="AX984" s="92"/>
      <c r="AY984" s="92"/>
      <c r="AZ984" s="58"/>
      <c r="BA984" s="58"/>
      <c r="BB984" s="58"/>
      <c r="BC984" s="58"/>
      <c r="BD984" s="58"/>
      <c r="BE984" s="58"/>
      <c r="BF984" s="58"/>
      <c r="BG984" s="58"/>
      <c r="BH984" s="58"/>
      <c r="BI984" s="58"/>
      <c r="BJ984" s="58"/>
      <c r="BK984" s="58"/>
      <c r="BL984" s="58"/>
      <c r="BM984" s="58"/>
      <c r="BN984" s="58"/>
      <c r="BO984" s="58"/>
      <c r="BP984" s="58"/>
      <c r="BQ984" s="58"/>
      <c r="BR984" s="58"/>
      <c r="BS984" s="58"/>
    </row>
    <row r="985" spans="1:71" ht="15.75" customHeight="1" x14ac:dyDescent="0.2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1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  <c r="AG985" s="90"/>
      <c r="AH985" s="90"/>
      <c r="AI985" s="90"/>
      <c r="AJ985" s="90"/>
      <c r="AK985" s="90"/>
      <c r="AL985" s="90"/>
      <c r="AM985" s="90"/>
      <c r="AN985" s="90"/>
      <c r="AO985" s="90"/>
      <c r="AP985" s="90"/>
      <c r="AQ985" s="92"/>
      <c r="AR985" s="92"/>
      <c r="AS985" s="92"/>
      <c r="AT985" s="92"/>
      <c r="AU985" s="92"/>
      <c r="AV985" s="92"/>
      <c r="AW985" s="92"/>
      <c r="AX985" s="92"/>
      <c r="AY985" s="92"/>
      <c r="AZ985" s="58"/>
      <c r="BA985" s="58"/>
      <c r="BB985" s="58"/>
      <c r="BC985" s="58"/>
      <c r="BD985" s="58"/>
      <c r="BE985" s="58"/>
      <c r="BF985" s="58"/>
      <c r="BG985" s="58"/>
      <c r="BH985" s="58"/>
      <c r="BI985" s="58"/>
      <c r="BJ985" s="58"/>
      <c r="BK985" s="58"/>
      <c r="BL985" s="58"/>
      <c r="BM985" s="58"/>
      <c r="BN985" s="58"/>
      <c r="BO985" s="58"/>
      <c r="BP985" s="58"/>
      <c r="BQ985" s="58"/>
      <c r="BR985" s="58"/>
      <c r="BS985" s="58"/>
    </row>
    <row r="986" spans="1:71" ht="15.75" customHeight="1" x14ac:dyDescent="0.2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1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  <c r="AG986" s="90"/>
      <c r="AH986" s="90"/>
      <c r="AI986" s="90"/>
      <c r="AJ986" s="90"/>
      <c r="AK986" s="90"/>
      <c r="AL986" s="90"/>
      <c r="AM986" s="90"/>
      <c r="AN986" s="90"/>
      <c r="AO986" s="90"/>
      <c r="AP986" s="90"/>
      <c r="AQ986" s="92"/>
      <c r="AR986" s="92"/>
      <c r="AS986" s="92"/>
      <c r="AT986" s="92"/>
      <c r="AU986" s="92"/>
      <c r="AV986" s="92"/>
      <c r="AW986" s="92"/>
      <c r="AX986" s="92"/>
      <c r="AY986" s="92"/>
      <c r="AZ986" s="58"/>
      <c r="BA986" s="58"/>
      <c r="BB986" s="58"/>
      <c r="BC986" s="58"/>
      <c r="BD986" s="58"/>
      <c r="BE986" s="58"/>
      <c r="BF986" s="58"/>
      <c r="BG986" s="58"/>
      <c r="BH986" s="58"/>
      <c r="BI986" s="58"/>
      <c r="BJ986" s="58"/>
      <c r="BK986" s="58"/>
      <c r="BL986" s="58"/>
      <c r="BM986" s="58"/>
      <c r="BN986" s="58"/>
      <c r="BO986" s="58"/>
      <c r="BP986" s="58"/>
      <c r="BQ986" s="58"/>
      <c r="BR986" s="58"/>
      <c r="BS986" s="58"/>
    </row>
    <row r="987" spans="1:71" ht="15.75" customHeight="1" x14ac:dyDescent="0.2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1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  <c r="AG987" s="90"/>
      <c r="AH987" s="90"/>
      <c r="AI987" s="90"/>
      <c r="AJ987" s="90"/>
      <c r="AK987" s="90"/>
      <c r="AL987" s="90"/>
      <c r="AM987" s="90"/>
      <c r="AN987" s="90"/>
      <c r="AO987" s="90"/>
      <c r="AP987" s="90"/>
      <c r="AQ987" s="92"/>
      <c r="AR987" s="92"/>
      <c r="AS987" s="92"/>
      <c r="AT987" s="92"/>
      <c r="AU987" s="92"/>
      <c r="AV987" s="92"/>
      <c r="AW987" s="92"/>
      <c r="AX987" s="92"/>
      <c r="AY987" s="92"/>
      <c r="AZ987" s="58"/>
      <c r="BA987" s="58"/>
      <c r="BB987" s="58"/>
      <c r="BC987" s="58"/>
      <c r="BD987" s="58"/>
      <c r="BE987" s="58"/>
      <c r="BF987" s="58"/>
      <c r="BG987" s="58"/>
      <c r="BH987" s="58"/>
      <c r="BI987" s="58"/>
      <c r="BJ987" s="58"/>
      <c r="BK987" s="58"/>
      <c r="BL987" s="58"/>
      <c r="BM987" s="58"/>
      <c r="BN987" s="58"/>
      <c r="BO987" s="58"/>
      <c r="BP987" s="58"/>
      <c r="BQ987" s="58"/>
      <c r="BR987" s="58"/>
      <c r="BS987" s="58"/>
    </row>
    <row r="988" spans="1:71" ht="15.75" customHeight="1" x14ac:dyDescent="0.2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1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  <c r="AG988" s="90"/>
      <c r="AH988" s="90"/>
      <c r="AI988" s="90"/>
      <c r="AJ988" s="90"/>
      <c r="AK988" s="90"/>
      <c r="AL988" s="90"/>
      <c r="AM988" s="90"/>
      <c r="AN988" s="90"/>
      <c r="AO988" s="90"/>
      <c r="AP988" s="90"/>
      <c r="AQ988" s="92"/>
      <c r="AR988" s="92"/>
      <c r="AS988" s="92"/>
      <c r="AT988" s="92"/>
      <c r="AU988" s="92"/>
      <c r="AV988" s="92"/>
      <c r="AW988" s="92"/>
      <c r="AX988" s="92"/>
      <c r="AY988" s="92"/>
      <c r="AZ988" s="58"/>
      <c r="BA988" s="58"/>
      <c r="BB988" s="58"/>
      <c r="BC988" s="58"/>
      <c r="BD988" s="58"/>
      <c r="BE988" s="58"/>
      <c r="BF988" s="58"/>
      <c r="BG988" s="58"/>
      <c r="BH988" s="58"/>
      <c r="BI988" s="58"/>
      <c r="BJ988" s="58"/>
      <c r="BK988" s="58"/>
      <c r="BL988" s="58"/>
      <c r="BM988" s="58"/>
      <c r="BN988" s="58"/>
      <c r="BO988" s="58"/>
      <c r="BP988" s="58"/>
      <c r="BQ988" s="58"/>
      <c r="BR988" s="58"/>
      <c r="BS988" s="58"/>
    </row>
    <row r="989" spans="1:71" ht="15.75" customHeight="1" x14ac:dyDescent="0.2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1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  <c r="AG989" s="90"/>
      <c r="AH989" s="90"/>
      <c r="AI989" s="90"/>
      <c r="AJ989" s="90"/>
      <c r="AK989" s="90"/>
      <c r="AL989" s="90"/>
      <c r="AM989" s="90"/>
      <c r="AN989" s="90"/>
      <c r="AO989" s="90"/>
      <c r="AP989" s="90"/>
      <c r="AQ989" s="92"/>
      <c r="AR989" s="92"/>
      <c r="AS989" s="92"/>
      <c r="AT989" s="92"/>
      <c r="AU989" s="92"/>
      <c r="AV989" s="92"/>
      <c r="AW989" s="92"/>
      <c r="AX989" s="92"/>
      <c r="AY989" s="92"/>
      <c r="AZ989" s="58"/>
      <c r="BA989" s="58"/>
      <c r="BB989" s="58"/>
      <c r="BC989" s="58"/>
      <c r="BD989" s="58"/>
      <c r="BE989" s="58"/>
      <c r="BF989" s="58"/>
      <c r="BG989" s="58"/>
      <c r="BH989" s="58"/>
      <c r="BI989" s="58"/>
      <c r="BJ989" s="58"/>
      <c r="BK989" s="58"/>
      <c r="BL989" s="58"/>
      <c r="BM989" s="58"/>
      <c r="BN989" s="58"/>
      <c r="BO989" s="58"/>
      <c r="BP989" s="58"/>
      <c r="BQ989" s="58"/>
      <c r="BR989" s="58"/>
      <c r="BS989" s="58"/>
    </row>
    <row r="990" spans="1:71" ht="15.75" customHeight="1" x14ac:dyDescent="0.2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1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  <c r="AG990" s="90"/>
      <c r="AH990" s="90"/>
      <c r="AI990" s="90"/>
      <c r="AJ990" s="90"/>
      <c r="AK990" s="90"/>
      <c r="AL990" s="90"/>
      <c r="AM990" s="90"/>
      <c r="AN990" s="90"/>
      <c r="AO990" s="90"/>
      <c r="AP990" s="90"/>
      <c r="AQ990" s="92"/>
      <c r="AR990" s="92"/>
      <c r="AS990" s="92"/>
      <c r="AT990" s="92"/>
      <c r="AU990" s="92"/>
      <c r="AV990" s="92"/>
      <c r="AW990" s="92"/>
      <c r="AX990" s="92"/>
      <c r="AY990" s="92"/>
      <c r="AZ990" s="58"/>
      <c r="BA990" s="58"/>
      <c r="BB990" s="58"/>
      <c r="BC990" s="58"/>
      <c r="BD990" s="58"/>
      <c r="BE990" s="58"/>
      <c r="BF990" s="58"/>
      <c r="BG990" s="58"/>
      <c r="BH990" s="58"/>
      <c r="BI990" s="58"/>
      <c r="BJ990" s="58"/>
      <c r="BK990" s="58"/>
      <c r="BL990" s="58"/>
      <c r="BM990" s="58"/>
      <c r="BN990" s="58"/>
      <c r="BO990" s="58"/>
      <c r="BP990" s="58"/>
      <c r="BQ990" s="58"/>
      <c r="BR990" s="58"/>
      <c r="BS990" s="58"/>
    </row>
    <row r="991" spans="1:71" ht="15.75" customHeight="1" x14ac:dyDescent="0.2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1"/>
      <c r="W991" s="90"/>
      <c r="X991" s="90"/>
      <c r="Y991" s="90"/>
      <c r="Z991" s="90"/>
      <c r="AA991" s="90"/>
      <c r="AB991" s="90"/>
      <c r="AC991" s="90"/>
      <c r="AD991" s="90"/>
      <c r="AE991" s="90"/>
      <c r="AF991" s="90"/>
      <c r="AG991" s="90"/>
      <c r="AH991" s="90"/>
      <c r="AI991" s="90"/>
      <c r="AJ991" s="90"/>
      <c r="AK991" s="90"/>
      <c r="AL991" s="90"/>
      <c r="AM991" s="90"/>
      <c r="AN991" s="90"/>
      <c r="AO991" s="90"/>
      <c r="AP991" s="90"/>
      <c r="AQ991" s="92"/>
      <c r="AR991" s="92"/>
      <c r="AS991" s="92"/>
      <c r="AT991" s="92"/>
      <c r="AU991" s="92"/>
      <c r="AV991" s="92"/>
      <c r="AW991" s="92"/>
      <c r="AX991" s="92"/>
      <c r="AY991" s="92"/>
      <c r="AZ991" s="58"/>
      <c r="BA991" s="58"/>
      <c r="BB991" s="58"/>
      <c r="BC991" s="58"/>
      <c r="BD991" s="58"/>
      <c r="BE991" s="58"/>
      <c r="BF991" s="58"/>
      <c r="BG991" s="58"/>
      <c r="BH991" s="58"/>
      <c r="BI991" s="58"/>
      <c r="BJ991" s="58"/>
      <c r="BK991" s="58"/>
      <c r="BL991" s="58"/>
      <c r="BM991" s="58"/>
      <c r="BN991" s="58"/>
      <c r="BO991" s="58"/>
      <c r="BP991" s="58"/>
      <c r="BQ991" s="58"/>
      <c r="BR991" s="58"/>
      <c r="BS991" s="58"/>
    </row>
    <row r="992" spans="1:71" ht="15.75" customHeight="1" x14ac:dyDescent="0.2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1"/>
      <c r="W992" s="90"/>
      <c r="X992" s="90"/>
      <c r="Y992" s="90"/>
      <c r="Z992" s="90"/>
      <c r="AA992" s="90"/>
      <c r="AB992" s="90"/>
      <c r="AC992" s="90"/>
      <c r="AD992" s="90"/>
      <c r="AE992" s="90"/>
      <c r="AF992" s="90"/>
      <c r="AG992" s="90"/>
      <c r="AH992" s="90"/>
      <c r="AI992" s="90"/>
      <c r="AJ992" s="90"/>
      <c r="AK992" s="90"/>
      <c r="AL992" s="90"/>
      <c r="AM992" s="90"/>
      <c r="AN992" s="90"/>
      <c r="AO992" s="90"/>
      <c r="AP992" s="90"/>
      <c r="AQ992" s="92"/>
      <c r="AR992" s="92"/>
      <c r="AS992" s="92"/>
      <c r="AT992" s="92"/>
      <c r="AU992" s="92"/>
      <c r="AV992" s="92"/>
      <c r="AW992" s="92"/>
      <c r="AX992" s="92"/>
      <c r="AY992" s="92"/>
      <c r="AZ992" s="58"/>
      <c r="BA992" s="58"/>
      <c r="BB992" s="58"/>
      <c r="BC992" s="58"/>
      <c r="BD992" s="58"/>
      <c r="BE992" s="58"/>
      <c r="BF992" s="58"/>
      <c r="BG992" s="58"/>
      <c r="BH992" s="58"/>
      <c r="BI992" s="58"/>
      <c r="BJ992" s="58"/>
      <c r="BK992" s="58"/>
      <c r="BL992" s="58"/>
      <c r="BM992" s="58"/>
      <c r="BN992" s="58"/>
      <c r="BO992" s="58"/>
      <c r="BP992" s="58"/>
      <c r="BQ992" s="58"/>
      <c r="BR992" s="58"/>
      <c r="BS992" s="58"/>
    </row>
    <row r="993" spans="1:71" ht="15.75" customHeight="1" x14ac:dyDescent="0.2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56"/>
      <c r="N993" s="56"/>
      <c r="O993" s="58"/>
      <c r="P993" s="58"/>
      <c r="Q993" s="58"/>
      <c r="R993" s="58"/>
      <c r="S993" s="58"/>
      <c r="T993" s="58"/>
      <c r="U993" s="58"/>
      <c r="V993" s="58"/>
      <c r="W993" s="90"/>
      <c r="X993" s="90"/>
      <c r="Y993" s="90"/>
      <c r="Z993" s="90"/>
      <c r="AA993" s="90"/>
      <c r="AB993" s="90"/>
      <c r="AC993" s="90"/>
      <c r="AD993" s="90"/>
      <c r="AE993" s="90"/>
      <c r="AF993" s="90"/>
      <c r="AG993" s="90"/>
      <c r="AH993" s="90"/>
      <c r="AI993" s="90"/>
      <c r="AJ993" s="90"/>
      <c r="AK993" s="90"/>
      <c r="AL993" s="90"/>
      <c r="AM993" s="90"/>
      <c r="AN993" s="90"/>
      <c r="AO993" s="90"/>
      <c r="AP993" s="90"/>
      <c r="AQ993" s="92"/>
      <c r="AR993" s="92"/>
      <c r="AS993" s="92"/>
      <c r="AT993" s="92"/>
      <c r="AU993" s="92"/>
      <c r="AV993" s="92"/>
      <c r="AW993" s="92"/>
      <c r="AX993" s="92"/>
      <c r="AY993" s="92"/>
      <c r="AZ993" s="58"/>
      <c r="BA993" s="58"/>
      <c r="BB993" s="58"/>
      <c r="BC993" s="58"/>
      <c r="BD993" s="58"/>
      <c r="BE993" s="58"/>
      <c r="BF993" s="58"/>
      <c r="BG993" s="58"/>
      <c r="BH993" s="58"/>
      <c r="BI993" s="58"/>
      <c r="BJ993" s="58"/>
      <c r="BK993" s="58"/>
      <c r="BL993" s="58"/>
      <c r="BM993" s="58"/>
      <c r="BN993" s="58"/>
      <c r="BO993" s="58"/>
      <c r="BP993" s="58"/>
      <c r="BQ993" s="58"/>
      <c r="BR993" s="58"/>
      <c r="BS993" s="58"/>
    </row>
    <row r="994" spans="1:71" ht="12.75" x14ac:dyDescent="0.2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  <c r="AG994" s="58"/>
      <c r="AH994" s="58"/>
      <c r="AI994" s="58"/>
      <c r="AJ994" s="58"/>
      <c r="AK994" s="58"/>
      <c r="AL994" s="58"/>
      <c r="AM994" s="58"/>
      <c r="AN994" s="58"/>
      <c r="AO994" s="58"/>
      <c r="AP994" s="58"/>
      <c r="AQ994" s="58"/>
      <c r="AR994" s="58"/>
      <c r="AS994" s="58"/>
      <c r="AT994" s="58"/>
      <c r="AU994" s="58"/>
      <c r="AV994" s="58"/>
      <c r="AW994" s="58"/>
      <c r="AX994" s="58"/>
      <c r="AY994" s="58"/>
      <c r="AZ994" s="58"/>
      <c r="BA994" s="58"/>
      <c r="BB994" s="58"/>
      <c r="BC994" s="58"/>
      <c r="BD994" s="58"/>
      <c r="BE994" s="58"/>
      <c r="BF994" s="58"/>
      <c r="BG994" s="58"/>
      <c r="BH994" s="58"/>
      <c r="BI994" s="58"/>
      <c r="BJ994" s="58"/>
      <c r="BK994" s="58"/>
      <c r="BL994" s="58"/>
      <c r="BM994" s="58"/>
      <c r="BN994" s="58"/>
      <c r="BO994" s="58"/>
      <c r="BP994" s="58"/>
      <c r="BQ994" s="58"/>
      <c r="BR994" s="58"/>
      <c r="BS994" s="58"/>
    </row>
  </sheetData>
  <mergeCells count="15">
    <mergeCell ref="AB3:AD3"/>
    <mergeCell ref="AM2:AP2"/>
    <mergeCell ref="AM3:AP3"/>
    <mergeCell ref="A1:H4"/>
    <mergeCell ref="I1:AG1"/>
    <mergeCell ref="AH1:AP1"/>
    <mergeCell ref="O2:V2"/>
    <mergeCell ref="W2:AE2"/>
    <mergeCell ref="AG2:AL2"/>
    <mergeCell ref="AI3:AK3"/>
    <mergeCell ref="I2:N2"/>
    <mergeCell ref="I3:N3"/>
    <mergeCell ref="O3:R3"/>
    <mergeCell ref="S3:U3"/>
    <mergeCell ref="W3:Y3"/>
  </mergeCells>
  <printOptions horizontalCentered="1" gridLines="1"/>
  <pageMargins left="0.7" right="0.7" top="0.75" bottom="0.75" header="0" footer="0"/>
  <pageSetup paperSize="9" pageOrder="overThenDown" orientation="portrait" cellComments="atEnd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</vt:lpstr>
      <vt:lpstr>CE</vt:lpstr>
      <vt:lpstr>GE</vt:lpstr>
      <vt:lpstr>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Ganira Nasibova</dc:creator>
  <cp:lastModifiedBy>Gulara Abdunova</cp:lastModifiedBy>
  <dcterms:created xsi:type="dcterms:W3CDTF">2022-11-17T12:03:35Z</dcterms:created>
  <dcterms:modified xsi:type="dcterms:W3CDTF">2025-06-19T14:40:38Z</dcterms:modified>
</cp:coreProperties>
</file>